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宝哥\excel课件准备\"/>
    </mc:Choice>
  </mc:AlternateContent>
  <xr:revisionPtr revIDLastSave="0" documentId="13_ncr:1_{203958D3-CE6E-4831-B7DE-68D0A5B124B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personData" sheetId="2" r:id="rId1"/>
    <sheet name="SalesData1" sheetId="1" r:id="rId2"/>
    <sheet name="SalesData1_pivot" sheetId="6" r:id="rId3"/>
    <sheet name="SalesData 2" sheetId="5" r:id="rId4"/>
    <sheet name="SalesData2_pivot" sheetId="7" r:id="rId5"/>
    <sheet name="SalesData_2016" sheetId="4" r:id="rId6"/>
  </sheets>
  <definedNames>
    <definedName name="closeaverage">SalespersonData!$H$3</definedName>
    <definedName name="contractaverage">SalespersonData!$H$2</definedName>
  </definedNames>
  <calcPr calcId="191029"/>
  <pivotCaches>
    <pivotCache cacheId="24" r:id="rId7"/>
    <pivotCache cacheId="3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4" i="5" l="1"/>
  <c r="H545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</calcChain>
</file>

<file path=xl/sharedStrings.xml><?xml version="1.0" encoding="utf-8"?>
<sst xmlns="http://schemas.openxmlformats.org/spreadsheetml/2006/main" count="7700" uniqueCount="180">
  <si>
    <t>Burundi</t>
  </si>
  <si>
    <t>Djibouti</t>
  </si>
  <si>
    <t>Eritrea</t>
  </si>
  <si>
    <t>Ethiopia</t>
  </si>
  <si>
    <t>Kenya</t>
  </si>
  <si>
    <t>Madagascar</t>
  </si>
  <si>
    <t>Malawi</t>
  </si>
  <si>
    <t>Mauritius</t>
  </si>
  <si>
    <t>Mozambique</t>
  </si>
  <si>
    <t>Rwanda</t>
  </si>
  <si>
    <t>Seychelles</t>
  </si>
  <si>
    <t>Somalia</t>
  </si>
  <si>
    <t>South Sudan</t>
  </si>
  <si>
    <t>Uganda</t>
  </si>
  <si>
    <t>United Republic of Tanzania</t>
  </si>
  <si>
    <t>Zambia</t>
  </si>
  <si>
    <t>Zimbabwe</t>
  </si>
  <si>
    <t>Angola</t>
  </si>
  <si>
    <t>Cameroon</t>
  </si>
  <si>
    <t>Central African Republic</t>
  </si>
  <si>
    <t>Chad</t>
  </si>
  <si>
    <t>Congo</t>
  </si>
  <si>
    <t>Democratic Republic of the Congo</t>
  </si>
  <si>
    <t>Equatorial Guinea</t>
  </si>
  <si>
    <t>Gabon</t>
  </si>
  <si>
    <t>Sao Tome and Principe</t>
  </si>
  <si>
    <t>Algeria</t>
  </si>
  <si>
    <t>Egypt</t>
  </si>
  <si>
    <t>Libya</t>
  </si>
  <si>
    <t>Morocco</t>
  </si>
  <si>
    <t>Sudan</t>
  </si>
  <si>
    <t>Tunisia</t>
  </si>
  <si>
    <t>Western Sahara</t>
  </si>
  <si>
    <t>Botswana</t>
  </si>
  <si>
    <t>Lesotho</t>
  </si>
  <si>
    <t>Namibia</t>
  </si>
  <si>
    <t>South Africa</t>
  </si>
  <si>
    <t>Swaziland</t>
  </si>
  <si>
    <t>Benin</t>
  </si>
  <si>
    <t>Burkina Faso</t>
  </si>
  <si>
    <t>Cote d'Ivoire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</si>
  <si>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</si>
  <si>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</si>
  <si>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</si>
  <si>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</si>
  <si>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</si>
  <si>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</si>
  <si>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</si>
  <si>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</si>
  <si>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Senegal</t>
  </si>
  <si>
    <t>Sierra Leone</t>
  </si>
  <si>
    <t>Togo</t>
  </si>
  <si>
    <t>Country</t>
  </si>
  <si>
    <t>Region</t>
  </si>
  <si>
    <t>Maputo</t>
  </si>
  <si>
    <t>Ibadan</t>
  </si>
  <si>
    <t>Kano</t>
  </si>
  <si>
    <t>Johannesburg</t>
  </si>
  <si>
    <t>Cape Town</t>
  </si>
  <si>
    <t>Durban</t>
  </si>
  <si>
    <t>Lusaka</t>
  </si>
  <si>
    <t>Harare</t>
  </si>
  <si>
    <t>Cotonou</t>
  </si>
  <si>
    <t>Douala</t>
  </si>
  <si>
    <t>Yaoundé</t>
  </si>
  <si>
    <t>Abidjan</t>
  </si>
  <si>
    <t>Addis Ababa</t>
  </si>
  <si>
    <t>Accra</t>
  </si>
  <si>
    <t>Kumasi</t>
  </si>
  <si>
    <t>Conakry</t>
  </si>
  <si>
    <t>Nairobi</t>
  </si>
  <si>
    <t>Lagos</t>
  </si>
  <si>
    <t>Dakar</t>
  </si>
  <si>
    <t>Kampala</t>
  </si>
  <si>
    <t>Luanda</t>
  </si>
  <si>
    <t>Ouagadougou</t>
  </si>
  <si>
    <t>Kinshasa</t>
  </si>
  <si>
    <t>Lubumbashi</t>
  </si>
  <si>
    <t>Mbuji-Mayi</t>
  </si>
  <si>
    <t>Brazzaville</t>
  </si>
  <si>
    <t>Blantyre</t>
  </si>
  <si>
    <t>Lilongwe</t>
  </si>
  <si>
    <t>Abuja</t>
  </si>
  <si>
    <t>Dar es Salaam</t>
  </si>
  <si>
    <t>City</t>
  </si>
  <si>
    <t>Tunis</t>
  </si>
  <si>
    <t>Lome</t>
  </si>
  <si>
    <t>Mbabane</t>
  </si>
  <si>
    <t>Khartoum</t>
  </si>
  <si>
    <t>Juba</t>
  </si>
  <si>
    <t>Pretoria</t>
  </si>
  <si>
    <t>Mogadishu</t>
  </si>
  <si>
    <t>Freetown</t>
  </si>
  <si>
    <t>Victoria</t>
  </si>
  <si>
    <t>Sao Tome</t>
  </si>
  <si>
    <t>Kigali</t>
  </si>
  <si>
    <t>Niamey</t>
  </si>
  <si>
    <t>Windhoek</t>
  </si>
  <si>
    <t>Rabat</t>
  </si>
  <si>
    <t>Port Louis</t>
  </si>
  <si>
    <t>Nouakchott</t>
  </si>
  <si>
    <t>Bamako</t>
  </si>
  <si>
    <t>Antananarivo</t>
  </si>
  <si>
    <t>Tripoli</t>
  </si>
  <si>
    <t>Monrovia</t>
  </si>
  <si>
    <t>Maseru</t>
  </si>
  <si>
    <t>Bissau</t>
  </si>
  <si>
    <t>Libreville</t>
  </si>
  <si>
    <t>Asmara</t>
  </si>
  <si>
    <t>Malabo</t>
  </si>
  <si>
    <t>Cairo</t>
  </si>
  <si>
    <t>Yamoussoukro</t>
  </si>
  <si>
    <t>N'Djamena</t>
  </si>
  <si>
    <t>Bangui</t>
  </si>
  <si>
    <t>Bujumbura</t>
  </si>
  <si>
    <t>Gaborone</t>
  </si>
  <si>
    <t>Porto-Novo</t>
  </si>
  <si>
    <t>Algiers</t>
  </si>
  <si>
    <t>Eastern</t>
  </si>
  <si>
    <t>Middle</t>
  </si>
  <si>
    <t>Northern</t>
  </si>
  <si>
    <t>Southern</t>
  </si>
  <si>
    <t>Western</t>
  </si>
  <si>
    <t>Date</t>
  </si>
  <si>
    <t>Sales</t>
  </si>
  <si>
    <t>Profit</t>
  </si>
  <si>
    <t>Dakhla</t>
  </si>
  <si>
    <t>Segment</t>
  </si>
  <si>
    <t>Residential</t>
  </si>
  <si>
    <t>Commercial</t>
  </si>
  <si>
    <t>Public</t>
  </si>
  <si>
    <t>Salesperson</t>
  </si>
  <si>
    <t>Contracts Sold</t>
  </si>
  <si>
    <t>Close Rate</t>
  </si>
  <si>
    <t>Audrey Baker</t>
  </si>
  <si>
    <t>Marianne James</t>
  </si>
  <si>
    <t>Ken Railings</t>
  </si>
  <si>
    <t>Priscilla Taylor</t>
  </si>
  <si>
    <t>George O'Malley</t>
  </si>
  <si>
    <t>Michael Smith</t>
  </si>
  <si>
    <t>Francis Martineau</t>
  </si>
  <si>
    <t>Aiden Morris</t>
  </si>
  <si>
    <t>Constantine Eager</t>
  </si>
  <si>
    <t>Laura Yeager</t>
  </si>
  <si>
    <t>Cost</t>
    <phoneticPr fontId="4" type="noConversion"/>
  </si>
  <si>
    <t>Profit</t>
    <phoneticPr fontId="4" type="noConversion"/>
  </si>
  <si>
    <t>行标签</t>
  </si>
  <si>
    <t>总计</t>
  </si>
  <si>
    <t>2013年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</si>
  <si>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</si>
  <si>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</si>
  <si>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</si>
  <si>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</si>
  <si>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</si>
  <si>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</si>
  <si>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</si>
  <si>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</si>
  <si>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</si>
  <si>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</si>
  <si>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</si>
  <si>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</si>
  <si>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2014年</t>
  </si>
  <si>
    <t>2015年</t>
  </si>
  <si>
    <t>收入</t>
  </si>
  <si>
    <t>年(Date)</t>
  </si>
  <si>
    <t>收入排序</t>
  </si>
  <si>
    <t>收入占比</t>
  </si>
  <si>
    <t>求和项:利润</t>
  </si>
  <si>
    <t>利润排序</t>
  </si>
  <si>
    <t>利润占比</t>
  </si>
  <si>
    <t>求和项:Profit</t>
  </si>
  <si>
    <t>月利润占比年</t>
  </si>
  <si>
    <t>同比2013增长量</t>
  </si>
  <si>
    <t>同比2013增长率</t>
  </si>
  <si>
    <t>同比上一年增长量</t>
  </si>
  <si>
    <t>同比上一年增长率</t>
  </si>
  <si>
    <t>环比上月增长量</t>
  </si>
  <si>
    <t>环比1月增长量</t>
  </si>
  <si>
    <t>月累计值</t>
  </si>
  <si>
    <t>月累计百分比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</si>
</sst>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&quot;£&quot;* #,##0.00_-;\-&quot;£&quot;* #,##0.00_-;_-&quot;£&quot;* &quot;-&quot;??_-;_-@_-"/>
    <numFmt numFmtId="177" formatCode="m/d/yy;@"/>
    <numFmt numFmtId="178" formatCode="_-[$$-409]* #,##0.00_ ;_-[$$-409]* \-#,##0.00\ ;_-[$$-409]* &quot;-&quot;??_ ;_-@_ "/>
  </numFmts>
  <fonts count="6" x14ac:knownFonts="1">
    <font>
      <sz val="11"/>
      <color theme="1"/>
      <name val="等线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176" fontId="3" fillId="0" borderId="0" applyFont="0" applyFill="0" applyBorder="0" applyAlignment="0" applyProtection="0"/>
  </cellStyleXfs>
  <cellXfs count="47">
    <xf numFmtId="0" fontId="0" fillId="0" borderId="0" xfId="0"/>
    <xf numFmtId="177" fontId="0" fillId="0" borderId="0" xfId="0" applyNumberFormat="1"/>
    <xf numFmtId="9" fontId="0" fillId="0" borderId="0" xfId="0" applyNumberFormat="1"/>
    <xf numFmtId="0" fontId="0" fillId="3" borderId="2" xfId="0" applyFill="1" applyBorder="1"/>
    <xf numFmtId="0" fontId="5" fillId="2" borderId="5" xfId="0" applyFont="1" applyFill="1" applyBorder="1"/>
    <xf numFmtId="0" fontId="5" fillId="2" borderId="4" xfId="0" applyFont="1" applyFill="1" applyBorder="1"/>
    <xf numFmtId="0" fontId="5" fillId="2" borderId="6" xfId="0" applyFont="1" applyFill="1" applyBorder="1"/>
    <xf numFmtId="177" fontId="0" fillId="3" borderId="5" xfId="0" applyNumberFormat="1" applyFill="1" applyBorder="1"/>
    <xf numFmtId="0" fontId="0" fillId="3" borderId="4" xfId="0" applyFill="1" applyBorder="1"/>
    <xf numFmtId="0" fontId="1" fillId="3" borderId="4" xfId="0" applyFont="1" applyFill="1" applyBorder="1" applyAlignment="1">
      <alignment horizontal="left" vertical="top"/>
    </xf>
    <xf numFmtId="178" fontId="0" fillId="3" borderId="4" xfId="1" applyNumberFormat="1" applyFont="1" applyFill="1" applyBorder="1"/>
    <xf numFmtId="178" fontId="0" fillId="3" borderId="6" xfId="0" applyNumberFormat="1" applyFill="1" applyBorder="1"/>
    <xf numFmtId="177" fontId="0" fillId="0" borderId="5" xfId="0" applyNumberFormat="1" applyBorder="1"/>
    <xf numFmtId="0" fontId="0" fillId="0" borderId="4" xfId="0" applyBorder="1"/>
    <xf numFmtId="0" fontId="1" fillId="0" borderId="4" xfId="0" applyFont="1" applyBorder="1" applyAlignment="1">
      <alignment horizontal="left" vertical="top"/>
    </xf>
    <xf numFmtId="178" fontId="0" fillId="0" borderId="4" xfId="1" applyNumberFormat="1" applyFont="1" applyBorder="1"/>
    <xf numFmtId="178" fontId="0" fillId="0" borderId="6" xfId="0" applyNumberFormat="1" applyBorder="1"/>
    <xf numFmtId="0" fontId="2" fillId="0" borderId="4" xfId="0" applyFont="1" applyBorder="1" applyAlignment="1">
      <alignment horizontal="left" vertical="top"/>
    </xf>
    <xf numFmtId="177" fontId="0" fillId="3" borderId="1" xfId="0" applyNumberFormat="1" applyFill="1" applyBorder="1"/>
    <xf numFmtId="0" fontId="1" fillId="3" borderId="2" xfId="0" applyFont="1" applyFill="1" applyBorder="1" applyAlignment="1">
      <alignment horizontal="left" vertical="top"/>
    </xf>
    <xf numFmtId="178" fontId="0" fillId="3" borderId="2" xfId="1" applyNumberFormat="1" applyFont="1" applyFill="1" applyBorder="1"/>
    <xf numFmtId="178" fontId="0" fillId="3" borderId="3" xfId="0" applyNumberFormat="1" applyFill="1" applyBorder="1"/>
    <xf numFmtId="178" fontId="0" fillId="0" borderId="0" xfId="0" applyNumberFormat="1"/>
    <xf numFmtId="0" fontId="0" fillId="3" borderId="2" xfId="0" applyFont="1" applyFill="1" applyBorder="1"/>
    <xf numFmtId="177" fontId="0" fillId="3" borderId="5" xfId="0" applyNumberFormat="1" applyFont="1" applyFill="1" applyBorder="1"/>
    <xf numFmtId="0" fontId="0" fillId="3" borderId="4" xfId="0" applyFont="1" applyFill="1" applyBorder="1"/>
    <xf numFmtId="178" fontId="0" fillId="3" borderId="4" xfId="1" applyNumberFormat="1" applyFont="1" applyFill="1" applyBorder="1"/>
    <xf numFmtId="178" fontId="0" fillId="3" borderId="6" xfId="0" applyNumberFormat="1" applyFont="1" applyFill="1" applyBorder="1"/>
    <xf numFmtId="177" fontId="0" fillId="0" borderId="5" xfId="0" applyNumberFormat="1" applyFont="1" applyBorder="1"/>
    <xf numFmtId="0" fontId="0" fillId="0" borderId="4" xfId="0" applyFont="1" applyBorder="1"/>
    <xf numFmtId="178" fontId="0" fillId="0" borderId="4" xfId="1" applyNumberFormat="1" applyFont="1" applyBorder="1"/>
    <xf numFmtId="178" fontId="0" fillId="0" borderId="6" xfId="0" applyNumberFormat="1" applyFont="1" applyBorder="1"/>
    <xf numFmtId="177" fontId="0" fillId="3" borderId="1" xfId="0" applyNumberFormat="1" applyFont="1" applyFill="1" applyBorder="1"/>
    <xf numFmtId="178" fontId="0" fillId="3" borderId="2" xfId="1" applyNumberFormat="1" applyFont="1" applyFill="1" applyBorder="1"/>
    <xf numFmtId="178" fontId="0" fillId="3" borderId="3" xfId="0" applyNumberFormat="1" applyFont="1" applyFill="1" applyBorder="1"/>
    <xf numFmtId="178" fontId="0" fillId="3" borderId="4" xfId="0" applyNumberFormat="1" applyFont="1" applyFill="1" applyBorder="1"/>
    <xf numFmtId="178" fontId="0" fillId="0" borderId="4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7" fontId="0" fillId="3" borderId="4" xfId="0" applyNumberFormat="1" applyFont="1" applyFill="1" applyBorder="1"/>
    <xf numFmtId="177" fontId="0" fillId="0" borderId="4" xfId="0" applyNumberFormat="1" applyFont="1" applyBorder="1"/>
    <xf numFmtId="0" fontId="5" fillId="2" borderId="0" xfId="0" applyFont="1" applyFill="1" applyBorder="1"/>
    <xf numFmtId="0" fontId="0" fillId="0" borderId="0" xfId="0" applyAlignment="1">
      <alignment horizontal="left" indent="1"/>
    </xf>
    <xf numFmtId="10" fontId="0" fillId="0" borderId="0" xfId="0" applyNumberFormat="1"/>
    <xf numFmtId="178" fontId="0" fillId="4" borderId="4" xfId="1" applyNumberFormat="1" applyFont="1" applyFill="1" applyBorder="1"/>
    <xf numFmtId="178" fontId="0" fillId="5" borderId="4" xfId="1" applyNumberFormat="1" applyFont="1" applyFill="1" applyBorder="1"/>
  </cellXfs>
  <cellStyles count="2">
    <cellStyle name="常规" xfId="0" builtinId="0"/>
    <cellStyle name="货币" xfId="1" builtinId="4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等线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numFmt numFmtId="178" formatCode="_-[$$-409]* #,##0.00_ ;_-[$$-409]* \-#,##0.00\ ;_-[$$-409]* &quot;-&quot;??_ ;_-@_ 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numFmt numFmtId="178" formatCode="_-[$$-409]* #,##0.00_ ;_-[$$-409]* \-#,##0.00\ ;_-[$$-409]* &quot;-&quot;??_ ;_-@_ 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numFmt numFmtId="178" formatCode="_-[$$-409]* #,##0.00_ ;_-[$$-409]* \-#,##0.00\ ;_-[$$-409]* &quot;-&quot;??_ ;_-@_ 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numFmt numFmtId="177" formatCode="m/d/yy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theme="4" tint="0.39997558519241921"/>
        </bottom>
      </border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77" formatCode="m/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586741</xdr:colOff>
      <xdr:row>0</xdr:row>
      <xdr:rowOff>22860</xdr:rowOff>
    </xdr:from>
    <xdr:to>
      <xdr:col>3</xdr:col>
      <xdr:colOff>617221</xdr:colOff>
      <xdr:row>7</xdr:row>
      <xdr:rowOff>138743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FDBA86B-0A7E-07BC-7B34-FAB68E6C6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1" y="22860"/>
          <a:ext cx="3901440" cy="1342703"/>
        </a:xfrm>
        <a:prstGeom prst="rect">
          <a:avLst/>
        </a:prstGeom>
      </xdr:spPr>
    </xdr:pic>
    <xdr:clientData/>
  </xdr:twoCellAnchor>
  <xdr:twoCellAnchor editAs="oneCell">
    <xdr:from>
      <xdr:col>8</xdr:col>
      <xdr:colOff>213361</xdr:colOff>
      <xdr:row>0</xdr:row>
      <xdr:rowOff>38100</xdr:rowOff>
    </xdr:from>
    <xdr:to>
      <xdr:col>10</xdr:col>
      <xdr:colOff>739277</xdr:colOff>
      <xdr:row>4</xdr:row>
      <xdr:rowOff>121920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08820F4-B569-91F0-BC2F-D8F68F09F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0161" y="38100"/>
          <a:ext cx="3573916" cy="784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563880</xdr:colOff>
      <xdr:row>0</xdr:row>
      <xdr:rowOff>0</xdr:rowOff>
    </xdr:from>
    <xdr:to>
      <xdr:col>5</xdr:col>
      <xdr:colOff>952500</xdr:colOff>
      <xdr:row>10</xdr:row>
      <xdr:rowOff>84505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75515DB-0FAA-62E6-02D7-10F0D13C3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" y="0"/>
          <a:ext cx="4213860" cy="1837105"/>
        </a:xfrm>
        <a:prstGeom prst="rect">
          <a:avLst/>
        </a:prstGeom>
      </xdr:spPr>
    </xdr:pic>
    <xdr:clientData/>
  </xdr:twoCellAnchor>
  <xdr:twoCellAnchor editAs="oneCell">
    <xdr:from>
      <xdr:col>8</xdr:col>
      <xdr:colOff>434340</xdr:colOff>
      <xdr:row>0</xdr:row>
      <xdr:rowOff>53340</xdr:rowOff>
    </xdr:from>
    <xdr:to>
      <xdr:col>12</xdr:col>
      <xdr:colOff>473010</xdr:colOff>
      <xdr:row>5</xdr:row>
      <xdr:rowOff>137160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1B3E483-0416-E1D8-E1EB-E2D0FD949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11140" y="53340"/>
          <a:ext cx="4092510" cy="96012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AWEI" refreshedDate="45207.458923379629" createdVersion="8" refreshedVersion="8" minRefreshableVersion="3" recordCount="791" xr:uid="{60B70C50-D537-4958-B6C5-E5B1300BD944}">
  <cacheSource type="worksheet">
    <worksheetSource ref="A1:G792" sheet="SalesData1"/>
  </cacheSource>
  <cacheFields count="11">
    <cacheField name="Date" numFmtId="177">
      <sharedItems containsSemiMixedTypes="0" containsNonDate="0" containsDate="1" containsString="0" minDate="2013-01-01T00:00:00" maxDate="2015-12-27T00:00:00" count="520"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2-02T00:00:00"/>
        <d v="2013-02-05T00:00:00"/>
        <d v="2013-02-12T00:00:00"/>
        <d v="2013-02-13T00:00:00"/>
        <d v="2013-02-15T00:00:00"/>
        <d v="2013-02-18T00:00:00"/>
        <d v="2013-02-19T00:00:00"/>
        <d v="2013-02-20T00:00:00"/>
        <d v="2013-02-21T00:00:00"/>
        <d v="2013-02-25T00:00:00"/>
        <d v="2013-02-26T00:00:00"/>
        <d v="2013-02-27T00:00:00"/>
        <d v="2013-02-28T00:00:00"/>
        <d v="2013-03-02T00:00:00"/>
        <d v="2013-03-03T00:00:00"/>
        <d v="2013-03-05T00:00:00"/>
        <d v="2013-03-06T00:00:00"/>
        <d v="2013-03-07T00:00:00"/>
        <d v="2013-03-10T00:00:00"/>
        <d v="2013-03-12T00:00:00"/>
        <d v="2013-03-17T00:00:00"/>
        <d v="2013-03-18T00:00:00"/>
        <d v="2013-03-20T00:00:00"/>
        <d v="2013-03-22T00:00:00"/>
        <d v="2013-03-25T00:00:00"/>
        <d v="2013-03-26T00:00:00"/>
        <d v="2013-04-04T00:00:00"/>
        <d v="2013-04-09T00:00:00"/>
        <d v="2013-04-13T00:00:00"/>
        <d v="2013-04-21T00:00:00"/>
        <d v="2013-04-23T00:00:00"/>
        <d v="2013-04-24T00:00:00"/>
        <d v="2013-04-25T00:00:00"/>
        <d v="2013-04-26T00:00:00"/>
        <d v="2013-04-27T00:00:00"/>
        <d v="2013-05-02T00:00:00"/>
        <d v="2013-05-04T00:00:00"/>
        <d v="2013-05-07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8T00:00:00"/>
        <d v="2013-05-22T00:00:00"/>
        <d v="2013-05-23T00:00:00"/>
        <d v="2013-05-24T00:00:00"/>
        <d v="2013-06-01T00:00:00"/>
        <d v="2013-06-02T00:00:00"/>
        <d v="2013-06-03T00:00:00"/>
        <d v="2013-06-04T00:00:00"/>
        <d v="2013-06-06T00:00:00"/>
        <d v="2013-06-07T00:00:00"/>
        <d v="2013-06-08T00:00:00"/>
        <d v="2013-06-09T00:00:00"/>
        <d v="2013-06-10T00:00:00"/>
        <d v="2013-06-13T00:00:00"/>
        <d v="2013-06-17T00:00:00"/>
        <d v="2013-06-18T00:00:00"/>
        <d v="2013-06-19T00:00:00"/>
        <d v="2013-06-20T00:00:00"/>
        <d v="2013-06-23T00:00:00"/>
        <d v="2013-06-24T00:00:00"/>
        <d v="2013-06-27T00:00:00"/>
        <d v="2013-07-01T00:00:00"/>
        <d v="2013-07-02T00:00:00"/>
        <d v="2013-07-03T00:00:00"/>
        <d v="2013-07-04T00:00:00"/>
        <d v="2013-07-06T00:00:00"/>
        <d v="2013-07-07T00:00:00"/>
        <d v="2013-07-08T00:00:00"/>
        <d v="2013-07-12T00:00:00"/>
        <d v="2013-07-14T00:00:00"/>
        <d v="2013-07-15T00:00:00"/>
        <d v="2013-07-18T00:00:00"/>
        <d v="2013-07-21T00:00:00"/>
        <d v="2013-07-24T00:00:00"/>
        <d v="2013-07-26T00:00:00"/>
        <d v="2013-07-28T00:00:00"/>
        <d v="2013-08-02T00:00:00"/>
        <d v="2013-08-05T00:00:00"/>
        <d v="2013-08-06T00:00:00"/>
        <d v="2013-08-07T00:00:00"/>
        <d v="2013-08-08T00:00:00"/>
        <d v="2013-08-09T00:00:00"/>
        <d v="2013-08-11T00:00:00"/>
        <d v="2013-08-13T00:00:00"/>
        <d v="2013-08-14T00:00:00"/>
        <d v="2013-08-17T00:00:00"/>
        <d v="2013-08-18T00:00:00"/>
        <d v="2013-08-20T00:00:00"/>
        <d v="2013-08-21T00:00:00"/>
        <d v="2013-08-23T00:00:00"/>
        <d v="2013-08-24T00:00:00"/>
        <d v="2013-08-25T00:00:00"/>
        <d v="2013-08-26T00:00:00"/>
        <d v="2013-09-01T00:00:00"/>
        <d v="2013-09-02T00:00:00"/>
        <d v="2013-09-03T00:00:00"/>
        <d v="2013-09-04T00:00:00"/>
        <d v="2013-09-05T00:00:00"/>
        <d v="2013-09-06T00:00:00"/>
        <d v="2013-09-10T00:00:00"/>
        <d v="2013-09-12T00:00:00"/>
        <d v="2013-09-13T00:00:00"/>
        <d v="2013-09-14T00:00:00"/>
        <d v="2013-09-15T00:00:00"/>
        <d v="2013-09-17T00:00:00"/>
        <d v="2013-09-18T00:00:00"/>
        <d v="2013-09-20T00:00:00"/>
        <d v="2013-09-21T00:00:00"/>
        <d v="2013-09-22T00:00:00"/>
        <d v="2013-09-25T00:00:00"/>
        <d v="2013-09-26T00:00:00"/>
        <d v="2013-09-27T00:00:00"/>
        <d v="2013-09-28T00:00:00"/>
        <d v="2013-10-02T00:00:00"/>
        <d v="2013-10-03T00:00:00"/>
        <d v="2013-10-04T00:00:00"/>
        <d v="2013-10-05T00:00:00"/>
        <d v="2013-10-06T00:00:00"/>
        <d v="2013-10-08T00:00:00"/>
        <d v="2013-10-09T00:00:00"/>
        <d v="2013-10-11T00:00:00"/>
        <d v="2013-10-12T00:00:00"/>
        <d v="2013-10-16T00:00:00"/>
        <d v="2013-10-18T00:00:00"/>
        <d v="2013-10-21T00:00:00"/>
        <d v="2013-10-22T00:00:00"/>
        <d v="2013-10-23T00:00:00"/>
        <d v="2013-10-28T00:00:00"/>
        <d v="2013-11-03T00:00:00"/>
        <d v="2013-11-05T00:00:00"/>
        <d v="2013-11-10T00:00:00"/>
        <d v="2013-11-13T00:00:00"/>
        <d v="2013-11-14T00:00:00"/>
        <d v="2013-11-17T00:00:00"/>
        <d v="2013-11-18T00:00:00"/>
        <d v="2013-11-19T00:00:00"/>
        <d v="2013-11-23T00:00:00"/>
        <d v="2013-11-24T00:00:00"/>
        <d v="2013-12-03T00:00:00"/>
        <d v="2013-12-05T00:00:00"/>
        <d v="2013-12-10T00:00:00"/>
        <d v="2013-12-15T00:00:00"/>
        <d v="2013-12-20T00:00:00"/>
        <d v="2013-12-21T00:00:00"/>
        <d v="2013-12-26T00:00:00"/>
        <d v="2013-12-27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2-04T00:00:00"/>
        <d v="2014-02-07T00:00:00"/>
        <d v="2014-02-08T00:00:00"/>
        <d v="2014-02-09T00:00:00"/>
        <d v="2014-02-12T00:00:00"/>
        <d v="2014-02-13T00:00:00"/>
        <d v="2014-02-21T00:00:00"/>
        <d v="2014-02-22T00:00:00"/>
        <d v="2014-02-23T00:00:00"/>
        <d v="2014-02-24T00:00:00"/>
        <d v="2014-03-01T00:00:00"/>
        <d v="2014-03-05T00:00:00"/>
        <d v="2014-03-06T00:00:00"/>
        <d v="2014-03-07T00:00:00"/>
        <d v="2014-03-08T00:00:00"/>
        <d v="2014-03-10T00:00:00"/>
        <d v="2014-03-12T00:00:00"/>
        <d v="2014-03-15T00:00:00"/>
        <d v="2014-03-18T00:00:00"/>
        <d v="2014-03-19T00:00:00"/>
        <d v="2014-03-20T00:00:00"/>
        <d v="2014-03-27T00:00:00"/>
        <d v="2014-04-02T00:00:00"/>
        <d v="2014-04-06T00:00:00"/>
        <d v="2014-04-08T00:00:00"/>
        <d v="2014-04-09T00:00:00"/>
        <d v="2014-04-10T00:00:00"/>
        <d v="2014-04-11T00:00:00"/>
        <d v="2014-04-12T00:00:00"/>
        <d v="2014-04-16T00:00:00"/>
        <d v="2014-04-17T00:00:00"/>
        <d v="2014-04-19T00:00:00"/>
        <d v="2014-04-24T00:00:00"/>
        <d v="2014-04-25T00:00:00"/>
        <d v="2014-04-28T00:00:00"/>
        <d v="2014-05-01T00:00:00"/>
        <d v="2014-05-05T00:00:00"/>
        <d v="2014-05-06T00:00:00"/>
        <d v="2014-05-08T00:00:00"/>
        <d v="2014-05-10T00:00:00"/>
        <d v="2014-05-14T00:00:00"/>
        <d v="2014-05-15T00:00:00"/>
        <d v="2014-05-17T00:00:00"/>
        <d v="2014-05-18T00:00:00"/>
        <d v="2014-05-19T00:00:00"/>
        <d v="2014-05-20T00:00:00"/>
        <d v="2014-05-23T00:00:00"/>
        <d v="2014-05-24T00:00:00"/>
        <d v="2014-05-28T00:00:00"/>
        <d v="2014-06-04T00:00:00"/>
        <d v="2014-06-07T00:00:00"/>
        <d v="2014-06-09T00:00:00"/>
        <d v="2014-06-10T00:00:00"/>
        <d v="2014-06-11T00:00:00"/>
        <d v="2014-06-12T00:00:00"/>
        <d v="2014-06-14T00:00:00"/>
        <d v="2014-06-15T00:00:00"/>
        <d v="2014-06-16T00:00:00"/>
        <d v="2014-06-18T00:00:00"/>
        <d v="2014-06-19T00:00:00"/>
        <d v="2014-06-22T00:00:00"/>
        <d v="2014-06-23T00:00:00"/>
        <d v="2014-06-25T00:00:00"/>
        <d v="2014-06-26T00:00:00"/>
        <d v="2014-06-27T00:00:00"/>
        <d v="2014-06-28T00:00:00"/>
        <d v="2014-07-03T00:00:00"/>
        <d v="2014-07-05T00:00:00"/>
        <d v="2014-07-09T00:00:00"/>
        <d v="2014-07-13T00:00:00"/>
        <d v="2014-07-16T00:00:00"/>
        <d v="2014-07-19T00:00:00"/>
        <d v="2014-07-20T00:00:00"/>
        <d v="2014-07-21T00:00:00"/>
        <d v="2014-07-24T00:00:00"/>
        <d v="2014-07-27T00:00:00"/>
        <d v="2014-08-02T00:00:00"/>
        <d v="2014-08-04T00:00:00"/>
        <d v="2014-08-06T00:00:00"/>
        <d v="2014-08-07T00:00:00"/>
        <d v="2014-08-08T00:00:00"/>
        <d v="2014-08-10T00:00:00"/>
        <d v="2014-08-11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2T00:00:00"/>
        <d v="2014-08-23T00:00:00"/>
        <d v="2014-08-24T00:00:00"/>
        <d v="2014-08-25T00:00:00"/>
        <d v="2014-08-28T00:00:00"/>
        <d v="2014-09-03T00:00:00"/>
        <d v="2014-09-04T00:00:00"/>
        <d v="2014-09-06T00:00:00"/>
        <d v="2014-09-11T00:00:00"/>
        <d v="2014-09-12T00:00:00"/>
        <d v="2014-09-13T00:00:00"/>
        <d v="2014-09-15T00:00:00"/>
        <d v="2014-09-16T00:00:00"/>
        <d v="2014-09-17T00:00:00"/>
        <d v="2014-09-18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8T00:00:00"/>
        <d v="2014-10-02T00:00:00"/>
        <d v="2014-10-03T00:00:00"/>
        <d v="2014-10-06T00:00:00"/>
        <d v="2014-10-11T00:00:00"/>
        <d v="2014-10-15T00:00:00"/>
        <d v="2014-10-19T00:00:00"/>
        <d v="2014-10-20T00:00:00"/>
        <d v="2014-10-22T00:00:00"/>
        <d v="2014-10-27T00:00:00"/>
        <d v="2014-10-28T00:00:00"/>
        <d v="2014-11-02T00:00:00"/>
        <d v="2014-11-03T00:00:00"/>
        <d v="2014-11-04T00:00:00"/>
        <d v="2014-11-05T00:00:00"/>
        <d v="2014-11-07T00:00:00"/>
        <d v="2014-11-08T00:00:00"/>
        <d v="2014-11-10T00:00:00"/>
        <d v="2014-11-11T00:00:00"/>
        <d v="2014-11-14T00:00:00"/>
        <d v="2014-11-15T00:00:00"/>
        <d v="2014-11-16T00:00:00"/>
        <d v="2014-11-20T00:00:00"/>
        <d v="2014-11-21T00:00:00"/>
        <d v="2014-11-23T00:00:00"/>
        <d v="2014-11-26T00:00:00"/>
        <d v="2014-11-27T00:00:00"/>
        <d v="2014-12-03T00:00:00"/>
        <d v="2014-12-04T00:00:00"/>
        <d v="2014-12-08T00:00:00"/>
        <d v="2014-12-21T00:00:00"/>
        <d v="2014-12-25T00:00:00"/>
        <d v="2014-12-27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20T00:00:00"/>
        <d v="2015-01-21T00:00:00"/>
        <d v="2015-01-22T00:00:00"/>
        <d v="2015-01-23T00:00:00"/>
        <d v="2015-01-25T00:00:00"/>
        <d v="2015-01-26T00:00:00"/>
        <d v="2015-01-27T00:00:00"/>
        <d v="2015-01-28T00:00:00"/>
        <d v="2015-02-03T00:00:00"/>
        <d v="2015-02-05T00:00:00"/>
        <d v="2015-02-06T00:00:00"/>
        <d v="2015-02-07T00:00:00"/>
        <d v="2015-02-10T00:00:00"/>
        <d v="2015-02-13T00:00:00"/>
        <d v="2015-02-14T00:00:00"/>
        <d v="2015-02-16T00:00:00"/>
        <d v="2015-02-17T00:00:00"/>
        <d v="2015-02-18T00:00:00"/>
        <d v="2015-02-19T00:00:00"/>
        <d v="2015-02-23T00:00:00"/>
        <d v="2015-03-01T00:00:00"/>
        <d v="2015-03-04T00:00:00"/>
        <d v="2015-03-08T00:00:00"/>
        <d v="2015-03-09T00:00:00"/>
        <d v="2015-03-10T00:00:00"/>
        <d v="2015-03-12T00:00:00"/>
        <d v="2015-03-14T00:00:00"/>
        <d v="2015-03-15T00:00:00"/>
        <d v="2015-03-17T00:00:00"/>
        <d v="2015-03-19T00:00:00"/>
        <d v="2015-03-22T00:00:00"/>
        <d v="2015-03-27T00:00:00"/>
        <d v="2015-03-28T00:00:00"/>
        <d v="2015-04-01T00:00:00"/>
        <d v="2015-04-02T00:00:00"/>
        <d v="2015-04-04T00:00:00"/>
        <d v="2015-04-10T00:00:00"/>
        <d v="2015-04-12T00:00:00"/>
        <d v="2015-04-14T00:00:00"/>
        <d v="2015-04-16T00:00:00"/>
        <d v="2015-04-17T00:00:00"/>
        <d v="2015-04-18T00:00:00"/>
        <d v="2015-04-20T00:00:00"/>
        <d v="2015-04-22T00:00:00"/>
        <d v="2015-04-24T00:00:00"/>
        <d v="2015-04-25T00:00:00"/>
        <d v="2015-04-27T00:00:00"/>
        <d v="2015-05-01T00:00:00"/>
        <d v="2015-05-03T00:00:00"/>
        <d v="2015-05-04T00:00:00"/>
        <d v="2015-05-05T00:00:00"/>
        <d v="2015-05-07T00:00:00"/>
        <d v="2015-05-09T00:00:00"/>
        <d v="2015-05-10T00:00:00"/>
        <d v="2015-05-11T00:00:00"/>
        <d v="2015-05-12T00:00:00"/>
        <d v="2015-05-13T00:00:00"/>
        <d v="2015-05-15T00:00:00"/>
        <d v="2015-05-18T00:00:00"/>
        <d v="2015-05-19T00:00:00"/>
        <d v="2015-05-23T00:00:00"/>
        <d v="2015-05-24T00:00:00"/>
        <d v="2015-05-27T00:00:00"/>
        <d v="2015-05-28T00:00:00"/>
        <d v="2015-06-03T00:00:00"/>
        <d v="2015-06-04T00:00:00"/>
        <d v="2015-06-05T00:00:00"/>
        <d v="2015-06-07T00:00:00"/>
        <d v="2015-06-09T00:00:00"/>
        <d v="2015-06-10T00:00:00"/>
        <d v="2015-06-11T00:00:00"/>
        <d v="2015-06-13T00:00:00"/>
        <d v="2015-06-17T00:00:00"/>
        <d v="2015-06-20T00:00:00"/>
        <d v="2015-06-21T00:00:00"/>
        <d v="2015-06-22T00:00:00"/>
        <d v="2015-06-23T00:00:00"/>
        <d v="2015-06-25T00:00:00"/>
        <d v="2015-06-26T00:00:00"/>
        <d v="2015-06-27T00:00:00"/>
        <d v="2015-06-28T00:00:00"/>
        <d v="2015-07-01T00:00:00"/>
        <d v="2015-07-08T00:00:00"/>
        <d v="2015-07-14T00:00:00"/>
        <d v="2015-07-21T00:00:00"/>
        <d v="2015-07-22T00:00:00"/>
        <d v="2015-07-25T00:00:00"/>
        <d v="2015-07-26T00:00:00"/>
        <d v="2015-07-27T00:00:00"/>
        <d v="2015-07-28T00:00:00"/>
        <d v="2015-08-01T00:00:00"/>
        <d v="2015-08-02T00:00:00"/>
        <d v="2015-08-03T00:00:00"/>
        <d v="2015-08-04T00:00:00"/>
        <d v="2015-08-07T00:00:00"/>
        <d v="2015-08-08T00:00:00"/>
        <d v="2015-08-09T00:00:00"/>
        <d v="2015-08-10T00:00:00"/>
        <d v="2015-08-11T00:00:00"/>
        <d v="2015-08-13T00:00:00"/>
        <d v="2015-08-14T00:00:00"/>
        <d v="2015-08-16T00:00:00"/>
        <d v="2015-08-17T00:00:00"/>
        <d v="2015-08-18T00:00:00"/>
        <d v="2015-08-19T00:00:00"/>
        <d v="2015-08-20T00:00:00"/>
        <d v="2015-08-22T00:00:00"/>
        <d v="2015-08-23T00:00:00"/>
        <d v="2015-08-24T00:00:00"/>
        <d v="2015-08-25T00:00:00"/>
        <d v="2015-08-27T00:00:00"/>
        <d v="2015-09-01T00:00:00"/>
        <d v="2015-09-03T00:00:00"/>
        <d v="2015-09-04T00:00:00"/>
        <d v="2015-09-05T00:00:00"/>
        <d v="2015-09-06T00:00:00"/>
        <d v="2015-09-07T00:00:00"/>
        <d v="2015-09-10T00:00:00"/>
        <d v="2015-09-12T00:00:00"/>
        <d v="2015-09-14T00:00:00"/>
        <d v="2015-09-16T00:00:00"/>
        <d v="2015-09-20T00:00:00"/>
        <d v="2015-09-22T00:00:00"/>
        <d v="2015-09-25T00:00:00"/>
        <d v="2015-09-27T00:00:00"/>
        <d v="2015-09-28T00:00:00"/>
        <d v="2015-10-02T00:00:00"/>
        <d v="2015-10-06T00:00:00"/>
        <d v="2015-10-15T00:00:00"/>
        <d v="2015-10-18T00:00:00"/>
        <d v="2015-10-24T00:00:00"/>
        <d v="2015-10-25T00:00:00"/>
        <d v="2015-10-28T00:00:00"/>
        <d v="2015-11-01T00:00:00"/>
        <d v="2015-11-08T00:00:00"/>
        <d v="2015-11-09T00:00:00"/>
        <d v="2015-11-13T00:00:00"/>
        <d v="2015-11-18T00:00:00"/>
        <d v="2015-11-19T00:00:00"/>
        <d v="2015-11-21T00:00:00"/>
        <d v="2015-11-26T00:00:00"/>
        <d v="2015-12-01T00:00:00"/>
        <d v="2015-12-04T00:00:00"/>
        <d v="2015-12-08T00:00:00"/>
        <d v="2015-12-09T00:00:00"/>
        <d v="2015-12-11T00:00:00"/>
        <d v="2015-12-13T00:00:00"/>
        <d v="2015-12-17T00:00:00"/>
        <d v="2015-12-19T00:00:00"/>
        <d v="2015-12-22T00:00:00"/>
        <d v="2015-12-25T00:00:00"/>
        <d v="2015-12-26T00:00:00"/>
      </sharedItems>
      <fieldGroup par="9"/>
    </cacheField>
    <cacheField name="Country" numFmtId="0">
      <sharedItems count="52">
        <s v="Cote d'Ivoire"/>
        <s v="Madagascar"/>
        <s v="Rwanda"/>
        <s v="Zimbabwe"/>
        <s v="Ethiopia"/>
        <s v="Chad"/>
        <s v="Malawi"/>
        <s v="Mauritius"/>
        <s v="Sao Tome and Principe"/>
        <s v="Cameroon"/>
        <s v="Nigeria"/>
        <s v="Senegal"/>
        <s v="South Africa"/>
        <s v="Benin"/>
        <s v="Sierra Leone"/>
        <s v="Equatorial Guinea"/>
        <s v="Western Sahara"/>
        <s v="Sudan"/>
        <s v="Algeria"/>
        <s v="Eritrea"/>
        <s v="Libya"/>
        <s v="Niger"/>
        <s v="Togo"/>
        <s v="Guinea-Bissau"/>
        <s v="United Republic of Tanzania"/>
        <s v="Ghana"/>
        <s v="Botswana"/>
        <s v="Lesotho"/>
        <s v="Democratic Republic of the Congo"/>
        <s v="Burkina Faso"/>
        <s v="Somalia"/>
        <s v="Central African Republic"/>
        <s v="Gabon"/>
        <s v="Tunisia"/>
        <s v="Congo"/>
        <s v="Mozambique"/>
        <s v="Namibia"/>
        <s v="Seychelles"/>
        <s v="Swaziland"/>
        <s v="Angola"/>
        <s v="Mali"/>
        <s v="Uganda"/>
        <s v="Guinea"/>
        <s v="South Sudan"/>
        <s v="Zambia"/>
        <s v="Djibouti"/>
        <s v="Kenya"/>
        <s v="Liberia"/>
        <s v="Morocco"/>
        <s v="Egypt"/>
        <s v="Mauritania"/>
        <s v="Burundi"/>
      </sharedItems>
    </cacheField>
    <cacheField name="City" numFmtId="0">
      <sharedItems/>
    </cacheField>
    <cacheField name="Region" numFmtId="0">
      <sharedItems/>
    </cacheField>
    <cacheField name="Segment" numFmtId="0">
      <sharedItems/>
    </cacheField>
    <cacheField name="Sales" numFmtId="178">
      <sharedItems containsSemiMixedTypes="0" containsString="0" containsNumber="1" minValue="1.1400000000000001" maxValue="999.08"/>
    </cacheField>
    <cacheField name="Cost" numFmtId="178">
      <sharedItems containsSemiMixedTypes="0" containsString="0" containsNumber="1" minValue="1.08" maxValue="1054.71"/>
    </cacheField>
    <cacheField name="月(Date)" numFmtId="0" databaseField="0">
      <fieldGroup base="0">
        <rangePr groupBy="months" startDate="2013-01-01T00:00:00" endDate="2015-12-27T00:00:00"/>
        <groupItems count="14">
          <s v="&lt;2013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5/12/27"/>
        </groupItems>
      </fieldGroup>
    </cacheField>
    <cacheField name="季度(Date)" numFmtId="0" databaseField="0">
      <fieldGroup base="0">
        <rangePr groupBy="quarters" startDate="2013-01-01T00:00:00" endDate="2015-12-27T00:00:00"/>
        <groupItems count="6">
          <s v="&lt;2013/1/1"/>
          <s v="第一季"/>
          <s v="第二季"/>
          <s v="第三季"/>
          <s v="第四季"/>
          <s v="&gt;2015/12/27"/>
        </groupItems>
      </fieldGroup>
    </cacheField>
    <cacheField name="年(Date)" numFmtId="0" databaseField="0">
      <fieldGroup base="0">
        <rangePr groupBy="years" startDate="2013-01-01T00:00:00" endDate="2015-12-27T00:00:00"/>
        <groupItems count="5">
          <s v="&lt;2013/1/1"/>
          <s v="2013年"/>
          <s v="2014年"/>
          <s v="2015年"/>
          <s v="&gt;2015/12/27"/>
        </groupItems>
      </fieldGroup>
    </cacheField>
    <cacheField name="利润" numFmtId="0" formula="Sales -Cos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AWEI" refreshedDate="45207.502842939815" createdVersion="8" refreshedVersion="8" minRefreshableVersion="3" recordCount="791" xr:uid="{B1F2F33E-EF34-46BD-AD6A-DACFD7FB9A1B}">
  <cacheSource type="worksheet">
    <worksheetSource ref="A1:H792" sheet="SalesData 2"/>
  </cacheSource>
  <cacheFields count="11">
    <cacheField name="Date" numFmtId="177">
      <sharedItems containsSemiMixedTypes="0" containsNonDate="0" containsDate="1" containsString="0" minDate="2013-01-01T00:00:00" maxDate="2016-12-29T00:00:00" count="683"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2-02T00:00:00"/>
        <d v="2013-02-05T00:00:00"/>
        <d v="2013-02-12T00:00:00"/>
        <d v="2013-02-13T00:00:00"/>
        <d v="2013-02-15T00:00:00"/>
        <d v="2013-02-18T00:00:00"/>
        <d v="2013-02-19T00:00:00"/>
        <d v="2013-02-20T00:00:00"/>
        <d v="2013-02-21T00:00:00"/>
        <d v="2013-02-25T00:00:00"/>
        <d v="2013-02-26T00:00:00"/>
        <d v="2013-02-27T00:00:00"/>
        <d v="2013-02-28T00:00:00"/>
        <d v="2013-03-02T00:00:00"/>
        <d v="2013-03-03T00:00:00"/>
        <d v="2013-03-05T00:00:00"/>
        <d v="2013-03-06T00:00:00"/>
        <d v="2013-03-07T00:00:00"/>
        <d v="2013-03-10T00:00:00"/>
        <d v="2013-03-12T00:00:00"/>
        <d v="2013-03-17T00:00:00"/>
        <d v="2013-03-18T00:00:00"/>
        <d v="2013-03-20T00:00:00"/>
        <d v="2013-03-22T00:00:00"/>
        <d v="2013-03-25T00:00:00"/>
        <d v="2013-03-26T00:00:00"/>
        <d v="2013-04-04T00:00:00"/>
        <d v="2013-04-09T00:00:00"/>
        <d v="2013-04-13T00:00:00"/>
        <d v="2013-04-21T00:00:00"/>
        <d v="2013-04-23T00:00:00"/>
        <d v="2013-04-24T00:00:00"/>
        <d v="2013-04-25T00:00:00"/>
        <d v="2013-04-26T00:00:00"/>
        <d v="2013-04-27T00:00:00"/>
        <d v="2013-05-02T00:00:00"/>
        <d v="2013-05-04T00:00:00"/>
        <d v="2013-05-07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8T00:00:00"/>
        <d v="2013-05-22T00:00:00"/>
        <d v="2013-05-23T00:00:00"/>
        <d v="2013-05-24T00:00:00"/>
        <d v="2013-06-01T00:00:00"/>
        <d v="2013-06-02T00:00:00"/>
        <d v="2013-06-03T00:00:00"/>
        <d v="2013-06-04T00:00:00"/>
        <d v="2013-06-06T00:00:00"/>
        <d v="2013-06-07T00:00:00"/>
        <d v="2013-06-08T00:00:00"/>
        <d v="2013-06-09T00:00:00"/>
        <d v="2013-06-10T00:00:00"/>
        <d v="2013-06-13T00:00:00"/>
        <d v="2013-06-17T00:00:00"/>
        <d v="2013-06-18T00:00:00"/>
        <d v="2013-06-19T00:00:00"/>
        <d v="2013-06-20T00:00:00"/>
        <d v="2013-06-23T00:00:00"/>
        <d v="2013-06-24T00:00:00"/>
        <d v="2013-06-27T00:00:00"/>
        <d v="2013-07-01T00:00:00"/>
        <d v="2013-07-02T00:00:00"/>
        <d v="2013-07-03T00:00:00"/>
        <d v="2013-07-04T00:00:00"/>
        <d v="2013-07-06T00:00:00"/>
        <d v="2013-07-07T00:00:00"/>
        <d v="2013-07-08T00:00:00"/>
        <d v="2013-07-12T00:00:00"/>
        <d v="2013-07-14T00:00:00"/>
        <d v="2013-07-15T00:00:00"/>
        <d v="2013-07-18T00:00:00"/>
        <d v="2013-07-21T00:00:00"/>
        <d v="2013-07-24T00:00:00"/>
        <d v="2013-07-26T00:00:00"/>
        <d v="2013-07-28T00:00:00"/>
        <d v="2013-08-02T00:00:00"/>
        <d v="2013-08-05T00:00:00"/>
        <d v="2013-08-06T00:00:00"/>
        <d v="2013-08-07T00:00:00"/>
        <d v="2013-08-08T00:00:00"/>
        <d v="2013-08-09T00:00:00"/>
        <d v="2013-08-11T00:00:00"/>
        <d v="2013-08-13T00:00:00"/>
        <d v="2013-08-14T00:00:00"/>
        <d v="2013-08-17T00:00:00"/>
        <d v="2013-08-18T00:00:00"/>
        <d v="2013-08-20T00:00:00"/>
        <d v="2013-08-21T00:00:00"/>
        <d v="2013-08-23T00:00:00"/>
        <d v="2013-08-24T00:00:00"/>
        <d v="2013-08-25T00:00:00"/>
        <d v="2013-08-26T00:00:00"/>
        <d v="2013-09-01T00:00:00"/>
        <d v="2013-09-02T00:00:00"/>
        <d v="2013-09-03T00:00:00"/>
        <d v="2013-09-04T00:00:00"/>
        <d v="2013-09-05T00:00:00"/>
        <d v="2013-09-06T00:00:00"/>
        <d v="2013-09-10T00:00:00"/>
        <d v="2013-09-12T00:00:00"/>
        <d v="2013-09-13T00:00:00"/>
        <d v="2013-09-14T00:00:00"/>
        <d v="2013-09-15T00:00:00"/>
        <d v="2013-09-17T00:00:00"/>
        <d v="2013-09-18T00:00:00"/>
        <d v="2013-09-20T00:00:00"/>
        <d v="2013-09-21T00:00:00"/>
        <d v="2013-09-22T00:00:00"/>
        <d v="2013-09-25T00:00:00"/>
        <d v="2013-09-26T00:00:00"/>
        <d v="2013-09-27T00:00:00"/>
        <d v="2013-09-28T00:00:00"/>
        <d v="2013-10-02T00:00:00"/>
        <d v="2013-10-03T00:00:00"/>
        <d v="2013-10-04T00:00:00"/>
        <d v="2013-10-05T00:00:00"/>
        <d v="2013-10-06T00:00:00"/>
        <d v="2013-10-08T00:00:00"/>
        <d v="2013-10-09T00:00:00"/>
        <d v="2013-10-11T00:00:00"/>
        <d v="2013-10-12T00:00:00"/>
        <d v="2013-10-16T00:00:00"/>
        <d v="2013-10-18T00:00:00"/>
        <d v="2013-10-21T00:00:00"/>
        <d v="2013-10-22T00:00:00"/>
        <d v="2013-10-23T00:00:00"/>
        <d v="2013-10-28T00:00:00"/>
        <d v="2013-11-03T00:00:00"/>
        <d v="2013-11-05T00:00:00"/>
        <d v="2013-11-10T00:00:00"/>
        <d v="2013-11-13T00:00:00"/>
        <d v="2013-11-14T00:00:00"/>
        <d v="2013-11-17T00:00:00"/>
        <d v="2013-11-18T00:00:00"/>
        <d v="2013-11-19T00:00:00"/>
        <d v="2013-11-23T00:00:00"/>
        <d v="2013-11-24T00:00:00"/>
        <d v="2013-12-03T00:00:00"/>
        <d v="2013-12-05T00:00:00"/>
        <d v="2013-12-10T00:00:00"/>
        <d v="2013-12-15T00:00:00"/>
        <d v="2013-12-20T00:00:00"/>
        <d v="2013-12-21T00:00:00"/>
        <d v="2013-12-26T00:00:00"/>
        <d v="2013-12-27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2-04T00:00:00"/>
        <d v="2014-02-07T00:00:00"/>
        <d v="2014-02-08T00:00:00"/>
        <d v="2014-02-09T00:00:00"/>
        <d v="2014-02-12T00:00:00"/>
        <d v="2014-02-13T00:00:00"/>
        <d v="2014-02-21T00:00:00"/>
        <d v="2014-02-22T00:00:00"/>
        <d v="2014-02-23T00:00:00"/>
        <d v="2014-02-24T00:00:00"/>
        <d v="2014-03-01T00:00:00"/>
        <d v="2014-03-05T00:00:00"/>
        <d v="2014-03-06T00:00:00"/>
        <d v="2014-03-07T00:00:00"/>
        <d v="2014-03-08T00:00:00"/>
        <d v="2014-03-10T00:00:00"/>
        <d v="2014-03-12T00:00:00"/>
        <d v="2014-03-15T00:00:00"/>
        <d v="2014-03-18T00:00:00"/>
        <d v="2014-03-19T00:00:00"/>
        <d v="2014-03-20T00:00:00"/>
        <d v="2014-03-27T00:00:00"/>
        <d v="2014-04-02T00:00:00"/>
        <d v="2014-04-06T00:00:00"/>
        <d v="2014-04-08T00:00:00"/>
        <d v="2014-04-09T00:00:00"/>
        <d v="2014-04-10T00:00:00"/>
        <d v="2014-04-11T00:00:00"/>
        <d v="2014-04-12T00:00:00"/>
        <d v="2014-04-16T00:00:00"/>
        <d v="2014-04-17T00:00:00"/>
        <d v="2014-04-19T00:00:00"/>
        <d v="2014-04-24T00:00:00"/>
        <d v="2014-04-25T00:00:00"/>
        <d v="2014-04-28T00:00:00"/>
        <d v="2014-05-01T00:00:00"/>
        <d v="2014-05-05T00:00:00"/>
        <d v="2014-05-06T00:00:00"/>
        <d v="2014-05-08T00:00:00"/>
        <d v="2014-05-10T00:00:00"/>
        <d v="2014-05-14T00:00:00"/>
        <d v="2014-05-15T00:00:00"/>
        <d v="2014-05-17T00:00:00"/>
        <d v="2014-05-18T00:00:00"/>
        <d v="2014-05-19T00:00:00"/>
        <d v="2014-05-20T00:00:00"/>
        <d v="2014-05-23T00:00:00"/>
        <d v="2014-05-24T00:00:00"/>
        <d v="2014-05-28T00:00:00"/>
        <d v="2014-06-04T00:00:00"/>
        <d v="2014-06-07T00:00:00"/>
        <d v="2014-06-09T00:00:00"/>
        <d v="2014-06-10T00:00:00"/>
        <d v="2014-06-11T00:00:00"/>
        <d v="2014-06-12T00:00:00"/>
        <d v="2014-06-14T00:00:00"/>
        <d v="2014-06-15T00:00:00"/>
        <d v="2014-06-16T00:00:00"/>
        <d v="2014-06-18T00:00:00"/>
        <d v="2014-06-19T00:00:00"/>
        <d v="2014-06-22T00:00:00"/>
        <d v="2014-06-23T00:00:00"/>
        <d v="2014-06-25T00:00:00"/>
        <d v="2014-06-26T00:00:00"/>
        <d v="2014-06-27T00:00:00"/>
        <d v="2014-06-28T00:00:00"/>
        <d v="2014-07-03T00:00:00"/>
        <d v="2014-07-05T00:00:00"/>
        <d v="2014-07-09T00:00:00"/>
        <d v="2014-07-13T00:00:00"/>
        <d v="2014-07-16T00:00:00"/>
        <d v="2014-07-19T00:00:00"/>
        <d v="2014-07-20T00:00:00"/>
        <d v="2014-07-21T00:00:00"/>
        <d v="2014-07-24T00:00:00"/>
        <d v="2014-07-27T00:00:00"/>
        <d v="2014-08-02T00:00:00"/>
        <d v="2014-08-04T00:00:00"/>
        <d v="2014-08-06T00:00:00"/>
        <d v="2014-08-07T00:00:00"/>
        <d v="2014-08-08T00:00:00"/>
        <d v="2014-08-10T00:00:00"/>
        <d v="2014-08-11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2T00:00:00"/>
        <d v="2014-08-23T00:00:00"/>
        <d v="2014-08-24T00:00:00"/>
        <d v="2014-08-25T00:00:00"/>
        <d v="2014-08-28T00:00:00"/>
        <d v="2014-09-03T00:00:00"/>
        <d v="2014-09-04T00:00:00"/>
        <d v="2014-09-06T00:00:00"/>
        <d v="2014-09-11T00:00:00"/>
        <d v="2014-09-12T00:00:00"/>
        <d v="2014-09-13T00:00:00"/>
        <d v="2014-09-15T00:00:00"/>
        <d v="2014-09-16T00:00:00"/>
        <d v="2014-09-17T00:00:00"/>
        <d v="2014-09-18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8T00:00:00"/>
        <d v="2014-10-02T00:00:00"/>
        <d v="2014-10-03T00:00:00"/>
        <d v="2014-10-06T00:00:00"/>
        <d v="2014-10-11T00:00:00"/>
        <d v="2014-10-15T00:00:00"/>
        <d v="2014-10-19T00:00:00"/>
        <d v="2014-10-20T00:00:00"/>
        <d v="2014-10-22T00:00:00"/>
        <d v="2014-10-27T00:00:00"/>
        <d v="2014-10-28T00:00:00"/>
        <d v="2014-11-02T00:00:00"/>
        <d v="2014-11-03T00:00:00"/>
        <d v="2014-11-04T00:00:00"/>
        <d v="2014-11-05T00:00:00"/>
        <d v="2014-11-07T00:00:00"/>
        <d v="2014-11-08T00:00:00"/>
        <d v="2014-11-10T00:00:00"/>
        <d v="2014-11-11T00:00:00"/>
        <d v="2014-11-14T00:00:00"/>
        <d v="2014-11-15T00:00:00"/>
        <d v="2014-11-16T00:00:00"/>
        <d v="2014-11-20T00:00:00"/>
        <d v="2014-11-21T00:00:00"/>
        <d v="2014-11-23T00:00:00"/>
        <d v="2014-11-26T00:00:00"/>
        <d v="2014-11-27T00:00:00"/>
        <d v="2014-12-03T00:00:00"/>
        <d v="2014-12-04T00:00:00"/>
        <d v="2014-12-08T00:00:00"/>
        <d v="2014-12-21T00:00:00"/>
        <d v="2014-12-25T00:00:00"/>
        <d v="2014-12-27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20T00:00:00"/>
        <d v="2015-01-21T00:00:00"/>
        <d v="2015-01-22T00:00:00"/>
        <d v="2015-01-23T00:00:00"/>
        <d v="2015-01-25T00:00:00"/>
        <d v="2015-01-26T00:00:00"/>
        <d v="2015-01-27T00:00:00"/>
        <d v="2015-01-28T00:00:00"/>
        <d v="2015-02-03T00:00:00"/>
        <d v="2015-02-05T00:00:00"/>
        <d v="2015-02-06T00:00:00"/>
        <d v="2015-02-07T00:00:00"/>
        <d v="2015-02-10T00:00:00"/>
        <d v="2015-02-13T00:00:00"/>
        <d v="2015-02-14T00:00:00"/>
        <d v="2015-02-16T00:00:00"/>
        <d v="2015-02-17T00:00:00"/>
        <d v="2015-02-18T00:00:00"/>
        <d v="2015-02-19T00:00:00"/>
        <d v="2015-02-23T00:00:00"/>
        <d v="2015-03-01T00:00:00"/>
        <d v="2015-03-04T00:00:00"/>
        <d v="2015-03-08T00:00:00"/>
        <d v="2015-03-09T00:00:00"/>
        <d v="2015-03-10T00:00:00"/>
        <d v="2015-03-12T00:00:00"/>
        <d v="2015-03-14T00:00:00"/>
        <d v="2015-03-15T00:00:00"/>
        <d v="2015-03-17T00:00:00"/>
        <d v="2015-03-19T00:00:00"/>
        <d v="2015-03-22T00:00:00"/>
        <d v="2015-03-27T00:00:00"/>
        <d v="2015-03-28T00:00:00"/>
        <d v="2015-04-01T00:00:00"/>
        <d v="2015-04-02T00:00:00"/>
        <d v="2015-04-04T00:00:00"/>
        <d v="2015-04-10T00:00:00"/>
        <d v="2015-04-12T00:00:00"/>
        <d v="2015-04-14T00:00:00"/>
        <d v="2015-04-16T00:00:00"/>
        <d v="2015-04-17T00:00:00"/>
        <d v="2015-04-18T00:00:00"/>
        <d v="2015-04-20T00:00:00"/>
        <d v="2015-04-22T00:00:00"/>
        <d v="2015-04-24T00:00:00"/>
        <d v="2015-04-25T00:00:00"/>
        <d v="2015-04-27T00:00:00"/>
        <d v="2015-05-01T00:00:00"/>
        <d v="2015-05-03T00:00:00"/>
        <d v="2015-05-04T00:00:00"/>
        <d v="2015-05-05T00:00:00"/>
        <d v="2015-05-07T00:00:00"/>
        <d v="2015-05-09T00:00:00"/>
        <d v="2015-05-10T00:00:00"/>
        <d v="2015-05-11T00:00:00"/>
        <d v="2015-05-12T00:00:00"/>
        <d v="2015-05-13T00:00:00"/>
        <d v="2015-05-15T00:00:00"/>
        <d v="2015-05-18T00:00:00"/>
        <d v="2015-05-19T00:00:00"/>
        <d v="2015-05-23T00:00:00"/>
        <d v="2015-05-24T00:00:00"/>
        <d v="2015-05-27T00:00:00"/>
        <d v="2015-05-28T00:00:00"/>
        <d v="2015-06-03T00:00:00"/>
        <d v="2015-06-04T00:00:00"/>
        <d v="2015-06-05T00:00:00"/>
        <d v="2015-06-07T00:00:00"/>
        <d v="2015-06-09T00:00:00"/>
        <d v="2015-06-10T00:00:00"/>
        <d v="2015-06-11T00:00:00"/>
        <d v="2015-06-13T00:00:00"/>
        <d v="2015-06-17T00:00:00"/>
        <d v="2015-06-20T00:00:00"/>
        <d v="2015-06-21T00:00:00"/>
        <d v="2015-06-22T00:00:00"/>
        <d v="2015-06-23T00:00:00"/>
        <d v="2015-06-25T00:00:00"/>
        <d v="2015-06-26T00:00:00"/>
        <d v="2015-06-27T00:00:00"/>
        <d v="2015-06-28T00:00:00"/>
        <d v="2015-07-01T00:00:00"/>
        <d v="2015-07-08T00:00:00"/>
        <d v="2015-07-14T00:00:00"/>
        <d v="2015-07-21T00:00:00"/>
        <d v="2015-07-22T00:00:00"/>
        <d v="2015-07-25T00:00:00"/>
        <d v="2015-07-26T00:00:00"/>
        <d v="2015-07-27T00:00:00"/>
        <d v="2015-07-28T00:00:00"/>
        <d v="2015-08-01T00:00:00"/>
        <d v="2015-08-02T00:00:00"/>
        <d v="2015-08-03T00:00:00"/>
        <d v="2015-08-04T00:00:00"/>
        <d v="2015-08-07T00:00:00"/>
        <d v="2015-08-08T00:00:00"/>
        <d v="2015-08-09T00:00:00"/>
        <d v="2015-08-10T00:00:00"/>
        <d v="2015-08-11T00:00:00"/>
        <d v="2015-08-13T00:00:00"/>
        <d v="2015-08-14T00:00:00"/>
        <d v="2015-08-16T00:00:00"/>
        <d v="2015-08-17T00:00:00"/>
        <d v="2015-08-18T00:00:00"/>
        <d v="2015-08-19T00:00:00"/>
        <d v="2015-08-20T00:00:00"/>
        <d v="2015-08-22T00:00:00"/>
        <d v="2015-08-23T00:00:00"/>
        <d v="2015-08-24T00:00:00"/>
        <d v="2015-08-25T00:00:00"/>
        <d v="2015-08-27T00:00:00"/>
        <d v="2015-09-01T00:00:00"/>
        <d v="2015-09-03T00:00:00"/>
        <d v="2015-09-04T00:00:00"/>
        <d v="2015-09-05T00:00:00"/>
        <d v="2015-09-06T00:00:00"/>
        <d v="2015-09-07T00:00:00"/>
        <d v="2015-09-10T00:00:00"/>
        <d v="2015-09-12T00:00:00"/>
        <d v="2015-09-14T00:00:00"/>
        <d v="2015-09-16T00:00:00"/>
        <d v="2015-09-20T00:00:00"/>
        <d v="2015-09-22T00:00:00"/>
        <d v="2015-09-25T00:00:00"/>
        <d v="2015-09-27T00:00:00"/>
        <d v="2015-09-28T00:00:00"/>
        <d v="2015-10-02T00:00:00"/>
        <d v="2015-10-06T00:00:00"/>
        <d v="2015-10-15T00:00:00"/>
        <d v="2015-10-18T00:00:00"/>
        <d v="2015-10-24T00:00:00"/>
        <d v="2015-10-25T00:00:00"/>
        <d v="2015-10-28T00:00:00"/>
        <d v="2015-11-01T00:00:00"/>
        <d v="2015-11-08T00:00:00"/>
        <d v="2015-11-09T00:00:00"/>
        <d v="2015-11-13T00:00:00"/>
        <d v="2015-11-18T00:00:00"/>
        <d v="2015-11-19T00:00:00"/>
        <d v="2015-11-21T00:00:00"/>
        <d v="2015-11-26T00:00:00"/>
        <d v="2015-12-01T00:00:00"/>
        <d v="2015-12-04T00:00:00"/>
        <d v="2015-12-08T00:00:00"/>
        <d v="2015-12-09T00:00:00"/>
        <d v="2015-12-11T00:00:00"/>
        <d v="2015-12-13T00:00:00"/>
        <d v="2015-12-17T00:00:00"/>
        <d v="2015-12-19T00:00:00"/>
        <d v="2015-12-22T00:00:00"/>
        <d v="2015-12-25T00:00:00"/>
        <d v="2015-12-26T00:00:00"/>
        <d v="2016-01-01T00:00:00" u="1"/>
        <d v="2016-01-02T00:00:00" u="1"/>
        <d v="2016-01-03T00:00:00" u="1"/>
        <d v="2016-01-04T00:00:00" u="1"/>
        <d v="2016-01-05T00:00:00" u="1"/>
        <d v="2016-01-06T00:00:00" u="1"/>
        <d v="2016-01-07T00:00:00" u="1"/>
        <d v="2016-01-08T00:00:00" u="1"/>
        <d v="2016-01-10T00:00:00" u="1"/>
        <d v="2016-01-11T00:00:00" u="1"/>
        <d v="2016-01-12T00:00:00" u="1"/>
        <d v="2016-01-13T00:00:00" u="1"/>
        <d v="2016-01-14T00:00:00" u="1"/>
        <d v="2016-01-15T00:00:00" u="1"/>
        <d v="2016-01-17T00:00:00" u="1"/>
        <d v="2016-01-18T00:00:00" u="1"/>
        <d v="2016-01-19T00:00:00" u="1"/>
        <d v="2016-01-20T00:00:00" u="1"/>
        <d v="2016-01-22T00:00:00" u="1"/>
        <d v="2016-01-23T00:00:00" u="1"/>
        <d v="2016-01-24T00:00:00" u="1"/>
        <d v="2016-01-25T00:00:00" u="1"/>
        <d v="2016-01-26T00:00:00" u="1"/>
        <d v="2016-01-27T00:00:00" u="1"/>
        <d v="2016-01-28T00:00:00" u="1"/>
        <d v="2016-02-01T00:00:00" u="1"/>
        <d v="2016-02-02T00:00:00" u="1"/>
        <d v="2016-02-03T00:00:00" u="1"/>
        <d v="2016-02-07T00:00:00" u="1"/>
        <d v="2016-02-09T00:00:00" u="1"/>
        <d v="2016-02-11T00:00:00" u="1"/>
        <d v="2016-02-12T00:00:00" u="1"/>
        <d v="2016-02-13T00:00:00" u="1"/>
        <d v="2016-02-16T00:00:00" u="1"/>
        <d v="2016-02-17T00:00:00" u="1"/>
        <d v="2016-02-19T00:00:00" u="1"/>
        <d v="2016-02-22T00:00:00" u="1"/>
        <d v="2016-02-24T00:00:00" u="1"/>
        <d v="2016-02-25T00:00:00" u="1"/>
        <d v="2016-02-26T00:00:00" u="1"/>
        <d v="2016-02-27T00:00:00" u="1"/>
        <d v="2016-02-28T00:00:00" u="1"/>
        <d v="2016-03-02T00:00:00" u="1"/>
        <d v="2016-03-03T00:00:00" u="1"/>
        <d v="2016-03-07T00:00:00" u="1"/>
        <d v="2016-03-08T00:00:00" u="1"/>
        <d v="2016-03-10T00:00:00" u="1"/>
        <d v="2016-03-11T00:00:00" u="1"/>
        <d v="2016-03-12T00:00:00" u="1"/>
        <d v="2016-03-13T00:00:00" u="1"/>
        <d v="2016-03-24T00:00:00" u="1"/>
        <d v="2016-03-25T00:00:00" u="1"/>
        <d v="2016-03-27T00:00:00" u="1"/>
        <d v="2016-04-04T00:00:00" u="1"/>
        <d v="2016-04-14T00:00:00" u="1"/>
        <d v="2016-04-19T00:00:00" u="1"/>
        <d v="2016-04-23T00:00:00" u="1"/>
        <d v="2016-04-24T00:00:00" u="1"/>
        <d v="2016-04-26T00:00:00" u="1"/>
        <d v="2016-04-27T00:00:00" u="1"/>
        <d v="2016-05-01T00:00:00" u="1"/>
        <d v="2016-05-03T00:00:00" u="1"/>
        <d v="2016-05-04T00:00:00" u="1"/>
        <d v="2016-05-07T00:00:00" u="1"/>
        <d v="2016-05-08T00:00:00" u="1"/>
        <d v="2016-05-10T00:00:00" u="1"/>
        <d v="2016-05-11T00:00:00" u="1"/>
        <d v="2016-05-14T00:00:00" u="1"/>
        <d v="2016-05-15T00:00:00" u="1"/>
        <d v="2016-05-16T00:00:00" u="1"/>
        <d v="2016-05-18T00:00:00" u="1"/>
        <d v="2016-05-19T00:00:00" u="1"/>
        <d v="2016-05-24T00:00:00" u="1"/>
        <d v="2016-05-25T00:00:00" u="1"/>
        <d v="2016-05-26T00:00:00" u="1"/>
        <d v="2016-05-27T00:00:00" u="1"/>
        <d v="2016-05-28T00:00:00" u="1"/>
        <d v="2016-06-01T00:00:00" u="1"/>
        <d v="2016-06-02T00:00:00" u="1"/>
        <d v="2016-06-08T00:00:00" u="1"/>
        <d v="2016-06-09T00:00:00" u="1"/>
        <d v="2016-06-13T00:00:00" u="1"/>
        <d v="2016-06-14T00:00:00" u="1"/>
        <d v="2016-06-15T00:00:00" u="1"/>
        <d v="2016-06-16T00:00:00" u="1"/>
        <d v="2016-06-17T00:00:00" u="1"/>
        <d v="2016-06-21T00:00:00" u="1"/>
        <d v="2016-06-23T00:00:00" u="1"/>
        <d v="2016-06-24T00:00:00" u="1"/>
        <d v="2016-06-28T00:00:00" u="1"/>
        <d v="2016-07-02T00:00:00" u="1"/>
        <d v="2016-07-04T00:00:00" u="1"/>
        <d v="2016-07-06T00:00:00" u="1"/>
        <d v="2016-07-09T00:00:00" u="1"/>
        <d v="2016-07-11T00:00:00" u="1"/>
        <d v="2016-07-13T00:00:00" u="1"/>
        <d v="2016-07-14T00:00:00" u="1"/>
        <d v="2016-07-15T00:00:00" u="1"/>
        <d v="2016-07-17T00:00:00" u="1"/>
        <d v="2016-07-18T00:00:00" u="1"/>
        <d v="2016-07-24T00:00:00" u="1"/>
        <d v="2016-07-25T00:00:00" u="1"/>
        <d v="2016-08-01T00:00:00" u="1"/>
        <d v="2016-08-07T00:00:00" u="1"/>
        <d v="2016-08-09T00:00:00" u="1"/>
        <d v="2016-08-11T00:00:00" u="1"/>
        <d v="2016-08-12T00:00:00" u="1"/>
        <d v="2016-08-15T00:00:00" u="1"/>
        <d v="2016-08-17T00:00:00" u="1"/>
        <d v="2016-08-19T00:00:00" u="1"/>
        <d v="2016-08-20T00:00:00" u="1"/>
        <d v="2016-08-22T00:00:00" u="1"/>
        <d v="2016-08-23T00:00:00" u="1"/>
        <d v="2016-08-24T00:00:00" u="1"/>
        <d v="2016-08-25T00:00:00" u="1"/>
        <d v="2016-09-01T00:00:00" u="1"/>
        <d v="2016-09-02T00:00:00" u="1"/>
        <d v="2016-09-04T00:00:00" u="1"/>
        <d v="2016-09-05T00:00:00" u="1"/>
        <d v="2016-09-06T00:00:00" u="1"/>
        <d v="2016-09-09T00:00:00" u="1"/>
        <d v="2016-09-10T00:00:00" u="1"/>
        <d v="2016-09-12T00:00:00" u="1"/>
        <d v="2016-09-13T00:00:00" u="1"/>
        <d v="2016-09-16T00:00:00" u="1"/>
        <d v="2016-09-18T00:00:00" u="1"/>
        <d v="2016-09-19T00:00:00" u="1"/>
        <d v="2016-09-20T00:00:00" u="1"/>
        <d v="2016-09-21T00:00:00" u="1"/>
        <d v="2016-09-22T00:00:00" u="1"/>
        <d v="2016-09-26T00:00:00" u="1"/>
        <d v="2016-09-27T00:00:00" u="1"/>
        <d v="2016-09-28T00:00:00" u="1"/>
        <d v="2016-10-01T00:00:00" u="1"/>
        <d v="2016-10-07T00:00:00" u="1"/>
        <d v="2016-10-08T00:00:00" u="1"/>
        <d v="2016-10-11T00:00:00" u="1"/>
        <d v="2016-10-13T00:00:00" u="1"/>
        <d v="2016-10-14T00:00:00" u="1"/>
        <d v="2016-10-17T00:00:00" u="1"/>
        <d v="2016-10-19T00:00:00" u="1"/>
        <d v="2016-10-27T00:00:00" u="1"/>
        <d v="2016-10-28T00:00:00" u="1"/>
        <d v="2016-11-07T00:00:00" u="1"/>
        <d v="2016-11-14T00:00:00" u="1"/>
        <d v="2016-11-16T00:00:00" u="1"/>
        <d v="2016-11-18T00:00:00" u="1"/>
        <d v="2016-11-19T00:00:00" u="1"/>
        <d v="2016-11-20T00:00:00" u="1"/>
        <d v="2016-11-21T00:00:00" u="1"/>
        <d v="2016-11-22T00:00:00" u="1"/>
        <d v="2016-11-28T00:00:00" u="1"/>
        <d v="2016-12-03T00:00:00" u="1"/>
        <d v="2016-12-04T00:00:00" u="1"/>
        <d v="2016-12-05T00:00:00" u="1"/>
        <d v="2016-12-07T00:00:00" u="1"/>
        <d v="2016-12-08T00:00:00" u="1"/>
        <d v="2016-12-11T00:00:00" u="1"/>
        <d v="2016-12-16T00:00:00" u="1"/>
        <d v="2016-12-20T00:00:00" u="1"/>
        <d v="2016-12-21T00:00:00" u="1"/>
        <d v="2016-12-22T00:00:00" u="1"/>
        <d v="2016-12-28T00:00:00" u="1"/>
      </sharedItems>
      <fieldGroup par="10"/>
    </cacheField>
    <cacheField name="Country" numFmtId="0">
      <sharedItems/>
    </cacheField>
    <cacheField name="City" numFmtId="0">
      <sharedItems/>
    </cacheField>
    <cacheField name="Region" numFmtId="0">
      <sharedItems/>
    </cacheField>
    <cacheField name="Segment" numFmtId="0">
      <sharedItems/>
    </cacheField>
    <cacheField name="Sales" numFmtId="178">
      <sharedItems containsSemiMixedTypes="0" containsString="0" containsNumber="1" minValue="1.1400000000000001" maxValue="999.08"/>
    </cacheField>
    <cacheField name="Cost" numFmtId="178">
      <sharedItems containsSemiMixedTypes="0" containsString="0" containsNumber="1" minValue="1.08" maxValue="1054.71"/>
    </cacheField>
    <cacheField name="Profit" numFmtId="178">
      <sharedItems containsSemiMixedTypes="0" containsString="0" containsNumber="1" minValue="-76.830000000000041" maxValue="95.389999999999986"/>
    </cacheField>
    <cacheField name="月(Date)" numFmtId="0" databaseField="0">
      <fieldGroup base="0">
        <rangePr groupBy="months" startDate="2013-01-01T00:00:00" endDate="2015-12-27T00:00:00"/>
        <groupItems count="14">
          <s v="&lt;2013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5/12/27"/>
        </groupItems>
      </fieldGroup>
    </cacheField>
    <cacheField name="季度(Date)" numFmtId="0" databaseField="0">
      <fieldGroup base="0">
        <rangePr groupBy="quarters" startDate="2013-01-01T00:00:00" endDate="2015-12-27T00:00:00"/>
        <groupItems count="6">
          <s v="&lt;2013/1/1"/>
          <s v="第一季"/>
          <s v="第二季"/>
          <s v="第三季"/>
          <s v="第四季"/>
          <s v="&gt;2015/12/27"/>
        </groupItems>
      </fieldGroup>
    </cacheField>
    <cacheField name="年(Date)" numFmtId="0" databaseField="0">
      <fieldGroup base="0">
        <rangePr groupBy="years" startDate="2013-01-01T00:00:00" endDate="2015-12-27T00:00:00"/>
        <groupItems count="5">
          <s v="&lt;2013/1/1"/>
          <s v="2013年"/>
          <s v="2014年"/>
          <s v="2015年"/>
          <s v="&gt;2015/12/27"/>
        </groupItems>
      </fieldGroup>
    </cacheField>
  </cacheFields>
  <extLst>
    <ext xmlns:x14="http://schemas.microsoft.com/office/spreadsheetml/2009/9/main" uri="{725AE2AE-9491-48be-B2B4-4EB974FC3084}">
      <x14:pivotCacheDefinition pivotCacheId="12211651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1">
  <r>
    <x v="0"/>
    <x v="0"/>
    <s v="Abidjan"/>
    <s v="Western"/>
    <s v="Commercial"/>
    <n v="656.96"/>
    <n v="650.39"/>
  </r>
  <r>
    <x v="0"/>
    <x v="1"/>
    <s v="Antananarivo"/>
    <s v="Eastern"/>
    <s v="Public"/>
    <n v="875.94"/>
    <n v="946.0200000000001"/>
  </r>
  <r>
    <x v="0"/>
    <x v="2"/>
    <s v="Kigali"/>
    <s v="Eastern"/>
    <s v="Public"/>
    <n v="258.35000000000002"/>
    <n v="240.27000000000004"/>
  </r>
  <r>
    <x v="0"/>
    <x v="3"/>
    <s v="Harare"/>
    <s v="Eastern"/>
    <s v="Residential"/>
    <n v="875.62"/>
    <n v="910.64"/>
  </r>
  <r>
    <x v="1"/>
    <x v="4"/>
    <s v="Addis Ababa"/>
    <s v="Eastern"/>
    <s v="Residential"/>
    <n v="509.93"/>
    <n v="499.73"/>
  </r>
  <r>
    <x v="2"/>
    <x v="5"/>
    <s v="N'Djamena"/>
    <s v="Middle"/>
    <s v="Commercial"/>
    <n v="443.13"/>
    <n v="438.7"/>
  </r>
  <r>
    <x v="2"/>
    <x v="6"/>
    <s v="Blantyre"/>
    <s v="Eastern"/>
    <s v="Residential"/>
    <n v="651.78"/>
    <n v="632.23"/>
  </r>
  <r>
    <x v="2"/>
    <x v="7"/>
    <s v="Port Louis"/>
    <s v="Eastern"/>
    <s v="Public"/>
    <n v="896.64"/>
    <n v="959.4"/>
  </r>
  <r>
    <x v="3"/>
    <x v="8"/>
    <s v="Sao Tome"/>
    <s v="Middle"/>
    <s v="Commercial"/>
    <n v="226.92"/>
    <n v="213.29999999999998"/>
  </r>
  <r>
    <x v="4"/>
    <x v="9"/>
    <s v="Yaoundé"/>
    <s v="Middle"/>
    <s v="Public"/>
    <n v="77.41"/>
    <n v="73.539999999999992"/>
  </r>
  <r>
    <x v="4"/>
    <x v="0"/>
    <s v="Yamoussoukro"/>
    <s v="Western"/>
    <s v="Public"/>
    <n v="263.64999999999998"/>
    <n v="253.09999999999997"/>
  </r>
  <r>
    <x v="4"/>
    <x v="10"/>
    <s v="Lagos"/>
    <s v="Western"/>
    <s v="Residential"/>
    <n v="950.83"/>
    <n v="998.37"/>
  </r>
  <r>
    <x v="4"/>
    <x v="11"/>
    <s v="Dakar"/>
    <s v="Western"/>
    <s v="Commercial"/>
    <n v="252.01"/>
    <n v="229.32999999999998"/>
  </r>
  <r>
    <x v="4"/>
    <x v="12"/>
    <s v="Cape Town"/>
    <s v="Southern"/>
    <s v="Residential"/>
    <n v="173.98"/>
    <n v="184.42"/>
  </r>
  <r>
    <x v="5"/>
    <x v="13"/>
    <s v="Porto-Novo"/>
    <s v="Western"/>
    <s v="Residential"/>
    <n v="384.51"/>
    <n v="349.9"/>
  </r>
  <r>
    <x v="5"/>
    <x v="14"/>
    <s v="Freetown"/>
    <s v="Western"/>
    <s v="Residential"/>
    <n v="301.55"/>
    <n v="307.58"/>
  </r>
  <r>
    <x v="6"/>
    <x v="15"/>
    <s v="Malabo"/>
    <s v="Middle"/>
    <s v="Commercial"/>
    <n v="876.78"/>
    <n v="920.62"/>
  </r>
  <r>
    <x v="6"/>
    <x v="16"/>
    <s v="Dakhla"/>
    <s v="Northern"/>
    <s v="Residential"/>
    <n v="235.84"/>
    <n v="238.20000000000002"/>
  </r>
  <r>
    <x v="7"/>
    <x v="10"/>
    <s v="Kano"/>
    <s v="Western"/>
    <s v="Public"/>
    <n v="580.54999999999995"/>
    <n v="621.18999999999994"/>
  </r>
  <r>
    <x v="7"/>
    <x v="17"/>
    <s v="Khartoum"/>
    <s v="Northern"/>
    <s v="Residential"/>
    <n v="218.64"/>
    <n v="201.14999999999998"/>
  </r>
  <r>
    <x v="8"/>
    <x v="18"/>
    <s v="Algiers"/>
    <s v="Northern"/>
    <s v="Residential"/>
    <n v="906.3"/>
    <n v="897.24"/>
  </r>
  <r>
    <x v="9"/>
    <x v="19"/>
    <s v="Asmara"/>
    <s v="Eastern"/>
    <s v="Commercial"/>
    <n v="791.98"/>
    <n v="784.06000000000006"/>
  </r>
  <r>
    <x v="9"/>
    <x v="20"/>
    <s v="Tripoli"/>
    <s v="Northern"/>
    <s v="Residential"/>
    <n v="643.73"/>
    <n v="598.67000000000007"/>
  </r>
  <r>
    <x v="9"/>
    <x v="21"/>
    <s v="Niamey"/>
    <s v="Western"/>
    <s v="Residential"/>
    <n v="3.3"/>
    <n v="3.3299999999999996"/>
  </r>
  <r>
    <x v="9"/>
    <x v="22"/>
    <s v="Lome"/>
    <s v="Western"/>
    <s v="Residential"/>
    <n v="326.97000000000003"/>
    <n v="304.08000000000004"/>
  </r>
  <r>
    <x v="10"/>
    <x v="23"/>
    <s v="Bissau"/>
    <s v="Western"/>
    <s v="Commercial"/>
    <n v="28.16"/>
    <n v="27.88"/>
  </r>
  <r>
    <x v="10"/>
    <x v="24"/>
    <s v="Dar es Salaam"/>
    <s v="Eastern"/>
    <s v="Residential"/>
    <n v="232.27"/>
    <n v="234.59"/>
  </r>
  <r>
    <x v="11"/>
    <x v="25"/>
    <s v="Kumasi"/>
    <s v="Western"/>
    <s v="Residential"/>
    <n v="83.11"/>
    <n v="74.8"/>
  </r>
  <r>
    <x v="12"/>
    <x v="26"/>
    <s v="Gaborone"/>
    <s v="Southern"/>
    <s v="Commercial"/>
    <n v="660.12"/>
    <n v="660.12"/>
  </r>
  <r>
    <x v="12"/>
    <x v="27"/>
    <s v="Maseru"/>
    <s v="Southern"/>
    <s v="Commercial"/>
    <n v="153.27000000000001"/>
    <n v="148.67000000000002"/>
  </r>
  <r>
    <x v="13"/>
    <x v="28"/>
    <s v="Lubumbashi"/>
    <s v="Middle"/>
    <s v="Public"/>
    <n v="40.85"/>
    <n v="42.89"/>
  </r>
  <r>
    <x v="14"/>
    <x v="13"/>
    <s v="Cotonou"/>
    <s v="Western"/>
    <s v="Residential"/>
    <n v="897.78"/>
    <n v="843.91"/>
  </r>
  <r>
    <x v="14"/>
    <x v="29"/>
    <s v="Ouagadougou"/>
    <s v="Western"/>
    <s v="Public"/>
    <n v="462.98"/>
    <n v="425.94"/>
  </r>
  <r>
    <x v="14"/>
    <x v="30"/>
    <s v="Mogadishu"/>
    <s v="Eastern"/>
    <s v="Public"/>
    <n v="977.28"/>
    <n v="987.05"/>
  </r>
  <r>
    <x v="15"/>
    <x v="9"/>
    <s v="Douala"/>
    <s v="Middle"/>
    <s v="Public"/>
    <n v="918.82"/>
    <n v="845.31000000000006"/>
  </r>
  <r>
    <x v="15"/>
    <x v="31"/>
    <s v="Bangui"/>
    <s v="Middle"/>
    <s v="Commercial"/>
    <n v="451.45"/>
    <n v="415.33"/>
  </r>
  <r>
    <x v="15"/>
    <x v="12"/>
    <s v="Johannesburg"/>
    <s v="Southern"/>
    <s v="Residential"/>
    <n v="155.86000000000001"/>
    <n v="160.54000000000002"/>
  </r>
  <r>
    <x v="16"/>
    <x v="32"/>
    <s v="Libreville"/>
    <s v="Middle"/>
    <s v="Commercial"/>
    <n v="984.2"/>
    <n v="954.67000000000007"/>
  </r>
  <r>
    <x v="16"/>
    <x v="33"/>
    <s v="Tunis"/>
    <s v="Northern"/>
    <s v="Commercial"/>
    <n v="60.05"/>
    <n v="60.65"/>
  </r>
  <r>
    <x v="17"/>
    <x v="34"/>
    <s v="Brazzaville"/>
    <s v="Middle"/>
    <s v="Commercial"/>
    <n v="306.10000000000002"/>
    <n v="306.10000000000002"/>
  </r>
  <r>
    <x v="17"/>
    <x v="35"/>
    <s v="Maputo"/>
    <s v="Eastern"/>
    <s v="Residential"/>
    <n v="122.4"/>
    <n v="112.61000000000001"/>
  </r>
  <r>
    <x v="17"/>
    <x v="36"/>
    <s v="Windhoek"/>
    <s v="Southern"/>
    <s v="Residential"/>
    <n v="598.62"/>
    <n v="568.69000000000005"/>
  </r>
  <r>
    <x v="17"/>
    <x v="37"/>
    <s v="Victoria"/>
    <s v="Eastern"/>
    <s v="Residential"/>
    <n v="90.78"/>
    <n v="95.320000000000007"/>
  </r>
  <r>
    <x v="17"/>
    <x v="38"/>
    <s v="Mbabane"/>
    <s v="Southern"/>
    <s v="Residential"/>
    <n v="864.78"/>
    <n v="933.96"/>
  </r>
  <r>
    <x v="18"/>
    <x v="39"/>
    <s v="Luanda"/>
    <s v="Middle"/>
    <s v="Residential"/>
    <n v="93.2"/>
    <n v="85.740000000000009"/>
  </r>
  <r>
    <x v="19"/>
    <x v="6"/>
    <s v="Lilongwe"/>
    <s v="Eastern"/>
    <s v="Residential"/>
    <n v="841"/>
    <n v="832.59"/>
  </r>
  <r>
    <x v="19"/>
    <x v="12"/>
    <s v="Durban"/>
    <s v="Southern"/>
    <s v="Commercial"/>
    <n v="290.43"/>
    <n v="310.76"/>
  </r>
  <r>
    <x v="19"/>
    <x v="12"/>
    <s v="Pretoria"/>
    <s v="Southern"/>
    <s v="Residential"/>
    <n v="818.99"/>
    <n v="810.8"/>
  </r>
  <r>
    <x v="20"/>
    <x v="40"/>
    <s v="Bamako"/>
    <s v="Western"/>
    <s v="Residential"/>
    <n v="847.01"/>
    <n v="804.66"/>
  </r>
  <r>
    <x v="20"/>
    <x v="41"/>
    <s v="Kampala"/>
    <s v="Eastern"/>
    <s v="Public"/>
    <n v="649.29"/>
    <n v="701.23"/>
  </r>
  <r>
    <x v="21"/>
    <x v="25"/>
    <s v="Accra"/>
    <s v="Western"/>
    <s v="Commercial"/>
    <n v="209.95"/>
    <n v="201.54999999999998"/>
  </r>
  <r>
    <x v="21"/>
    <x v="42"/>
    <s v="Conakry"/>
    <s v="Western"/>
    <s v="Public"/>
    <n v="188.89"/>
    <n v="175.67"/>
  </r>
  <r>
    <x v="21"/>
    <x v="10"/>
    <s v="Abuja"/>
    <s v="Western"/>
    <s v="Commercial"/>
    <n v="723.84"/>
    <n v="716.6"/>
  </r>
  <r>
    <x v="21"/>
    <x v="10"/>
    <s v="Ibadan"/>
    <s v="Western"/>
    <s v="Residential"/>
    <n v="315.60000000000002"/>
    <n v="309.29000000000002"/>
  </r>
  <r>
    <x v="21"/>
    <x v="17"/>
    <s v="Khartoum"/>
    <s v="Northern"/>
    <s v="Public"/>
    <n v="120.67"/>
    <n v="118.26"/>
  </r>
  <r>
    <x v="22"/>
    <x v="28"/>
    <s v="Mbuji-Mayi"/>
    <s v="Middle"/>
    <s v="Public"/>
    <n v="863.54"/>
    <n v="863.54"/>
  </r>
  <r>
    <x v="22"/>
    <x v="43"/>
    <s v="Juba"/>
    <s v="Eastern"/>
    <s v="Public"/>
    <n v="359.89"/>
    <n v="381.47999999999996"/>
  </r>
  <r>
    <x v="22"/>
    <x v="44"/>
    <s v="Lusaka"/>
    <s v="Eastern"/>
    <s v="Commercial"/>
    <n v="222.26"/>
    <n v="202.26"/>
  </r>
  <r>
    <x v="23"/>
    <x v="45"/>
    <s v="Djibouti"/>
    <s v="Eastern"/>
    <s v="Commercial"/>
    <n v="885.22"/>
    <n v="911.78"/>
  </r>
  <r>
    <x v="23"/>
    <x v="46"/>
    <s v="Nairobi"/>
    <s v="Eastern"/>
    <s v="Residential"/>
    <n v="992.58"/>
    <n v="942.95"/>
  </r>
  <r>
    <x v="24"/>
    <x v="28"/>
    <s v="Kinshasa"/>
    <s v="Middle"/>
    <s v="Commercial"/>
    <n v="366.62"/>
    <n v="340.96"/>
  </r>
  <r>
    <x v="24"/>
    <x v="47"/>
    <s v="Monrovia"/>
    <s v="Western"/>
    <s v="Residential"/>
    <n v="936.97"/>
    <n v="1002.5600000000001"/>
  </r>
  <r>
    <x v="24"/>
    <x v="48"/>
    <s v="Rabat"/>
    <s v="Northern"/>
    <s v="Public"/>
    <n v="832.54"/>
    <n v="774.26"/>
  </r>
  <r>
    <x v="25"/>
    <x v="49"/>
    <s v="Cairo"/>
    <s v="Northern"/>
    <s v="Residential"/>
    <n v="761.05"/>
    <n v="700.17"/>
  </r>
  <r>
    <x v="25"/>
    <x v="50"/>
    <s v="Nouakchott"/>
    <s v="Western"/>
    <s v="Public"/>
    <n v="211.03"/>
    <n v="198.37"/>
  </r>
  <r>
    <x v="26"/>
    <x v="29"/>
    <s v="Ouagadougou"/>
    <s v="Western"/>
    <s v="Residential"/>
    <n v="638.38"/>
    <n v="644.76"/>
  </r>
  <r>
    <x v="27"/>
    <x v="35"/>
    <s v="Maputo"/>
    <s v="Eastern"/>
    <s v="Public"/>
    <n v="357.17"/>
    <n v="325.02000000000004"/>
  </r>
  <r>
    <x v="28"/>
    <x v="25"/>
    <s v="Kumasi"/>
    <s v="Western"/>
    <s v="Commercial"/>
    <n v="392.84"/>
    <n v="408.54999999999995"/>
  </r>
  <r>
    <x v="29"/>
    <x v="25"/>
    <s v="Accra"/>
    <s v="Western"/>
    <s v="Residential"/>
    <n v="67.290000000000006"/>
    <n v="61.230000000000004"/>
  </r>
  <r>
    <x v="30"/>
    <x v="42"/>
    <s v="Conakry"/>
    <s v="Western"/>
    <s v="Public"/>
    <n v="825.78"/>
    <n v="792.75"/>
  </r>
  <r>
    <x v="31"/>
    <x v="18"/>
    <s v="Algiers"/>
    <s v="Northern"/>
    <s v="Residential"/>
    <n v="385.71"/>
    <n v="416.57"/>
  </r>
  <r>
    <x v="31"/>
    <x v="0"/>
    <s v="Yamoussoukro"/>
    <s v="Western"/>
    <s v="Commercial"/>
    <n v="436.3"/>
    <n v="453.75"/>
  </r>
  <r>
    <x v="31"/>
    <x v="24"/>
    <s v="Dar es Salaam"/>
    <s v="Eastern"/>
    <s v="Commercial"/>
    <n v="401.85"/>
    <n v="397.83000000000004"/>
  </r>
  <r>
    <x v="32"/>
    <x v="28"/>
    <s v="Mbuji-Mayi"/>
    <s v="Middle"/>
    <s v="Residential"/>
    <n v="246.28"/>
    <n v="233.97"/>
  </r>
  <r>
    <x v="33"/>
    <x v="15"/>
    <s v="Malabo"/>
    <s v="Middle"/>
    <s v="Residential"/>
    <n v="996.56"/>
    <n v="986.58999999999992"/>
  </r>
  <r>
    <x v="34"/>
    <x v="17"/>
    <s v="Khartoum"/>
    <s v="Northern"/>
    <s v="Public"/>
    <n v="99.2"/>
    <n v="91.26"/>
  </r>
  <r>
    <x v="35"/>
    <x v="11"/>
    <s v="Dakar"/>
    <s v="Western"/>
    <s v="Residential"/>
    <n v="193.94"/>
    <n v="205.57999999999998"/>
  </r>
  <r>
    <x v="36"/>
    <x v="10"/>
    <s v="Lagos"/>
    <s v="Western"/>
    <s v="Residential"/>
    <n v="316.67"/>
    <n v="329.34000000000003"/>
  </r>
  <r>
    <x v="37"/>
    <x v="41"/>
    <s v="Kampala"/>
    <s v="Eastern"/>
    <s v="Residential"/>
    <n v="983.55"/>
    <n v="963.88"/>
  </r>
  <r>
    <x v="38"/>
    <x v="19"/>
    <s v="Asmara"/>
    <s v="Eastern"/>
    <s v="Public"/>
    <n v="196.57"/>
    <n v="182.81"/>
  </r>
  <r>
    <x v="38"/>
    <x v="20"/>
    <s v="Tripoli"/>
    <s v="Northern"/>
    <s v="Commercial"/>
    <n v="258.25"/>
    <n v="273.75"/>
  </r>
  <r>
    <x v="39"/>
    <x v="51"/>
    <s v="Bujumbura"/>
    <s v="Eastern"/>
    <s v="Public"/>
    <n v="428.05"/>
    <n v="432.33"/>
  </r>
  <r>
    <x v="40"/>
    <x v="32"/>
    <s v="Libreville"/>
    <s v="Middle"/>
    <s v="Public"/>
    <n v="952.76"/>
    <n v="914.65"/>
  </r>
  <r>
    <x v="40"/>
    <x v="3"/>
    <s v="Harare"/>
    <s v="Eastern"/>
    <s v="Residential"/>
    <n v="391.72"/>
    <n v="395.64000000000004"/>
  </r>
  <r>
    <x v="41"/>
    <x v="31"/>
    <s v="Bangui"/>
    <s v="Middle"/>
    <s v="Residential"/>
    <n v="363.3"/>
    <n v="356.03000000000003"/>
  </r>
  <r>
    <x v="42"/>
    <x v="43"/>
    <s v="Juba"/>
    <s v="Eastern"/>
    <s v="Public"/>
    <n v="165.99"/>
    <n v="177.61"/>
  </r>
  <r>
    <x v="43"/>
    <x v="8"/>
    <s v="Sao Tome"/>
    <s v="Middle"/>
    <s v="Public"/>
    <n v="921.82"/>
    <n v="866.51"/>
  </r>
  <r>
    <x v="44"/>
    <x v="0"/>
    <s v="Abidjan"/>
    <s v="Western"/>
    <s v="Public"/>
    <n v="597.21"/>
    <n v="597.21"/>
  </r>
  <r>
    <x v="44"/>
    <x v="12"/>
    <s v="Durban"/>
    <s v="Southern"/>
    <s v="Residential"/>
    <n v="397.52"/>
    <n v="405.46999999999997"/>
  </r>
  <r>
    <x v="45"/>
    <x v="7"/>
    <s v="Port Louis"/>
    <s v="Eastern"/>
    <s v="Public"/>
    <n v="488.55"/>
    <n v="488.55"/>
  </r>
  <r>
    <x v="45"/>
    <x v="22"/>
    <s v="Lome"/>
    <s v="Western"/>
    <s v="Public"/>
    <n v="155.31"/>
    <n v="150.65"/>
  </r>
  <r>
    <x v="46"/>
    <x v="2"/>
    <s v="Kigali"/>
    <s v="Eastern"/>
    <s v="Commercial"/>
    <n v="322.83999999999997"/>
    <n v="332.53"/>
  </r>
  <r>
    <x v="47"/>
    <x v="1"/>
    <s v="Antananarivo"/>
    <s v="Eastern"/>
    <s v="Commercial"/>
    <n v="157.77000000000001"/>
    <n v="162.5"/>
  </r>
  <r>
    <x v="47"/>
    <x v="10"/>
    <s v="Ibadan"/>
    <s v="Western"/>
    <s v="Residential"/>
    <n v="966.47"/>
    <n v="879.49"/>
  </r>
  <r>
    <x v="48"/>
    <x v="49"/>
    <s v="Cairo"/>
    <s v="Northern"/>
    <s v="Residential"/>
    <n v="444.69"/>
    <n v="431.35"/>
  </r>
  <r>
    <x v="49"/>
    <x v="47"/>
    <s v="Monrovia"/>
    <s v="Western"/>
    <s v="Commercial"/>
    <n v="301.63"/>
    <n v="310.68"/>
  </r>
  <r>
    <x v="50"/>
    <x v="9"/>
    <s v="Yaoundé"/>
    <s v="Middle"/>
    <s v="Public"/>
    <n v="736.79"/>
    <n v="714.68999999999994"/>
  </r>
  <r>
    <x v="51"/>
    <x v="36"/>
    <s v="Windhoek"/>
    <s v="Southern"/>
    <s v="Residential"/>
    <n v="69.7"/>
    <n v="62.730000000000004"/>
  </r>
  <r>
    <x v="52"/>
    <x v="16"/>
    <s v="Dakhla"/>
    <s v="Northern"/>
    <s v="Public"/>
    <n v="761.86"/>
    <n v="716.15"/>
  </r>
  <r>
    <x v="53"/>
    <x v="13"/>
    <s v="Porto-Novo"/>
    <s v="Western"/>
    <s v="Commercial"/>
    <n v="989.86"/>
    <n v="920.57"/>
  </r>
  <r>
    <x v="53"/>
    <x v="6"/>
    <s v="Lilongwe"/>
    <s v="Eastern"/>
    <s v="Residential"/>
    <n v="809.98"/>
    <n v="769.48"/>
  </r>
  <r>
    <x v="54"/>
    <x v="17"/>
    <s v="Khartoum"/>
    <s v="Northern"/>
    <s v="Residential"/>
    <n v="580.98"/>
    <n v="557.74"/>
  </r>
  <r>
    <x v="55"/>
    <x v="23"/>
    <s v="Bissau"/>
    <s v="Western"/>
    <s v="Residential"/>
    <n v="559.51"/>
    <n v="537.13"/>
  </r>
  <r>
    <x v="56"/>
    <x v="12"/>
    <s v="Pretoria"/>
    <s v="Southern"/>
    <s v="Commercial"/>
    <n v="1.3900000000000001"/>
    <n v="1.4500000000000002"/>
  </r>
  <r>
    <x v="57"/>
    <x v="28"/>
    <s v="Lubumbashi"/>
    <s v="Middle"/>
    <s v="Public"/>
    <n v="447.06"/>
    <n v="473.88"/>
  </r>
  <r>
    <x v="57"/>
    <x v="21"/>
    <s v="Niamey"/>
    <s v="Western"/>
    <s v="Commercial"/>
    <n v="59.99"/>
    <n v="64.790000000000006"/>
  </r>
  <r>
    <x v="58"/>
    <x v="33"/>
    <s v="Tunis"/>
    <s v="Northern"/>
    <s v="Commercial"/>
    <n v="772.52"/>
    <n v="818.87"/>
  </r>
  <r>
    <x v="59"/>
    <x v="10"/>
    <s v="Kano"/>
    <s v="Western"/>
    <s v="Commercial"/>
    <n v="626.23"/>
    <n v="657.54"/>
  </r>
  <r>
    <x v="60"/>
    <x v="13"/>
    <s v="Cotonou"/>
    <s v="Western"/>
    <s v="Commercial"/>
    <n v="435.48"/>
    <n v="426.77000000000004"/>
  </r>
  <r>
    <x v="61"/>
    <x v="4"/>
    <s v="Addis Ababa"/>
    <s v="Eastern"/>
    <s v="Commercial"/>
    <n v="600.36"/>
    <n v="594.36"/>
  </r>
  <r>
    <x v="62"/>
    <x v="34"/>
    <s v="Brazzaville"/>
    <s v="Middle"/>
    <s v="Residential"/>
    <n v="949.63"/>
    <n v="997.11"/>
  </r>
  <r>
    <x v="62"/>
    <x v="42"/>
    <s v="Conakry"/>
    <s v="Western"/>
    <s v="Public"/>
    <n v="10.69"/>
    <n v="11.44"/>
  </r>
  <r>
    <x v="62"/>
    <x v="33"/>
    <s v="Tunis"/>
    <s v="Northern"/>
    <s v="Commercial"/>
    <n v="875.36"/>
    <n v="831.59"/>
  </r>
  <r>
    <x v="63"/>
    <x v="13"/>
    <s v="Porto-Novo"/>
    <s v="Western"/>
    <s v="Public"/>
    <n v="986.77"/>
    <n v="1016.37"/>
  </r>
  <r>
    <x v="63"/>
    <x v="9"/>
    <s v="Douala"/>
    <s v="Middle"/>
    <s v="Public"/>
    <n v="678.52"/>
    <n v="705.66"/>
  </r>
  <r>
    <x v="63"/>
    <x v="23"/>
    <s v="Bissau"/>
    <s v="Western"/>
    <s v="Residential"/>
    <n v="782.81"/>
    <n v="728.01"/>
  </r>
  <r>
    <x v="64"/>
    <x v="32"/>
    <s v="Libreville"/>
    <s v="Middle"/>
    <s v="Residential"/>
    <n v="914.72"/>
    <n v="914.72"/>
  </r>
  <r>
    <x v="65"/>
    <x v="26"/>
    <s v="Gaborone"/>
    <s v="Southern"/>
    <s v="Commercial"/>
    <n v="953.86"/>
    <n v="858.47"/>
  </r>
  <r>
    <x v="65"/>
    <x v="27"/>
    <s v="Maseru"/>
    <s v="Southern"/>
    <s v="Public"/>
    <n v="484.25"/>
    <n v="450.35"/>
  </r>
  <r>
    <x v="66"/>
    <x v="17"/>
    <s v="Khartoum"/>
    <s v="Northern"/>
    <s v="Residential"/>
    <n v="921.68"/>
    <n v="884.81"/>
  </r>
  <r>
    <x v="67"/>
    <x v="44"/>
    <s v="Lusaka"/>
    <s v="Eastern"/>
    <s v="Public"/>
    <n v="751.73"/>
    <n v="766.76"/>
  </r>
  <r>
    <x v="68"/>
    <x v="9"/>
    <s v="Yaoundé"/>
    <s v="Middle"/>
    <s v="Public"/>
    <n v="865.75"/>
    <n v="917.7"/>
  </r>
  <r>
    <x v="69"/>
    <x v="30"/>
    <s v="Mogadishu"/>
    <s v="Eastern"/>
    <s v="Commercial"/>
    <n v="673.55"/>
    <n v="687.02"/>
  </r>
  <r>
    <x v="70"/>
    <x v="19"/>
    <s v="Asmara"/>
    <s v="Eastern"/>
    <s v="Residential"/>
    <n v="857.28"/>
    <n v="891.56999999999994"/>
  </r>
  <r>
    <x v="71"/>
    <x v="49"/>
    <s v="Cairo"/>
    <s v="Northern"/>
    <s v="Commercial"/>
    <n v="510.23"/>
    <n v="489.82"/>
  </r>
  <r>
    <x v="72"/>
    <x v="39"/>
    <s v="Luanda"/>
    <s v="Middle"/>
    <s v="Residential"/>
    <n v="688.25"/>
    <n v="619.41999999999996"/>
  </r>
  <r>
    <x v="73"/>
    <x v="50"/>
    <s v="Nouakchott"/>
    <s v="Western"/>
    <s v="Public"/>
    <n v="42.63"/>
    <n v="39.650000000000006"/>
  </r>
  <r>
    <x v="73"/>
    <x v="48"/>
    <s v="Rabat"/>
    <s v="Northern"/>
    <s v="Commercial"/>
    <n v="703.93"/>
    <n v="739.13"/>
  </r>
  <r>
    <x v="73"/>
    <x v="38"/>
    <s v="Mbabane"/>
    <s v="Southern"/>
    <s v="Public"/>
    <n v="760.7"/>
    <n v="730.2700000000001"/>
  </r>
  <r>
    <x v="74"/>
    <x v="28"/>
    <s v="Kinshasa"/>
    <s v="Middle"/>
    <s v="Commercial"/>
    <n v="335.87"/>
    <n v="305.64"/>
  </r>
  <r>
    <x v="75"/>
    <x v="22"/>
    <s v="Lome"/>
    <s v="Western"/>
    <s v="Commercial"/>
    <n v="572.05999999999995"/>
    <n v="554.9"/>
  </r>
  <r>
    <x v="76"/>
    <x v="51"/>
    <s v="Bujumbura"/>
    <s v="Eastern"/>
    <s v="Public"/>
    <n v="542.67999999999995"/>
    <n v="542.67999999999995"/>
  </r>
  <r>
    <x v="76"/>
    <x v="34"/>
    <s v="Brazzaville"/>
    <s v="Middle"/>
    <s v="Residential"/>
    <n v="725.91"/>
    <n v="667.83999999999992"/>
  </r>
  <r>
    <x v="77"/>
    <x v="40"/>
    <s v="Bamako"/>
    <s v="Western"/>
    <s v="Public"/>
    <n v="242.34"/>
    <n v="259.3"/>
  </r>
  <r>
    <x v="78"/>
    <x v="9"/>
    <s v="Douala"/>
    <s v="Middle"/>
    <s v="Commercial"/>
    <n v="52.91"/>
    <n v="50.79"/>
  </r>
  <r>
    <x v="78"/>
    <x v="45"/>
    <s v="Djibouti"/>
    <s v="Eastern"/>
    <s v="Residential"/>
    <n v="724.69"/>
    <n v="731.94"/>
  </r>
  <r>
    <x v="78"/>
    <x v="35"/>
    <s v="Maputo"/>
    <s v="Eastern"/>
    <s v="Residential"/>
    <n v="986.39"/>
    <n v="1006.12"/>
  </r>
  <r>
    <x v="79"/>
    <x v="12"/>
    <s v="Pretoria"/>
    <s v="Southern"/>
    <s v="Commercial"/>
    <n v="793.52"/>
    <n v="753.84"/>
  </r>
  <r>
    <x v="80"/>
    <x v="14"/>
    <s v="Freetown"/>
    <s v="Western"/>
    <s v="Commercial"/>
    <n v="695.88"/>
    <n v="709.8"/>
  </r>
  <r>
    <x v="80"/>
    <x v="12"/>
    <s v="Johannesburg"/>
    <s v="Southern"/>
    <s v="Public"/>
    <n v="686.67"/>
    <n v="638.59999999999991"/>
  </r>
  <r>
    <x v="81"/>
    <x v="20"/>
    <s v="Tripoli"/>
    <s v="Northern"/>
    <s v="Public"/>
    <n v="587.33000000000004"/>
    <n v="593.20000000000005"/>
  </r>
  <r>
    <x v="82"/>
    <x v="5"/>
    <s v="N'Djamena"/>
    <s v="Middle"/>
    <s v="Commercial"/>
    <n v="35.549999999999997"/>
    <n v="32.349999999999994"/>
  </r>
  <r>
    <x v="82"/>
    <x v="10"/>
    <s v="Abuja"/>
    <s v="Western"/>
    <s v="Commercial"/>
    <n v="652.21"/>
    <n v="593.51"/>
  </r>
  <r>
    <x v="83"/>
    <x v="37"/>
    <s v="Victoria"/>
    <s v="Eastern"/>
    <s v="Residential"/>
    <n v="40.119999999999997"/>
    <n v="41.72"/>
  </r>
  <r>
    <x v="84"/>
    <x v="2"/>
    <s v="Kigali"/>
    <s v="Eastern"/>
    <s v="Public"/>
    <n v="736.43"/>
    <n v="721.69999999999993"/>
  </r>
  <r>
    <x v="85"/>
    <x v="46"/>
    <s v="Nairobi"/>
    <s v="Eastern"/>
    <s v="Residential"/>
    <n v="70.94"/>
    <n v="68.099999999999994"/>
  </r>
  <r>
    <x v="85"/>
    <x v="6"/>
    <s v="Blantyre"/>
    <s v="Eastern"/>
    <s v="Commercial"/>
    <n v="130.06"/>
    <n v="119.66"/>
  </r>
  <r>
    <x v="86"/>
    <x v="50"/>
    <s v="Nouakchott"/>
    <s v="Western"/>
    <s v="Public"/>
    <n v="796.23"/>
    <n v="740.49"/>
  </r>
  <r>
    <x v="86"/>
    <x v="12"/>
    <s v="Johannesburg"/>
    <s v="Southern"/>
    <s v="Residential"/>
    <n v="981.17"/>
    <n v="1010.61"/>
  </r>
  <r>
    <x v="87"/>
    <x v="6"/>
    <s v="Lilongwe"/>
    <s v="Eastern"/>
    <s v="Residential"/>
    <n v="45.51"/>
    <n v="42.32"/>
  </r>
  <r>
    <x v="88"/>
    <x v="3"/>
    <s v="Harare"/>
    <s v="Eastern"/>
    <s v="Residential"/>
    <n v="451.47"/>
    <n v="483.07000000000005"/>
  </r>
  <r>
    <x v="89"/>
    <x v="12"/>
    <s v="Cape Town"/>
    <s v="Southern"/>
    <s v="Public"/>
    <n v="478.39"/>
    <n v="459.25"/>
  </r>
  <r>
    <x v="90"/>
    <x v="46"/>
    <s v="Nairobi"/>
    <s v="Eastern"/>
    <s v="Residential"/>
    <n v="904.98"/>
    <n v="977.38"/>
  </r>
  <r>
    <x v="91"/>
    <x v="47"/>
    <s v="Monrovia"/>
    <s v="Western"/>
    <s v="Residential"/>
    <n v="480.03"/>
    <n v="475.22999999999996"/>
  </r>
  <r>
    <x v="92"/>
    <x v="31"/>
    <s v="Bangui"/>
    <s v="Middle"/>
    <s v="Public"/>
    <n v="76.459999999999994"/>
    <n v="72.64"/>
  </r>
  <r>
    <x v="93"/>
    <x v="0"/>
    <s v="Abidjan"/>
    <s v="Western"/>
    <s v="Residential"/>
    <n v="977.84"/>
    <n v="1036.51"/>
  </r>
  <r>
    <x v="94"/>
    <x v="26"/>
    <s v="Gaborone"/>
    <s v="Southern"/>
    <s v="Commercial"/>
    <n v="874.66"/>
    <n v="795.93999999999994"/>
  </r>
  <r>
    <x v="95"/>
    <x v="41"/>
    <s v="Kampala"/>
    <s v="Eastern"/>
    <s v="Public"/>
    <n v="168.2"/>
    <n v="164.83999999999997"/>
  </r>
  <r>
    <x v="96"/>
    <x v="4"/>
    <s v="Addis Ababa"/>
    <s v="Eastern"/>
    <s v="Public"/>
    <n v="18.170000000000002"/>
    <n v="17.440000000000001"/>
  </r>
  <r>
    <x v="97"/>
    <x v="8"/>
    <s v="Sao Tome"/>
    <s v="Middle"/>
    <s v="Commercial"/>
    <n v="591.09"/>
    <n v="597"/>
  </r>
  <r>
    <x v="98"/>
    <x v="6"/>
    <s v="Blantyre"/>
    <s v="Eastern"/>
    <s v="Commercial"/>
    <n v="826.12"/>
    <n v="793.08"/>
  </r>
  <r>
    <x v="99"/>
    <x v="1"/>
    <s v="Antananarivo"/>
    <s v="Eastern"/>
    <s v="Residential"/>
    <n v="787.38"/>
    <n v="803.13"/>
  </r>
  <r>
    <x v="99"/>
    <x v="12"/>
    <s v="Durban"/>
    <s v="Southern"/>
    <s v="Public"/>
    <n v="883.26"/>
    <n v="839.1"/>
  </r>
  <r>
    <x v="100"/>
    <x v="25"/>
    <s v="Kumasi"/>
    <s v="Western"/>
    <s v="Residential"/>
    <n v="977.69"/>
    <n v="987.47"/>
  </r>
  <r>
    <x v="101"/>
    <x v="39"/>
    <s v="Luanda"/>
    <s v="Middle"/>
    <s v="Public"/>
    <n v="453.66"/>
    <n v="408.29"/>
  </r>
  <r>
    <x v="102"/>
    <x v="10"/>
    <s v="Lagos"/>
    <s v="Western"/>
    <s v="Public"/>
    <n v="303.31"/>
    <n v="300.28000000000003"/>
  </r>
  <r>
    <x v="102"/>
    <x v="17"/>
    <s v="Khartoum"/>
    <s v="Northern"/>
    <s v="Public"/>
    <n v="593.16999999999996"/>
    <n v="634.68999999999994"/>
  </r>
  <r>
    <x v="103"/>
    <x v="14"/>
    <s v="Freetown"/>
    <s v="Western"/>
    <s v="Public"/>
    <n v="238.65"/>
    <n v="236.26000000000002"/>
  </r>
  <r>
    <x v="104"/>
    <x v="10"/>
    <s v="Ibadan"/>
    <s v="Western"/>
    <s v="Residential"/>
    <n v="458.22"/>
    <n v="490.3"/>
  </r>
  <r>
    <x v="105"/>
    <x v="5"/>
    <s v="N'Djamena"/>
    <s v="Middle"/>
    <s v="Commercial"/>
    <n v="85.19"/>
    <n v="87.75"/>
  </r>
  <r>
    <x v="106"/>
    <x v="16"/>
    <s v="Dakhla"/>
    <s v="Northern"/>
    <s v="Public"/>
    <n v="737.15"/>
    <n v="685.55"/>
  </r>
  <r>
    <x v="107"/>
    <x v="6"/>
    <s v="Blantyre"/>
    <s v="Eastern"/>
    <s v="Public"/>
    <n v="799.11"/>
    <n v="847.06000000000006"/>
  </r>
  <r>
    <x v="108"/>
    <x v="49"/>
    <s v="Cairo"/>
    <s v="Northern"/>
    <s v="Commercial"/>
    <n v="928.29"/>
    <n v="881.88"/>
  </r>
  <r>
    <x v="109"/>
    <x v="36"/>
    <s v="Windhoek"/>
    <s v="Southern"/>
    <s v="Residential"/>
    <n v="953.13"/>
    <n v="991.26"/>
  </r>
  <r>
    <x v="110"/>
    <x v="45"/>
    <s v="Djibouti"/>
    <s v="Eastern"/>
    <s v="Residential"/>
    <n v="782.06"/>
    <n v="797.69999999999993"/>
  </r>
  <r>
    <x v="110"/>
    <x v="40"/>
    <s v="Bamako"/>
    <s v="Western"/>
    <s v="Public"/>
    <n v="97.9"/>
    <n v="103.77000000000001"/>
  </r>
  <r>
    <x v="110"/>
    <x v="43"/>
    <s v="Juba"/>
    <s v="Eastern"/>
    <s v="Public"/>
    <n v="443.6"/>
    <n v="470.22"/>
  </r>
  <r>
    <x v="111"/>
    <x v="10"/>
    <s v="Abuja"/>
    <s v="Western"/>
    <s v="Public"/>
    <n v="936.65"/>
    <n v="992.85"/>
  </r>
  <r>
    <x v="111"/>
    <x v="30"/>
    <s v="Mogadishu"/>
    <s v="Eastern"/>
    <s v="Residential"/>
    <n v="320.89999999999998"/>
    <n v="340.15"/>
  </r>
  <r>
    <x v="112"/>
    <x v="11"/>
    <s v="Dakar"/>
    <s v="Western"/>
    <s v="Residential"/>
    <n v="276.04000000000002"/>
    <n v="251.20000000000002"/>
  </r>
  <r>
    <x v="112"/>
    <x v="12"/>
    <s v="Cape Town"/>
    <s v="Southern"/>
    <s v="Residential"/>
    <n v="539.01"/>
    <n v="582.13"/>
  </r>
  <r>
    <x v="113"/>
    <x v="0"/>
    <s v="Abidjan"/>
    <s v="Western"/>
    <s v="Residential"/>
    <n v="660.79"/>
    <n v="687.21999999999991"/>
  </r>
  <r>
    <x v="113"/>
    <x v="38"/>
    <s v="Mbabane"/>
    <s v="Southern"/>
    <s v="Public"/>
    <n v="699.75"/>
    <n v="720.74"/>
  </r>
  <r>
    <x v="114"/>
    <x v="8"/>
    <s v="Sao Tome"/>
    <s v="Middle"/>
    <s v="Commercial"/>
    <n v="105.81"/>
    <n v="102.64"/>
  </r>
  <r>
    <x v="114"/>
    <x v="33"/>
    <s v="Tunis"/>
    <s v="Northern"/>
    <s v="Public"/>
    <n v="701.35"/>
    <n v="645.24"/>
  </r>
  <r>
    <x v="115"/>
    <x v="38"/>
    <s v="Mbabane"/>
    <s v="Southern"/>
    <s v="Residential"/>
    <n v="480.82"/>
    <n v="471.2"/>
  </r>
  <r>
    <x v="116"/>
    <x v="48"/>
    <s v="Rabat"/>
    <s v="Northern"/>
    <s v="Public"/>
    <n v="241.48"/>
    <n v="246.31"/>
  </r>
  <r>
    <x v="117"/>
    <x v="28"/>
    <s v="Mbuji-Mayi"/>
    <s v="Middle"/>
    <s v="Public"/>
    <n v="112.3"/>
    <n v="107.81"/>
  </r>
  <r>
    <x v="118"/>
    <x v="39"/>
    <s v="Luanda"/>
    <s v="Middle"/>
    <s v="Public"/>
    <n v="216.35"/>
    <n v="214.19"/>
  </r>
  <r>
    <x v="119"/>
    <x v="47"/>
    <s v="Monrovia"/>
    <s v="Western"/>
    <s v="Public"/>
    <n v="78.12"/>
    <n v="83.59"/>
  </r>
  <r>
    <x v="119"/>
    <x v="11"/>
    <s v="Dakar"/>
    <s v="Western"/>
    <s v="Commercial"/>
    <n v="218.25"/>
    <n v="229.16"/>
  </r>
  <r>
    <x v="119"/>
    <x v="12"/>
    <s v="Pretoria"/>
    <s v="Southern"/>
    <s v="Commercial"/>
    <n v="544.34"/>
    <n v="489.91"/>
  </r>
  <r>
    <x v="119"/>
    <x v="44"/>
    <s v="Lusaka"/>
    <s v="Eastern"/>
    <s v="Public"/>
    <n v="353.92"/>
    <n v="378.69"/>
  </r>
  <r>
    <x v="120"/>
    <x v="36"/>
    <s v="Windhoek"/>
    <s v="Southern"/>
    <s v="Public"/>
    <n v="659.86"/>
    <n v="666.46"/>
  </r>
  <r>
    <x v="120"/>
    <x v="17"/>
    <s v="Khartoum"/>
    <s v="Northern"/>
    <s v="Residential"/>
    <n v="126.44"/>
    <n v="121.38"/>
  </r>
  <r>
    <x v="121"/>
    <x v="15"/>
    <s v="Malabo"/>
    <s v="Middle"/>
    <s v="Commercial"/>
    <n v="736.28"/>
    <n v="706.82999999999993"/>
  </r>
  <r>
    <x v="122"/>
    <x v="28"/>
    <s v="Kinshasa"/>
    <s v="Middle"/>
    <s v="Public"/>
    <n v="358.47"/>
    <n v="347.72"/>
  </r>
  <r>
    <x v="123"/>
    <x v="28"/>
    <s v="Lubumbashi"/>
    <s v="Middle"/>
    <s v="Commercial"/>
    <n v="895.59"/>
    <n v="814.99"/>
  </r>
  <r>
    <x v="123"/>
    <x v="28"/>
    <s v="Kinshasa"/>
    <s v="Middle"/>
    <s v="Commercial"/>
    <n v="930.49"/>
    <n v="958.4"/>
  </r>
  <r>
    <x v="124"/>
    <x v="10"/>
    <s v="Lagos"/>
    <s v="Western"/>
    <s v="Public"/>
    <n v="368"/>
    <n v="390.08"/>
  </r>
  <r>
    <x v="125"/>
    <x v="25"/>
    <s v="Accra"/>
    <s v="Western"/>
    <s v="Public"/>
    <n v="142.12"/>
    <n v="142.12"/>
  </r>
  <r>
    <x v="126"/>
    <x v="9"/>
    <s v="Douala"/>
    <s v="Middle"/>
    <s v="Public"/>
    <n v="609.53"/>
    <n v="566.86"/>
  </r>
  <r>
    <x v="127"/>
    <x v="13"/>
    <s v="Cotonou"/>
    <s v="Western"/>
    <s v="Public"/>
    <n v="739.48"/>
    <n v="746.87"/>
  </r>
  <r>
    <x v="127"/>
    <x v="27"/>
    <s v="Maseru"/>
    <s v="Southern"/>
    <s v="Commercial"/>
    <n v="517.80999999999995"/>
    <n v="476.38999999999993"/>
  </r>
  <r>
    <x v="128"/>
    <x v="18"/>
    <s v="Algiers"/>
    <s v="Northern"/>
    <s v="Commercial"/>
    <n v="723.41"/>
    <n v="687.24"/>
  </r>
  <r>
    <x v="129"/>
    <x v="0"/>
    <s v="Yamoussoukro"/>
    <s v="Western"/>
    <s v="Commercial"/>
    <n v="229.43"/>
    <n v="247.78"/>
  </r>
  <r>
    <x v="129"/>
    <x v="7"/>
    <s v="Port Louis"/>
    <s v="Eastern"/>
    <s v="Commercial"/>
    <n v="512.94000000000005"/>
    <n v="487.29000000000008"/>
  </r>
  <r>
    <x v="129"/>
    <x v="21"/>
    <s v="Niamey"/>
    <s v="Western"/>
    <s v="Public"/>
    <n v="665.2"/>
    <n v="711.76"/>
  </r>
  <r>
    <x v="130"/>
    <x v="32"/>
    <s v="Libreville"/>
    <s v="Middle"/>
    <s v="Commercial"/>
    <n v="950.34"/>
    <n v="1016.86"/>
  </r>
  <r>
    <x v="130"/>
    <x v="50"/>
    <s v="Nouakchott"/>
    <s v="Western"/>
    <s v="Commercial"/>
    <n v="573.76"/>
    <n v="608.18999999999994"/>
  </r>
  <r>
    <x v="131"/>
    <x v="0"/>
    <s v="Yamoussoukro"/>
    <s v="Western"/>
    <s v="Residential"/>
    <n v="801"/>
    <n v="841.05"/>
  </r>
  <r>
    <x v="132"/>
    <x v="30"/>
    <s v="Mogadishu"/>
    <s v="Eastern"/>
    <s v="Commercial"/>
    <n v="668.57"/>
    <n v="608.40000000000009"/>
  </r>
  <r>
    <x v="133"/>
    <x v="37"/>
    <s v="Victoria"/>
    <s v="Eastern"/>
    <s v="Public"/>
    <n v="576.87"/>
    <n v="599.94000000000005"/>
  </r>
  <r>
    <x v="133"/>
    <x v="37"/>
    <s v="Victoria"/>
    <s v="Eastern"/>
    <s v="Public"/>
    <n v="916.42"/>
    <n v="916.42"/>
  </r>
  <r>
    <x v="134"/>
    <x v="2"/>
    <s v="Kigali"/>
    <s v="Eastern"/>
    <s v="Public"/>
    <n v="264.47000000000003"/>
    <n v="269.76000000000005"/>
  </r>
  <r>
    <x v="135"/>
    <x v="14"/>
    <s v="Freetown"/>
    <s v="Western"/>
    <s v="Residential"/>
    <n v="911.76"/>
    <n v="911.76"/>
  </r>
  <r>
    <x v="136"/>
    <x v="31"/>
    <s v="Bangui"/>
    <s v="Middle"/>
    <s v="Commercial"/>
    <n v="973.93"/>
    <n v="954.44999999999993"/>
  </r>
  <r>
    <x v="136"/>
    <x v="15"/>
    <s v="Malabo"/>
    <s v="Middle"/>
    <s v="Commercial"/>
    <n v="420.68"/>
    <n v="416.47"/>
  </r>
  <r>
    <x v="137"/>
    <x v="21"/>
    <s v="Niamey"/>
    <s v="Western"/>
    <s v="Public"/>
    <n v="327.81"/>
    <n v="311.42"/>
  </r>
  <r>
    <x v="138"/>
    <x v="29"/>
    <s v="Ouagadougou"/>
    <s v="Western"/>
    <s v="Commercial"/>
    <n v="745.22"/>
    <n v="775.03"/>
  </r>
  <r>
    <x v="138"/>
    <x v="24"/>
    <s v="Dar es Salaam"/>
    <s v="Eastern"/>
    <s v="Public"/>
    <n v="196.25"/>
    <n v="211.95"/>
  </r>
  <r>
    <x v="139"/>
    <x v="40"/>
    <s v="Bamako"/>
    <s v="Western"/>
    <s v="Residential"/>
    <n v="401.71"/>
    <n v="433.84999999999997"/>
  </r>
  <r>
    <x v="140"/>
    <x v="10"/>
    <s v="Kano"/>
    <s v="Western"/>
    <s v="Public"/>
    <n v="717.72"/>
    <n v="753.61"/>
  </r>
  <r>
    <x v="141"/>
    <x v="10"/>
    <s v="Ibadan"/>
    <s v="Western"/>
    <s v="Commercial"/>
    <n v="365.58"/>
    <n v="394.83"/>
  </r>
  <r>
    <x v="141"/>
    <x v="12"/>
    <s v="Durban"/>
    <s v="Southern"/>
    <s v="Public"/>
    <n v="621.63"/>
    <n v="559.47"/>
  </r>
  <r>
    <x v="142"/>
    <x v="27"/>
    <s v="Maseru"/>
    <s v="Southern"/>
    <s v="Public"/>
    <n v="607.46"/>
    <n v="583.16000000000008"/>
  </r>
  <r>
    <x v="143"/>
    <x v="45"/>
    <s v="Djibouti"/>
    <s v="Eastern"/>
    <s v="Residential"/>
    <n v="613.1"/>
    <n v="576.31000000000006"/>
  </r>
  <r>
    <x v="143"/>
    <x v="44"/>
    <s v="Lusaka"/>
    <s v="Eastern"/>
    <s v="Residential"/>
    <n v="627.11"/>
    <n v="589.48"/>
  </r>
  <r>
    <x v="144"/>
    <x v="43"/>
    <s v="Juba"/>
    <s v="Eastern"/>
    <s v="Residential"/>
    <n v="372.63"/>
    <n v="394.99"/>
  </r>
  <r>
    <x v="145"/>
    <x v="19"/>
    <s v="Asmara"/>
    <s v="Eastern"/>
    <s v="Residential"/>
    <n v="155.37"/>
    <n v="156.92000000000002"/>
  </r>
  <r>
    <x v="146"/>
    <x v="7"/>
    <s v="Port Louis"/>
    <s v="Eastern"/>
    <s v="Public"/>
    <n v="223.29"/>
    <n v="212.13"/>
  </r>
  <r>
    <x v="147"/>
    <x v="9"/>
    <s v="Yaoundé"/>
    <s v="Middle"/>
    <s v="Residential"/>
    <n v="466.81"/>
    <n v="490.15"/>
  </r>
  <r>
    <x v="148"/>
    <x v="29"/>
    <s v="Ouagadougou"/>
    <s v="Western"/>
    <s v="Public"/>
    <n v="488.98"/>
    <n v="518.32000000000005"/>
  </r>
  <r>
    <x v="149"/>
    <x v="51"/>
    <s v="Bujumbura"/>
    <s v="Eastern"/>
    <s v="Public"/>
    <n v="81.63"/>
    <n v="80.81"/>
  </r>
  <r>
    <x v="150"/>
    <x v="4"/>
    <s v="Addis Ababa"/>
    <s v="Eastern"/>
    <s v="Public"/>
    <n v="386.59"/>
    <n v="409.78999999999996"/>
  </r>
  <r>
    <x v="151"/>
    <x v="34"/>
    <s v="Brazzaville"/>
    <s v="Middle"/>
    <s v="Commercial"/>
    <n v="483.35"/>
    <n v="517.18000000000006"/>
  </r>
  <r>
    <x v="152"/>
    <x v="26"/>
    <s v="Gaborone"/>
    <s v="Southern"/>
    <s v="Residential"/>
    <n v="114.52"/>
    <n v="117.96"/>
  </r>
  <r>
    <x v="153"/>
    <x v="5"/>
    <s v="N'Djamena"/>
    <s v="Middle"/>
    <s v="Commercial"/>
    <n v="704.01"/>
    <n v="675.85"/>
  </r>
  <r>
    <x v="154"/>
    <x v="24"/>
    <s v="Dar es Salaam"/>
    <s v="Eastern"/>
    <s v="Public"/>
    <n v="434.34"/>
    <n v="399.59"/>
  </r>
  <r>
    <x v="155"/>
    <x v="10"/>
    <s v="Abuja"/>
    <s v="Western"/>
    <s v="Residential"/>
    <n v="473.33"/>
    <n v="444.93"/>
  </r>
  <r>
    <x v="156"/>
    <x v="23"/>
    <s v="Bissau"/>
    <s v="Western"/>
    <s v="Public"/>
    <n v="812.02"/>
    <n v="771.42"/>
  </r>
  <r>
    <x v="157"/>
    <x v="22"/>
    <s v="Lome"/>
    <s v="Western"/>
    <s v="Commercial"/>
    <n v="885.66"/>
    <n v="956.51"/>
  </r>
  <r>
    <x v="158"/>
    <x v="1"/>
    <s v="Antananarivo"/>
    <s v="Eastern"/>
    <s v="Residential"/>
    <n v="947.92"/>
    <n v="910"/>
  </r>
  <r>
    <x v="159"/>
    <x v="46"/>
    <s v="Nairobi"/>
    <s v="Eastern"/>
    <s v="Public"/>
    <n v="341.57"/>
    <n v="351.82"/>
  </r>
  <r>
    <x v="160"/>
    <x v="17"/>
    <s v="Khartoum"/>
    <s v="Northern"/>
    <s v="Commercial"/>
    <n v="541.59"/>
    <n v="498.26000000000005"/>
  </r>
  <r>
    <x v="161"/>
    <x v="42"/>
    <s v="Conakry"/>
    <s v="Western"/>
    <s v="Commercial"/>
    <n v="291.86"/>
    <n v="309.37"/>
  </r>
  <r>
    <x v="162"/>
    <x v="25"/>
    <s v="Accra"/>
    <s v="Western"/>
    <s v="Public"/>
    <n v="831.92"/>
    <n v="782"/>
  </r>
  <r>
    <x v="163"/>
    <x v="25"/>
    <s v="Kumasi"/>
    <s v="Western"/>
    <s v="Residential"/>
    <n v="900.53"/>
    <n v="972.56999999999994"/>
  </r>
  <r>
    <x v="164"/>
    <x v="18"/>
    <s v="Algiers"/>
    <s v="Northern"/>
    <s v="Commercial"/>
    <n v="852.33"/>
    <n v="886.42000000000007"/>
  </r>
  <r>
    <x v="165"/>
    <x v="13"/>
    <s v="Porto-Novo"/>
    <s v="Western"/>
    <s v="Commercial"/>
    <n v="243.26"/>
    <n v="252.98999999999998"/>
  </r>
  <r>
    <x v="166"/>
    <x v="12"/>
    <s v="Johannesburg"/>
    <s v="Southern"/>
    <s v="Residential"/>
    <n v="957.83"/>
    <n v="1034.46"/>
  </r>
  <r>
    <x v="167"/>
    <x v="48"/>
    <s v="Rabat"/>
    <s v="Northern"/>
    <s v="Residential"/>
    <n v="855.42"/>
    <n v="804.08999999999992"/>
  </r>
  <r>
    <x v="168"/>
    <x v="6"/>
    <s v="Lilongwe"/>
    <s v="Eastern"/>
    <s v="Public"/>
    <n v="159.38"/>
    <n v="172.13"/>
  </r>
  <r>
    <x v="169"/>
    <x v="20"/>
    <s v="Tripoli"/>
    <s v="Northern"/>
    <s v="Residential"/>
    <n v="823.82"/>
    <n v="807.34"/>
  </r>
  <r>
    <x v="170"/>
    <x v="28"/>
    <s v="Mbuji-Mayi"/>
    <s v="Middle"/>
    <s v="Residential"/>
    <n v="470.83"/>
    <n v="484.95"/>
  </r>
  <r>
    <x v="171"/>
    <x v="41"/>
    <s v="Kampala"/>
    <s v="Eastern"/>
    <s v="Commercial"/>
    <n v="284.57"/>
    <n v="281.71999999999997"/>
  </r>
  <r>
    <x v="172"/>
    <x v="16"/>
    <s v="Dakhla"/>
    <s v="Northern"/>
    <s v="Commercial"/>
    <n v="601.87"/>
    <n v="541.68000000000006"/>
  </r>
  <r>
    <x v="173"/>
    <x v="28"/>
    <s v="Lubumbashi"/>
    <s v="Middle"/>
    <s v="Commercial"/>
    <n v="788.25"/>
    <n v="748.84"/>
  </r>
  <r>
    <x v="173"/>
    <x v="12"/>
    <s v="Cape Town"/>
    <s v="Southern"/>
    <s v="Residential"/>
    <n v="819.25"/>
    <n v="794.67"/>
  </r>
  <r>
    <x v="174"/>
    <x v="3"/>
    <s v="Harare"/>
    <s v="Eastern"/>
    <s v="Commercial"/>
    <n v="231.41"/>
    <n v="236.04"/>
  </r>
  <r>
    <x v="175"/>
    <x v="10"/>
    <s v="Kano"/>
    <s v="Western"/>
    <s v="Public"/>
    <n v="572.13"/>
    <n v="554.97"/>
  </r>
  <r>
    <x v="176"/>
    <x v="13"/>
    <s v="Cotonou"/>
    <s v="Western"/>
    <s v="Commercial"/>
    <n v="431"/>
    <n v="452.55"/>
  </r>
  <r>
    <x v="176"/>
    <x v="35"/>
    <s v="Maputo"/>
    <s v="Eastern"/>
    <s v="Public"/>
    <n v="183.56"/>
    <n v="190.9"/>
  </r>
  <r>
    <x v="177"/>
    <x v="41"/>
    <s v="Kampala"/>
    <s v="Eastern"/>
    <s v="Public"/>
    <n v="202.35"/>
    <n v="188.19"/>
  </r>
  <r>
    <x v="178"/>
    <x v="29"/>
    <s v="Ouagadougou"/>
    <s v="Western"/>
    <s v="Commercial"/>
    <n v="953.96"/>
    <n v="925.34"/>
  </r>
  <r>
    <x v="178"/>
    <x v="28"/>
    <s v="Mbuji-Mayi"/>
    <s v="Middle"/>
    <s v="Commercial"/>
    <n v="112.21"/>
    <n v="121.19"/>
  </r>
  <r>
    <x v="179"/>
    <x v="1"/>
    <s v="Antananarivo"/>
    <s v="Eastern"/>
    <s v="Public"/>
    <n v="893.28"/>
    <n v="964.74"/>
  </r>
  <r>
    <x v="179"/>
    <x v="40"/>
    <s v="Bamako"/>
    <s v="Western"/>
    <s v="Commercial"/>
    <n v="305.74"/>
    <n v="314.91000000000003"/>
  </r>
  <r>
    <x v="179"/>
    <x v="10"/>
    <s v="Kano"/>
    <s v="Western"/>
    <s v="Public"/>
    <n v="44.75"/>
    <n v="40.72"/>
  </r>
  <r>
    <x v="180"/>
    <x v="47"/>
    <s v="Monrovia"/>
    <s v="Western"/>
    <s v="Residential"/>
    <n v="634.04999999999995"/>
    <n v="684.77"/>
  </r>
  <r>
    <x v="181"/>
    <x v="18"/>
    <s v="Algiers"/>
    <s v="Northern"/>
    <s v="Commercial"/>
    <n v="694.6"/>
    <n v="639.03"/>
  </r>
  <r>
    <x v="182"/>
    <x v="10"/>
    <s v="Abuja"/>
    <s v="Western"/>
    <s v="Commercial"/>
    <n v="515.69000000000005"/>
    <n v="536.32000000000005"/>
  </r>
  <r>
    <x v="183"/>
    <x v="48"/>
    <s v="Rabat"/>
    <s v="Northern"/>
    <s v="Public"/>
    <n v="301.61"/>
    <n v="271.45"/>
  </r>
  <r>
    <x v="183"/>
    <x v="33"/>
    <s v="Tunis"/>
    <s v="Northern"/>
    <s v="Commercial"/>
    <n v="403.54"/>
    <n v="367.22"/>
  </r>
  <r>
    <x v="184"/>
    <x v="6"/>
    <s v="Lilongwe"/>
    <s v="Eastern"/>
    <s v="Residential"/>
    <n v="794.58"/>
    <n v="770.74"/>
  </r>
  <r>
    <x v="184"/>
    <x v="14"/>
    <s v="Freetown"/>
    <s v="Western"/>
    <s v="Commercial"/>
    <n v="436.28"/>
    <n v="418.83"/>
  </r>
  <r>
    <x v="184"/>
    <x v="12"/>
    <s v="Cape Town"/>
    <s v="Southern"/>
    <s v="Residential"/>
    <n v="853.09"/>
    <n v="836.03000000000009"/>
  </r>
  <r>
    <x v="184"/>
    <x v="12"/>
    <s v="Pretoria"/>
    <s v="Southern"/>
    <s v="Residential"/>
    <n v="742.07"/>
    <n v="675.28000000000009"/>
  </r>
  <r>
    <x v="185"/>
    <x v="13"/>
    <s v="Cotonou"/>
    <s v="Western"/>
    <s v="Public"/>
    <n v="628.33000000000004"/>
    <n v="571.78000000000009"/>
  </r>
  <r>
    <x v="185"/>
    <x v="45"/>
    <s v="Djibouti"/>
    <s v="Eastern"/>
    <s v="Residential"/>
    <n v="52.48"/>
    <n v="51.43"/>
  </r>
  <r>
    <x v="185"/>
    <x v="27"/>
    <s v="Maseru"/>
    <s v="Southern"/>
    <s v="Commercial"/>
    <n v="711.29"/>
    <n v="654.39"/>
  </r>
  <r>
    <x v="185"/>
    <x v="6"/>
    <s v="Blantyre"/>
    <s v="Eastern"/>
    <s v="Commercial"/>
    <n v="563.74"/>
    <n v="541.19000000000005"/>
  </r>
  <r>
    <x v="186"/>
    <x v="19"/>
    <s v="Asmara"/>
    <s v="Eastern"/>
    <s v="Commercial"/>
    <n v="980.35"/>
    <n v="892.12"/>
  </r>
  <r>
    <x v="186"/>
    <x v="32"/>
    <s v="Libreville"/>
    <s v="Middle"/>
    <s v="Residential"/>
    <n v="651.85"/>
    <n v="638.81000000000006"/>
  </r>
  <r>
    <x v="187"/>
    <x v="39"/>
    <s v="Luanda"/>
    <s v="Middle"/>
    <s v="Commercial"/>
    <n v="46.15"/>
    <n v="49.379999999999995"/>
  </r>
  <r>
    <x v="188"/>
    <x v="51"/>
    <s v="Bujumbura"/>
    <s v="Eastern"/>
    <s v="Residential"/>
    <n v="349.79"/>
    <n v="377.77000000000004"/>
  </r>
  <r>
    <x v="188"/>
    <x v="0"/>
    <s v="Abidjan"/>
    <s v="Western"/>
    <s v="Public"/>
    <n v="87.93"/>
    <n v="82.65"/>
  </r>
  <r>
    <x v="188"/>
    <x v="8"/>
    <s v="Sao Tome"/>
    <s v="Middle"/>
    <s v="Residential"/>
    <n v="386.89"/>
    <n v="406.22999999999996"/>
  </r>
  <r>
    <x v="189"/>
    <x v="0"/>
    <s v="Yamoussoukro"/>
    <s v="Western"/>
    <s v="Commercial"/>
    <n v="894.21"/>
    <n v="965.75"/>
  </r>
  <r>
    <x v="189"/>
    <x v="7"/>
    <s v="Port Louis"/>
    <s v="Eastern"/>
    <s v="Commercial"/>
    <n v="352.89"/>
    <n v="321.13"/>
  </r>
  <r>
    <x v="189"/>
    <x v="17"/>
    <s v="Khartoum"/>
    <s v="Northern"/>
    <s v="Residential"/>
    <n v="694.54"/>
    <n v="687.58999999999992"/>
  </r>
  <r>
    <x v="190"/>
    <x v="34"/>
    <s v="Brazzaville"/>
    <s v="Middle"/>
    <s v="Commercial"/>
    <n v="744.63"/>
    <n v="759.52"/>
  </r>
  <r>
    <x v="190"/>
    <x v="20"/>
    <s v="Tripoli"/>
    <s v="Northern"/>
    <s v="Residential"/>
    <n v="740.66"/>
    <n v="666.58999999999992"/>
  </r>
  <r>
    <x v="190"/>
    <x v="35"/>
    <s v="Maputo"/>
    <s v="Eastern"/>
    <s v="Public"/>
    <n v="717.16"/>
    <n v="724.32999999999993"/>
  </r>
  <r>
    <x v="190"/>
    <x v="11"/>
    <s v="Dakar"/>
    <s v="Western"/>
    <s v="Public"/>
    <n v="890.82"/>
    <n v="962.09"/>
  </r>
  <r>
    <x v="190"/>
    <x v="38"/>
    <s v="Mbabane"/>
    <s v="Southern"/>
    <s v="Residential"/>
    <n v="971.11"/>
    <n v="903.13"/>
  </r>
  <r>
    <x v="191"/>
    <x v="5"/>
    <s v="N'Djamena"/>
    <s v="Middle"/>
    <s v="Commercial"/>
    <n v="668.57"/>
    <n v="668.57"/>
  </r>
  <r>
    <x v="191"/>
    <x v="4"/>
    <s v="Addis Ababa"/>
    <s v="Eastern"/>
    <s v="Commercial"/>
    <n v="932.04"/>
    <n v="857.48"/>
  </r>
  <r>
    <x v="191"/>
    <x v="21"/>
    <s v="Niamey"/>
    <s v="Western"/>
    <s v="Commercial"/>
    <n v="966.64"/>
    <n v="985.97"/>
  </r>
  <r>
    <x v="191"/>
    <x v="2"/>
    <s v="Kigali"/>
    <s v="Eastern"/>
    <s v="Residential"/>
    <n v="684.43"/>
    <n v="725.5"/>
  </r>
  <r>
    <x v="191"/>
    <x v="44"/>
    <s v="Lusaka"/>
    <s v="Eastern"/>
    <s v="Commercial"/>
    <n v="371.36"/>
    <n v="401.07"/>
  </r>
  <r>
    <x v="192"/>
    <x v="31"/>
    <s v="Bangui"/>
    <s v="Middle"/>
    <s v="Public"/>
    <n v="669.9"/>
    <n v="636.4"/>
  </r>
  <r>
    <x v="192"/>
    <x v="25"/>
    <s v="Accra"/>
    <s v="Western"/>
    <s v="Commercial"/>
    <n v="826.48"/>
    <n v="834.74"/>
  </r>
  <r>
    <x v="193"/>
    <x v="13"/>
    <s v="Porto-Novo"/>
    <s v="Western"/>
    <s v="Residential"/>
    <n v="343.36"/>
    <n v="315.89"/>
  </r>
  <r>
    <x v="193"/>
    <x v="9"/>
    <s v="Yaoundé"/>
    <s v="Middle"/>
    <s v="Public"/>
    <n v="523.17999999999995"/>
    <n v="533.64"/>
  </r>
  <r>
    <x v="193"/>
    <x v="15"/>
    <s v="Malabo"/>
    <s v="Middle"/>
    <s v="Commercial"/>
    <n v="32.979999999999997"/>
    <n v="35.619999999999997"/>
  </r>
  <r>
    <x v="193"/>
    <x v="46"/>
    <s v="Nairobi"/>
    <s v="Eastern"/>
    <s v="Public"/>
    <n v="34.43"/>
    <n v="35.81"/>
  </r>
  <r>
    <x v="193"/>
    <x v="17"/>
    <s v="Khartoum"/>
    <s v="Northern"/>
    <s v="Residential"/>
    <n v="363.1"/>
    <n v="334.05"/>
  </r>
  <r>
    <x v="194"/>
    <x v="42"/>
    <s v="Conakry"/>
    <s v="Western"/>
    <s v="Commercial"/>
    <n v="270.56"/>
    <n v="281.38"/>
  </r>
  <r>
    <x v="194"/>
    <x v="36"/>
    <s v="Windhoek"/>
    <s v="Southern"/>
    <s v="Commercial"/>
    <n v="84.09"/>
    <n v="86.61"/>
  </r>
  <r>
    <x v="194"/>
    <x v="22"/>
    <s v="Lome"/>
    <s v="Western"/>
    <s v="Commercial"/>
    <n v="114.71"/>
    <n v="117"/>
  </r>
  <r>
    <x v="195"/>
    <x v="28"/>
    <s v="Lubumbashi"/>
    <s v="Middle"/>
    <s v="Public"/>
    <n v="115"/>
    <n v="113.85"/>
  </r>
  <r>
    <x v="196"/>
    <x v="25"/>
    <s v="Kumasi"/>
    <s v="Western"/>
    <s v="Commercial"/>
    <n v="102.1"/>
    <n v="107.21"/>
  </r>
  <r>
    <x v="196"/>
    <x v="24"/>
    <s v="Dar es Salaam"/>
    <s v="Eastern"/>
    <s v="Commercial"/>
    <n v="575.53"/>
    <n v="575.53"/>
  </r>
  <r>
    <x v="197"/>
    <x v="49"/>
    <s v="Cairo"/>
    <s v="Northern"/>
    <s v="Public"/>
    <n v="120.75"/>
    <n v="119.54"/>
  </r>
  <r>
    <x v="197"/>
    <x v="12"/>
    <s v="Durban"/>
    <s v="Southern"/>
    <s v="Commercial"/>
    <n v="959.33"/>
    <n v="1007.3000000000001"/>
  </r>
  <r>
    <x v="197"/>
    <x v="3"/>
    <s v="Harare"/>
    <s v="Eastern"/>
    <s v="Public"/>
    <n v="337.98"/>
    <n v="324.46000000000004"/>
  </r>
  <r>
    <x v="198"/>
    <x v="26"/>
    <s v="Gaborone"/>
    <s v="Southern"/>
    <s v="Residential"/>
    <n v="498.16"/>
    <n v="463.29"/>
  </r>
  <r>
    <x v="198"/>
    <x v="10"/>
    <s v="Lagos"/>
    <s v="Western"/>
    <s v="Residential"/>
    <n v="213.25"/>
    <n v="228.18"/>
  </r>
  <r>
    <x v="198"/>
    <x v="37"/>
    <s v="Victoria"/>
    <s v="Eastern"/>
    <s v="Public"/>
    <n v="165.84"/>
    <n v="167.5"/>
  </r>
  <r>
    <x v="199"/>
    <x v="12"/>
    <s v="Johannesburg"/>
    <s v="Southern"/>
    <s v="Commercial"/>
    <n v="402.33"/>
    <n v="362.09999999999997"/>
  </r>
  <r>
    <x v="199"/>
    <x v="43"/>
    <s v="Juba"/>
    <s v="Eastern"/>
    <s v="Residential"/>
    <n v="771.7"/>
    <n v="740.83"/>
  </r>
  <r>
    <x v="200"/>
    <x v="30"/>
    <s v="Mogadishu"/>
    <s v="Eastern"/>
    <s v="Commercial"/>
    <n v="328.62"/>
    <n v="295.76"/>
  </r>
  <r>
    <x v="201"/>
    <x v="9"/>
    <s v="Douala"/>
    <s v="Middle"/>
    <s v="Commercial"/>
    <n v="18.45"/>
    <n v="18.82"/>
  </r>
  <r>
    <x v="202"/>
    <x v="28"/>
    <s v="Kinshasa"/>
    <s v="Middle"/>
    <s v="Residential"/>
    <n v="750.42"/>
    <n v="750.42"/>
  </r>
  <r>
    <x v="202"/>
    <x v="23"/>
    <s v="Bissau"/>
    <s v="Western"/>
    <s v="Public"/>
    <n v="311.31"/>
    <n v="311.31"/>
  </r>
  <r>
    <x v="203"/>
    <x v="50"/>
    <s v="Nouakchott"/>
    <s v="Western"/>
    <s v="Residential"/>
    <n v="702.51"/>
    <n v="681.43"/>
  </r>
  <r>
    <x v="203"/>
    <x v="10"/>
    <s v="Ibadan"/>
    <s v="Western"/>
    <s v="Commercial"/>
    <n v="7.23"/>
    <n v="6.5100000000000007"/>
  </r>
  <r>
    <x v="203"/>
    <x v="16"/>
    <s v="Dakhla"/>
    <s v="Northern"/>
    <s v="Commercial"/>
    <n v="623.24"/>
    <n v="666.87"/>
  </r>
  <r>
    <x v="204"/>
    <x v="29"/>
    <s v="Ouagadougou"/>
    <s v="Western"/>
    <s v="Residential"/>
    <n v="960.39"/>
    <n v="1037.22"/>
  </r>
  <r>
    <x v="204"/>
    <x v="34"/>
    <s v="Brazzaville"/>
    <s v="Middle"/>
    <s v="Commercial"/>
    <n v="277.93"/>
    <n v="269.59000000000003"/>
  </r>
  <r>
    <x v="205"/>
    <x v="13"/>
    <s v="Cotonou"/>
    <s v="Western"/>
    <s v="Commercial"/>
    <n v="435.4"/>
    <n v="396.21"/>
  </r>
  <r>
    <x v="206"/>
    <x v="10"/>
    <s v="Ibadan"/>
    <s v="Western"/>
    <s v="Commercial"/>
    <n v="732.29"/>
    <n v="666.38"/>
  </r>
  <r>
    <x v="206"/>
    <x v="24"/>
    <s v="Dar es Salaam"/>
    <s v="Eastern"/>
    <s v="Commercial"/>
    <n v="1.1400000000000001"/>
    <n v="1.08"/>
  </r>
  <r>
    <x v="207"/>
    <x v="9"/>
    <s v="Douala"/>
    <s v="Middle"/>
    <s v="Public"/>
    <n v="213.92"/>
    <n v="218.2"/>
  </r>
  <r>
    <x v="207"/>
    <x v="6"/>
    <s v="Blantyre"/>
    <s v="Eastern"/>
    <s v="Commercial"/>
    <n v="531.53"/>
    <n v="478.38"/>
  </r>
  <r>
    <x v="208"/>
    <x v="33"/>
    <s v="Tunis"/>
    <s v="Northern"/>
    <s v="Residential"/>
    <n v="423.89"/>
    <n v="385.74"/>
  </r>
  <r>
    <x v="209"/>
    <x v="46"/>
    <s v="Nairobi"/>
    <s v="Eastern"/>
    <s v="Residential"/>
    <n v="391.21"/>
    <n v="414.67999999999995"/>
  </r>
  <r>
    <x v="210"/>
    <x v="9"/>
    <s v="Yaoundé"/>
    <s v="Middle"/>
    <s v="Commercial"/>
    <n v="168.89"/>
    <n v="172.26999999999998"/>
  </r>
  <r>
    <x v="211"/>
    <x v="19"/>
    <s v="Asmara"/>
    <s v="Eastern"/>
    <s v="Commercial"/>
    <n v="150.97"/>
    <n v="157.01"/>
  </r>
  <r>
    <x v="212"/>
    <x v="17"/>
    <s v="Khartoum"/>
    <s v="Northern"/>
    <s v="Commercial"/>
    <n v="838.72"/>
    <n v="788.4"/>
  </r>
  <r>
    <x v="213"/>
    <x v="25"/>
    <s v="Accra"/>
    <s v="Western"/>
    <s v="Residential"/>
    <n v="539.14"/>
    <n v="566.1"/>
  </r>
  <r>
    <x v="214"/>
    <x v="14"/>
    <s v="Freetown"/>
    <s v="Western"/>
    <s v="Commercial"/>
    <n v="651.64"/>
    <n v="592.99"/>
  </r>
  <r>
    <x v="214"/>
    <x v="12"/>
    <s v="Cape Town"/>
    <s v="Southern"/>
    <s v="Commercial"/>
    <n v="767.05"/>
    <n v="721.03"/>
  </r>
  <r>
    <x v="215"/>
    <x v="12"/>
    <s v="Durban"/>
    <s v="Southern"/>
    <s v="Commercial"/>
    <n v="294.77"/>
    <n v="282.97999999999996"/>
  </r>
  <r>
    <x v="216"/>
    <x v="18"/>
    <s v="Algiers"/>
    <s v="Northern"/>
    <s v="Commercial"/>
    <n v="49.05"/>
    <n v="51.989999999999995"/>
  </r>
  <r>
    <x v="216"/>
    <x v="26"/>
    <s v="Gaborone"/>
    <s v="Southern"/>
    <s v="Residential"/>
    <n v="885.21"/>
    <n v="849.80000000000007"/>
  </r>
  <r>
    <x v="217"/>
    <x v="50"/>
    <s v="Nouakchott"/>
    <s v="Western"/>
    <s v="Commercial"/>
    <n v="320.12"/>
    <n v="323.32"/>
  </r>
  <r>
    <x v="218"/>
    <x v="42"/>
    <s v="Conakry"/>
    <s v="Western"/>
    <s v="Commercial"/>
    <n v="412.85"/>
    <n v="441.75"/>
  </r>
  <r>
    <x v="219"/>
    <x v="45"/>
    <s v="Djibouti"/>
    <s v="Eastern"/>
    <s v="Residential"/>
    <n v="369.62"/>
    <n v="377.01"/>
  </r>
  <r>
    <x v="219"/>
    <x v="37"/>
    <s v="Victoria"/>
    <s v="Eastern"/>
    <s v="Commercial"/>
    <n v="654.76"/>
    <n v="648.21"/>
  </r>
  <r>
    <x v="220"/>
    <x v="5"/>
    <s v="N'Djamena"/>
    <s v="Middle"/>
    <s v="Public"/>
    <n v="208.32"/>
    <n v="204.15"/>
  </r>
  <r>
    <x v="221"/>
    <x v="22"/>
    <s v="Lome"/>
    <s v="Western"/>
    <s v="Residential"/>
    <n v="283.56"/>
    <n v="260.88"/>
  </r>
  <r>
    <x v="222"/>
    <x v="38"/>
    <s v="Mbabane"/>
    <s v="Southern"/>
    <s v="Public"/>
    <n v="457.57"/>
    <n v="416.39"/>
  </r>
  <r>
    <x v="223"/>
    <x v="10"/>
    <s v="Kano"/>
    <s v="Western"/>
    <s v="Public"/>
    <n v="90.67"/>
    <n v="88.86"/>
  </r>
  <r>
    <x v="223"/>
    <x v="2"/>
    <s v="Kigali"/>
    <s v="Eastern"/>
    <s v="Residential"/>
    <n v="648.37"/>
    <n v="648.37"/>
  </r>
  <r>
    <x v="223"/>
    <x v="11"/>
    <s v="Dakar"/>
    <s v="Western"/>
    <s v="Commercial"/>
    <n v="494.93"/>
    <n v="529.58000000000004"/>
  </r>
  <r>
    <x v="224"/>
    <x v="12"/>
    <s v="Pretoria"/>
    <s v="Southern"/>
    <s v="Residential"/>
    <n v="446.16"/>
    <n v="401.54"/>
  </r>
  <r>
    <x v="225"/>
    <x v="23"/>
    <s v="Bissau"/>
    <s v="Western"/>
    <s v="Public"/>
    <n v="579.46"/>
    <n v="573.67000000000007"/>
  </r>
  <r>
    <x v="226"/>
    <x v="27"/>
    <s v="Maseru"/>
    <s v="Southern"/>
    <s v="Public"/>
    <n v="635.88"/>
    <n v="686.75"/>
  </r>
  <r>
    <x v="227"/>
    <x v="44"/>
    <s v="Lusaka"/>
    <s v="Eastern"/>
    <s v="Residential"/>
    <n v="339.73"/>
    <n v="329.54"/>
  </r>
  <r>
    <x v="228"/>
    <x v="30"/>
    <s v="Mogadishu"/>
    <s v="Eastern"/>
    <s v="Residential"/>
    <n v="29.2"/>
    <n v="26.57"/>
  </r>
  <r>
    <x v="229"/>
    <x v="41"/>
    <s v="Kampala"/>
    <s v="Eastern"/>
    <s v="Commercial"/>
    <n v="239.4"/>
    <n v="248.98000000000002"/>
  </r>
  <r>
    <x v="230"/>
    <x v="32"/>
    <s v="Libreville"/>
    <s v="Middle"/>
    <s v="Residential"/>
    <n v="183"/>
    <n v="166.53"/>
  </r>
  <r>
    <x v="231"/>
    <x v="31"/>
    <s v="Bangui"/>
    <s v="Middle"/>
    <s v="Residential"/>
    <n v="995.01"/>
    <n v="1054.71"/>
  </r>
  <r>
    <x v="232"/>
    <x v="28"/>
    <s v="Lubumbashi"/>
    <s v="Middle"/>
    <s v="Residential"/>
    <n v="34.82"/>
    <n v="31.69"/>
  </r>
  <r>
    <x v="233"/>
    <x v="0"/>
    <s v="Yamoussoukro"/>
    <s v="Western"/>
    <s v="Residential"/>
    <n v="362.31"/>
    <n v="336.95"/>
  </r>
  <r>
    <x v="234"/>
    <x v="17"/>
    <s v="Khartoum"/>
    <s v="Northern"/>
    <s v="Public"/>
    <n v="388.33"/>
    <n v="380.56"/>
  </r>
  <r>
    <x v="235"/>
    <x v="49"/>
    <s v="Cairo"/>
    <s v="Northern"/>
    <s v="Residential"/>
    <n v="371.52"/>
    <n v="390.09999999999997"/>
  </r>
  <r>
    <x v="235"/>
    <x v="15"/>
    <s v="Malabo"/>
    <s v="Middle"/>
    <s v="Public"/>
    <n v="301.10000000000002"/>
    <n v="292.07000000000005"/>
  </r>
  <r>
    <x v="235"/>
    <x v="10"/>
    <s v="Abuja"/>
    <s v="Western"/>
    <s v="Public"/>
    <n v="819.48"/>
    <n v="835.87"/>
  </r>
  <r>
    <x v="236"/>
    <x v="28"/>
    <s v="Mbuji-Mayi"/>
    <s v="Middle"/>
    <s v="Commercial"/>
    <n v="736.06"/>
    <n v="691.9"/>
  </r>
  <r>
    <x v="237"/>
    <x v="16"/>
    <s v="Dakhla"/>
    <s v="Northern"/>
    <s v="Commercial"/>
    <n v="440.8"/>
    <n v="409.94"/>
  </r>
  <r>
    <x v="238"/>
    <x v="25"/>
    <s v="Kumasi"/>
    <s v="Western"/>
    <s v="Residential"/>
    <n v="783.41"/>
    <n v="759.91"/>
  </r>
  <r>
    <x v="239"/>
    <x v="13"/>
    <s v="Porto-Novo"/>
    <s v="Western"/>
    <s v="Public"/>
    <n v="121.87"/>
    <n v="131.62"/>
  </r>
  <r>
    <x v="239"/>
    <x v="20"/>
    <s v="Tripoli"/>
    <s v="Northern"/>
    <s v="Public"/>
    <n v="389.55"/>
    <n v="381.76"/>
  </r>
  <r>
    <x v="240"/>
    <x v="0"/>
    <s v="Abidjan"/>
    <s v="Western"/>
    <s v="Commercial"/>
    <n v="237.28"/>
    <n v="239.65"/>
  </r>
  <r>
    <x v="241"/>
    <x v="6"/>
    <s v="Lilongwe"/>
    <s v="Eastern"/>
    <s v="Residential"/>
    <n v="972.34"/>
    <n v="952.89"/>
  </r>
  <r>
    <x v="242"/>
    <x v="12"/>
    <s v="Johannesburg"/>
    <s v="Southern"/>
    <s v="Residential"/>
    <n v="935.72"/>
    <n v="870.22"/>
  </r>
  <r>
    <x v="242"/>
    <x v="43"/>
    <s v="Juba"/>
    <s v="Eastern"/>
    <s v="Residential"/>
    <n v="545.16"/>
    <n v="512.44999999999993"/>
  </r>
  <r>
    <x v="243"/>
    <x v="5"/>
    <s v="N'Djamena"/>
    <s v="Middle"/>
    <s v="Residential"/>
    <n v="432.43"/>
    <n v="402.16"/>
  </r>
  <r>
    <x v="244"/>
    <x v="47"/>
    <s v="Monrovia"/>
    <s v="Western"/>
    <s v="Residential"/>
    <n v="236.5"/>
    <n v="255.42000000000002"/>
  </r>
  <r>
    <x v="244"/>
    <x v="43"/>
    <s v="Juba"/>
    <s v="Eastern"/>
    <s v="Residential"/>
    <n v="567.29999999999995"/>
    <n v="527.58999999999992"/>
  </r>
  <r>
    <x v="244"/>
    <x v="44"/>
    <s v="Lusaka"/>
    <s v="Eastern"/>
    <s v="Residential"/>
    <n v="784.66"/>
    <n v="839.58999999999992"/>
  </r>
  <r>
    <x v="245"/>
    <x v="13"/>
    <s v="Cotonou"/>
    <s v="Western"/>
    <s v="Commercial"/>
    <n v="314.2"/>
    <n v="311.06"/>
  </r>
  <r>
    <x v="245"/>
    <x v="51"/>
    <s v="Bujumbura"/>
    <s v="Eastern"/>
    <s v="Residential"/>
    <n v="472.26"/>
    <n v="462.81"/>
  </r>
  <r>
    <x v="245"/>
    <x v="40"/>
    <s v="Bamako"/>
    <s v="Western"/>
    <s v="Residential"/>
    <n v="265.44"/>
    <n v="249.51"/>
  </r>
  <r>
    <x v="245"/>
    <x v="10"/>
    <s v="Lagos"/>
    <s v="Western"/>
    <s v="Public"/>
    <n v="356.19"/>
    <n v="331.26"/>
  </r>
  <r>
    <x v="246"/>
    <x v="17"/>
    <s v="Khartoum"/>
    <s v="Northern"/>
    <s v="Public"/>
    <n v="566.79999999999995"/>
    <n v="612.14"/>
  </r>
  <r>
    <x v="247"/>
    <x v="11"/>
    <s v="Dakar"/>
    <s v="Western"/>
    <s v="Commercial"/>
    <n v="101.35"/>
    <n v="100.33999999999999"/>
  </r>
  <r>
    <x v="247"/>
    <x v="38"/>
    <s v="Mbabane"/>
    <s v="Southern"/>
    <s v="Public"/>
    <n v="989.02"/>
    <n v="900.01"/>
  </r>
  <r>
    <x v="248"/>
    <x v="39"/>
    <s v="Luanda"/>
    <s v="Middle"/>
    <s v="Commercial"/>
    <n v="691.8"/>
    <n v="712.55"/>
  </r>
  <r>
    <x v="248"/>
    <x v="35"/>
    <s v="Maputo"/>
    <s v="Eastern"/>
    <s v="Public"/>
    <n v="582.09"/>
    <n v="547.16000000000008"/>
  </r>
  <r>
    <x v="249"/>
    <x v="28"/>
    <s v="Kinshasa"/>
    <s v="Middle"/>
    <s v="Residential"/>
    <n v="18.239999999999998"/>
    <n v="18.599999999999998"/>
  </r>
  <r>
    <x v="250"/>
    <x v="7"/>
    <s v="Port Louis"/>
    <s v="Eastern"/>
    <s v="Residential"/>
    <n v="442.97"/>
    <n v="398.67"/>
  </r>
  <r>
    <x v="251"/>
    <x v="12"/>
    <s v="Durban"/>
    <s v="Southern"/>
    <s v="Residential"/>
    <n v="563.87"/>
    <n v="507.48"/>
  </r>
  <r>
    <x v="252"/>
    <x v="49"/>
    <s v="Cairo"/>
    <s v="Northern"/>
    <s v="Residential"/>
    <n v="382.78"/>
    <n v="348.33"/>
  </r>
  <r>
    <x v="252"/>
    <x v="27"/>
    <s v="Maseru"/>
    <s v="Southern"/>
    <s v="Residential"/>
    <n v="122.51"/>
    <n v="129.86000000000001"/>
  </r>
  <r>
    <x v="253"/>
    <x v="1"/>
    <s v="Antananarivo"/>
    <s v="Eastern"/>
    <s v="Residential"/>
    <n v="247"/>
    <n v="242.06"/>
  </r>
  <r>
    <x v="254"/>
    <x v="13"/>
    <s v="Porto-Novo"/>
    <s v="Western"/>
    <s v="Commercial"/>
    <n v="922.7"/>
    <n v="959.61"/>
  </r>
  <r>
    <x v="255"/>
    <x v="21"/>
    <s v="Niamey"/>
    <s v="Western"/>
    <s v="Residential"/>
    <n v="512.05999999999995"/>
    <n v="465.96999999999991"/>
  </r>
  <r>
    <x v="256"/>
    <x v="29"/>
    <s v="Ouagadougou"/>
    <s v="Western"/>
    <s v="Public"/>
    <n v="994.43"/>
    <n v="984.4899999999999"/>
  </r>
  <r>
    <x v="256"/>
    <x v="12"/>
    <s v="Johannesburg"/>
    <s v="Southern"/>
    <s v="Residential"/>
    <n v="833.14"/>
    <n v="866.47"/>
  </r>
  <r>
    <x v="257"/>
    <x v="48"/>
    <s v="Rabat"/>
    <s v="Northern"/>
    <s v="Public"/>
    <n v="115.9"/>
    <n v="111.26"/>
  </r>
  <r>
    <x v="257"/>
    <x v="36"/>
    <s v="Windhoek"/>
    <s v="Southern"/>
    <s v="Public"/>
    <n v="388.75"/>
    <n v="412.08"/>
  </r>
  <r>
    <x v="257"/>
    <x v="10"/>
    <s v="Lagos"/>
    <s v="Western"/>
    <s v="Public"/>
    <n v="608.26"/>
    <n v="644.76"/>
  </r>
  <r>
    <x v="258"/>
    <x v="28"/>
    <s v="Kinshasa"/>
    <s v="Middle"/>
    <s v="Residential"/>
    <n v="946.53"/>
    <n v="861.33999999999992"/>
  </r>
  <r>
    <x v="259"/>
    <x v="39"/>
    <s v="Luanda"/>
    <s v="Middle"/>
    <s v="Public"/>
    <n v="51.41"/>
    <n v="50.9"/>
  </r>
  <r>
    <x v="259"/>
    <x v="6"/>
    <s v="Lilongwe"/>
    <s v="Eastern"/>
    <s v="Residential"/>
    <n v="490.32"/>
    <n v="524.64"/>
  </r>
  <r>
    <x v="259"/>
    <x v="12"/>
    <s v="Pretoria"/>
    <s v="Southern"/>
    <s v="Commercial"/>
    <n v="439.53"/>
    <n v="408.76"/>
  </r>
  <r>
    <x v="260"/>
    <x v="0"/>
    <s v="Abidjan"/>
    <s v="Western"/>
    <s v="Commercial"/>
    <n v="884.13"/>
    <n v="954.86"/>
  </r>
  <r>
    <x v="261"/>
    <x v="4"/>
    <s v="Addis Ababa"/>
    <s v="Eastern"/>
    <s v="Commercial"/>
    <n v="386.49"/>
    <n v="359.44"/>
  </r>
  <r>
    <x v="262"/>
    <x v="2"/>
    <s v="Kigali"/>
    <s v="Eastern"/>
    <s v="Public"/>
    <n v="646.27"/>
    <n v="601.03"/>
  </r>
  <r>
    <x v="263"/>
    <x v="4"/>
    <s v="Addis Ababa"/>
    <s v="Eastern"/>
    <s v="Commercial"/>
    <n v="481.26"/>
    <n v="442.76"/>
  </r>
  <r>
    <x v="264"/>
    <x v="45"/>
    <s v="Djibouti"/>
    <s v="Eastern"/>
    <s v="Residential"/>
    <n v="688.39"/>
    <n v="709.04"/>
  </r>
  <r>
    <x v="264"/>
    <x v="1"/>
    <s v="Antananarivo"/>
    <s v="Eastern"/>
    <s v="Residential"/>
    <n v="677.49"/>
    <n v="643.62"/>
  </r>
  <r>
    <x v="264"/>
    <x v="48"/>
    <s v="Rabat"/>
    <s v="Northern"/>
    <s v="Public"/>
    <n v="65.69"/>
    <n v="61.089999999999996"/>
  </r>
  <r>
    <x v="265"/>
    <x v="36"/>
    <s v="Windhoek"/>
    <s v="Southern"/>
    <s v="Public"/>
    <n v="400.51"/>
    <n v="404.52"/>
  </r>
  <r>
    <x v="266"/>
    <x v="26"/>
    <s v="Gaborone"/>
    <s v="Southern"/>
    <s v="Public"/>
    <n v="430.46"/>
    <n v="404.63"/>
  </r>
  <r>
    <x v="266"/>
    <x v="28"/>
    <s v="Mbuji-Mayi"/>
    <s v="Middle"/>
    <s v="Residential"/>
    <n v="175.92"/>
    <n v="179.44"/>
  </r>
  <r>
    <x v="267"/>
    <x v="20"/>
    <s v="Tripoli"/>
    <s v="Northern"/>
    <s v="Public"/>
    <n v="591.32000000000005"/>
    <n v="573.58000000000004"/>
  </r>
  <r>
    <x v="267"/>
    <x v="8"/>
    <s v="Sao Tome"/>
    <s v="Middle"/>
    <s v="Residential"/>
    <n v="116.72"/>
    <n v="107.38"/>
  </r>
  <r>
    <x v="267"/>
    <x v="8"/>
    <s v="Sao Tome"/>
    <s v="Middle"/>
    <s v="Commercial"/>
    <n v="344"/>
    <n v="333.68"/>
  </r>
  <r>
    <x v="268"/>
    <x v="3"/>
    <s v="Harare"/>
    <s v="Eastern"/>
    <s v="Commercial"/>
    <n v="976.54"/>
    <n v="917.94999999999993"/>
  </r>
  <r>
    <x v="269"/>
    <x v="34"/>
    <s v="Brazzaville"/>
    <s v="Middle"/>
    <s v="Residential"/>
    <n v="983.19"/>
    <n v="904.53000000000009"/>
  </r>
  <r>
    <x v="270"/>
    <x v="18"/>
    <s v="Algiers"/>
    <s v="Northern"/>
    <s v="Commercial"/>
    <n v="422.63"/>
    <n v="405.71999999999997"/>
  </r>
  <r>
    <x v="271"/>
    <x v="10"/>
    <s v="Ibadan"/>
    <s v="Western"/>
    <s v="Public"/>
    <n v="922.03"/>
    <n v="894.37"/>
  </r>
  <r>
    <x v="272"/>
    <x v="28"/>
    <s v="Lubumbashi"/>
    <s v="Middle"/>
    <s v="Commercial"/>
    <n v="697.67"/>
    <n v="711.62"/>
  </r>
  <r>
    <x v="273"/>
    <x v="21"/>
    <s v="Niamey"/>
    <s v="Western"/>
    <s v="Residential"/>
    <n v="471.58"/>
    <n v="495.15999999999997"/>
  </r>
  <r>
    <x v="274"/>
    <x v="17"/>
    <s v="Khartoum"/>
    <s v="Northern"/>
    <s v="Commercial"/>
    <n v="691.44"/>
    <n v="732.93000000000006"/>
  </r>
  <r>
    <x v="275"/>
    <x v="47"/>
    <s v="Monrovia"/>
    <s v="Western"/>
    <s v="Residential"/>
    <n v="50.48"/>
    <n v="54.519999999999996"/>
  </r>
  <r>
    <x v="276"/>
    <x v="31"/>
    <s v="Bangui"/>
    <s v="Middle"/>
    <s v="Residential"/>
    <n v="218.69"/>
    <n v="220.88"/>
  </r>
  <r>
    <x v="277"/>
    <x v="12"/>
    <s v="Cape Town"/>
    <s v="Southern"/>
    <s v="Public"/>
    <n v="462.64"/>
    <n v="458.01"/>
  </r>
  <r>
    <x v="278"/>
    <x v="23"/>
    <s v="Bissau"/>
    <s v="Western"/>
    <s v="Commercial"/>
    <n v="861.5"/>
    <n v="801.19"/>
  </r>
  <r>
    <x v="278"/>
    <x v="50"/>
    <s v="Nouakchott"/>
    <s v="Western"/>
    <s v="Public"/>
    <n v="347.85"/>
    <n v="361.76000000000005"/>
  </r>
  <r>
    <x v="279"/>
    <x v="33"/>
    <s v="Tunis"/>
    <s v="Northern"/>
    <s v="Residential"/>
    <n v="628.53"/>
    <n v="590.81999999999994"/>
  </r>
  <r>
    <x v="280"/>
    <x v="36"/>
    <s v="Windhoek"/>
    <s v="Southern"/>
    <s v="Residential"/>
    <n v="234.66"/>
    <n v="234.66"/>
  </r>
  <r>
    <x v="281"/>
    <x v="7"/>
    <s v="Port Louis"/>
    <s v="Eastern"/>
    <s v="Commercial"/>
    <n v="153.13"/>
    <n v="163.85"/>
  </r>
  <r>
    <x v="282"/>
    <x v="50"/>
    <s v="Nouakchott"/>
    <s v="Western"/>
    <s v="Commercial"/>
    <n v="741.03"/>
    <n v="674.33999999999992"/>
  </r>
  <r>
    <x v="283"/>
    <x v="15"/>
    <s v="Malabo"/>
    <s v="Middle"/>
    <s v="Public"/>
    <n v="966.99"/>
    <n v="986.33"/>
  </r>
  <r>
    <x v="283"/>
    <x v="22"/>
    <s v="Lome"/>
    <s v="Western"/>
    <s v="Residential"/>
    <n v="10.76"/>
    <n v="10.219999999999999"/>
  </r>
  <r>
    <x v="284"/>
    <x v="6"/>
    <s v="Blantyre"/>
    <s v="Eastern"/>
    <s v="Commercial"/>
    <n v="818.95"/>
    <n v="810.76"/>
  </r>
  <r>
    <x v="285"/>
    <x v="6"/>
    <s v="Lilongwe"/>
    <s v="Eastern"/>
    <s v="Public"/>
    <n v="753.87"/>
    <n v="791.56"/>
  </r>
  <r>
    <x v="286"/>
    <x v="40"/>
    <s v="Bamako"/>
    <s v="Western"/>
    <s v="Residential"/>
    <n v="679.85"/>
    <n v="645.86"/>
  </r>
  <r>
    <x v="287"/>
    <x v="41"/>
    <s v="Kampala"/>
    <s v="Eastern"/>
    <s v="Residential"/>
    <n v="634.20000000000005"/>
    <n v="678.59"/>
  </r>
  <r>
    <x v="288"/>
    <x v="10"/>
    <s v="Kano"/>
    <s v="Western"/>
    <s v="Commercial"/>
    <n v="56.22"/>
    <n v="55.1"/>
  </r>
  <r>
    <x v="289"/>
    <x v="23"/>
    <s v="Bissau"/>
    <s v="Western"/>
    <s v="Public"/>
    <n v="285.13"/>
    <n v="276.58"/>
  </r>
  <r>
    <x v="290"/>
    <x v="9"/>
    <s v="Douala"/>
    <s v="Middle"/>
    <s v="Residential"/>
    <n v="542.42999999999995"/>
    <n v="585.81999999999994"/>
  </r>
  <r>
    <x v="291"/>
    <x v="12"/>
    <s v="Durban"/>
    <s v="Southern"/>
    <s v="Public"/>
    <n v="857.7"/>
    <n v="900.59"/>
  </r>
  <r>
    <x v="292"/>
    <x v="6"/>
    <s v="Blantyre"/>
    <s v="Eastern"/>
    <s v="Commercial"/>
    <n v="511.15"/>
    <n v="460.03"/>
  </r>
  <r>
    <x v="293"/>
    <x v="24"/>
    <s v="Dar es Salaam"/>
    <s v="Eastern"/>
    <s v="Public"/>
    <n v="437.73"/>
    <n v="468.37"/>
  </r>
  <r>
    <x v="294"/>
    <x v="46"/>
    <s v="Nairobi"/>
    <s v="Eastern"/>
    <s v="Public"/>
    <n v="768.89"/>
    <n v="791.96"/>
  </r>
  <r>
    <x v="295"/>
    <x v="35"/>
    <s v="Maputo"/>
    <s v="Eastern"/>
    <s v="Public"/>
    <n v="438.03"/>
    <n v="442.40999999999997"/>
  </r>
  <r>
    <x v="296"/>
    <x v="7"/>
    <s v="Port Louis"/>
    <s v="Eastern"/>
    <s v="Commercial"/>
    <n v="202.08"/>
    <n v="196.02"/>
  </r>
  <r>
    <x v="297"/>
    <x v="25"/>
    <s v="Accra"/>
    <s v="Western"/>
    <s v="Public"/>
    <n v="117.71"/>
    <n v="108.28999999999999"/>
  </r>
  <r>
    <x v="297"/>
    <x v="16"/>
    <s v="Dakhla"/>
    <s v="Northern"/>
    <s v="Commercial"/>
    <n v="759.99"/>
    <n v="706.79"/>
  </r>
  <r>
    <x v="298"/>
    <x v="9"/>
    <s v="Yaoundé"/>
    <s v="Middle"/>
    <s v="Public"/>
    <n v="32.15"/>
    <n v="29.58"/>
  </r>
  <r>
    <x v="299"/>
    <x v="31"/>
    <s v="Bangui"/>
    <s v="Middle"/>
    <s v="Residential"/>
    <n v="384"/>
    <n v="372.48"/>
  </r>
  <r>
    <x v="300"/>
    <x v="10"/>
    <s v="Abuja"/>
    <s v="Western"/>
    <s v="Residential"/>
    <n v="992.39"/>
    <n v="952.68999999999994"/>
  </r>
  <r>
    <x v="301"/>
    <x v="25"/>
    <s v="Accra"/>
    <s v="Western"/>
    <s v="Public"/>
    <n v="896.19"/>
    <n v="806.57"/>
  </r>
  <r>
    <x v="301"/>
    <x v="40"/>
    <s v="Bamako"/>
    <s v="Western"/>
    <s v="Residential"/>
    <n v="211.55"/>
    <n v="196.74"/>
  </r>
  <r>
    <x v="302"/>
    <x v="9"/>
    <s v="Douala"/>
    <s v="Middle"/>
    <s v="Public"/>
    <n v="951.4"/>
    <n v="979.93999999999994"/>
  </r>
  <r>
    <x v="303"/>
    <x v="2"/>
    <s v="Kigali"/>
    <s v="Eastern"/>
    <s v="Public"/>
    <n v="435.41"/>
    <n v="431.06"/>
  </r>
  <r>
    <x v="304"/>
    <x v="28"/>
    <s v="Lubumbashi"/>
    <s v="Middle"/>
    <s v="Public"/>
    <n v="997.23"/>
    <n v="947.37"/>
  </r>
  <r>
    <x v="305"/>
    <x v="15"/>
    <s v="Malabo"/>
    <s v="Middle"/>
    <s v="Residential"/>
    <n v="383.7"/>
    <n v="360.68"/>
  </r>
  <r>
    <x v="305"/>
    <x v="19"/>
    <s v="Asmara"/>
    <s v="Eastern"/>
    <s v="Commercial"/>
    <n v="829.05"/>
    <n v="820.76"/>
  </r>
  <r>
    <x v="306"/>
    <x v="27"/>
    <s v="Maseru"/>
    <s v="Southern"/>
    <s v="Commercial"/>
    <n v="401.94"/>
    <n v="409.98"/>
  </r>
  <r>
    <x v="307"/>
    <x v="51"/>
    <s v="Bujumbura"/>
    <s v="Eastern"/>
    <s v="Public"/>
    <n v="757.23"/>
    <n v="757.23"/>
  </r>
  <r>
    <x v="308"/>
    <x v="38"/>
    <s v="Mbabane"/>
    <s v="Southern"/>
    <s v="Residential"/>
    <n v="322.41000000000003"/>
    <n v="293.39000000000004"/>
  </r>
  <r>
    <x v="309"/>
    <x v="45"/>
    <s v="Djibouti"/>
    <s v="Eastern"/>
    <s v="Residential"/>
    <n v="818.68"/>
    <n v="777.75"/>
  </r>
  <r>
    <x v="310"/>
    <x v="0"/>
    <s v="Abidjan"/>
    <s v="Western"/>
    <s v="Residential"/>
    <n v="263.10000000000002"/>
    <n v="257.84000000000003"/>
  </r>
  <r>
    <x v="311"/>
    <x v="49"/>
    <s v="Cairo"/>
    <s v="Northern"/>
    <s v="Residential"/>
    <n v="654.41"/>
    <n v="621.68999999999994"/>
  </r>
  <r>
    <x v="311"/>
    <x v="14"/>
    <s v="Freetown"/>
    <s v="Western"/>
    <s v="Commercial"/>
    <n v="345.05"/>
    <n v="362.3"/>
  </r>
  <r>
    <x v="311"/>
    <x v="3"/>
    <s v="Harare"/>
    <s v="Eastern"/>
    <s v="Commercial"/>
    <n v="758.17"/>
    <n v="811.24"/>
  </r>
  <r>
    <x v="312"/>
    <x v="13"/>
    <s v="Porto-Novo"/>
    <s v="Western"/>
    <s v="Public"/>
    <n v="152.03"/>
    <n v="142.91"/>
  </r>
  <r>
    <x v="312"/>
    <x v="0"/>
    <s v="Yamoussoukro"/>
    <s v="Western"/>
    <s v="Commercial"/>
    <n v="701.13"/>
    <n v="638.03"/>
  </r>
  <r>
    <x v="312"/>
    <x v="20"/>
    <s v="Tripoli"/>
    <s v="Northern"/>
    <s v="Public"/>
    <n v="183.31"/>
    <n v="170.48"/>
  </r>
  <r>
    <x v="312"/>
    <x v="37"/>
    <s v="Victoria"/>
    <s v="Eastern"/>
    <s v="Public"/>
    <n v="94.94"/>
    <n v="98.74"/>
  </r>
  <r>
    <x v="313"/>
    <x v="30"/>
    <s v="Mogadishu"/>
    <s v="Eastern"/>
    <s v="Residential"/>
    <n v="515.86"/>
    <n v="479.75"/>
  </r>
  <r>
    <x v="313"/>
    <x v="44"/>
    <s v="Lusaka"/>
    <s v="Eastern"/>
    <s v="Residential"/>
    <n v="226.85"/>
    <n v="208.7"/>
  </r>
  <r>
    <x v="314"/>
    <x v="17"/>
    <s v="Khartoum"/>
    <s v="Northern"/>
    <s v="Public"/>
    <n v="657.03"/>
    <n v="650.45999999999992"/>
  </r>
  <r>
    <x v="315"/>
    <x v="25"/>
    <s v="Kumasi"/>
    <s v="Western"/>
    <s v="Residential"/>
    <n v="382.61"/>
    <n v="382.61"/>
  </r>
  <r>
    <x v="316"/>
    <x v="13"/>
    <s v="Cotonou"/>
    <s v="Western"/>
    <s v="Commercial"/>
    <n v="506.77"/>
    <n v="547.30999999999995"/>
  </r>
  <r>
    <x v="316"/>
    <x v="42"/>
    <s v="Conakry"/>
    <s v="Western"/>
    <s v="Residential"/>
    <n v="197.63"/>
    <n v="195.65"/>
  </r>
  <r>
    <x v="316"/>
    <x v="37"/>
    <s v="Victoria"/>
    <s v="Eastern"/>
    <s v="Commercial"/>
    <n v="447.46"/>
    <n v="478.78"/>
  </r>
  <r>
    <x v="316"/>
    <x v="30"/>
    <s v="Mogadishu"/>
    <s v="Eastern"/>
    <s v="Public"/>
    <n v="947.2"/>
    <n v="899.84"/>
  </r>
  <r>
    <x v="317"/>
    <x v="32"/>
    <s v="Libreville"/>
    <s v="Middle"/>
    <s v="Residential"/>
    <n v="53.37"/>
    <n v="57.64"/>
  </r>
  <r>
    <x v="317"/>
    <x v="12"/>
    <s v="Cape Town"/>
    <s v="Southern"/>
    <s v="Public"/>
    <n v="981.73"/>
    <n v="942.46"/>
  </r>
  <r>
    <x v="318"/>
    <x v="16"/>
    <s v="Dakhla"/>
    <s v="Northern"/>
    <s v="Residential"/>
    <n v="216.43"/>
    <n v="227.25"/>
  </r>
  <r>
    <x v="319"/>
    <x v="46"/>
    <s v="Nairobi"/>
    <s v="Eastern"/>
    <s v="Public"/>
    <n v="606.12"/>
    <n v="581.88"/>
  </r>
  <r>
    <x v="320"/>
    <x v="8"/>
    <s v="Sao Tome"/>
    <s v="Middle"/>
    <s v="Residential"/>
    <n v="973.62"/>
    <n v="973.62"/>
  </r>
  <r>
    <x v="321"/>
    <x v="5"/>
    <s v="N'Djamena"/>
    <s v="Middle"/>
    <s v="Public"/>
    <n v="895.52"/>
    <n v="877.61"/>
  </r>
  <r>
    <x v="322"/>
    <x v="35"/>
    <s v="Maputo"/>
    <s v="Eastern"/>
    <s v="Commercial"/>
    <n v="393.33"/>
    <n v="357.93"/>
  </r>
  <r>
    <x v="323"/>
    <x v="51"/>
    <s v="Bujumbura"/>
    <s v="Eastern"/>
    <s v="Residential"/>
    <n v="644.42999999999995"/>
    <n v="650.87"/>
  </r>
  <r>
    <x v="323"/>
    <x v="4"/>
    <s v="Addis Ababa"/>
    <s v="Eastern"/>
    <s v="Public"/>
    <n v="751.02"/>
    <n v="766.04"/>
  </r>
  <r>
    <x v="324"/>
    <x v="43"/>
    <s v="Juba"/>
    <s v="Eastern"/>
    <s v="Residential"/>
    <n v="330.27"/>
    <n v="303.84999999999997"/>
  </r>
  <r>
    <x v="325"/>
    <x v="41"/>
    <s v="Kampala"/>
    <s v="Eastern"/>
    <s v="Residential"/>
    <n v="696.6"/>
    <n v="626.94000000000005"/>
  </r>
  <r>
    <x v="326"/>
    <x v="9"/>
    <s v="Yaoundé"/>
    <s v="Middle"/>
    <s v="Public"/>
    <n v="549.16"/>
    <n v="521.69999999999993"/>
  </r>
  <r>
    <x v="327"/>
    <x v="18"/>
    <s v="Algiers"/>
    <s v="Northern"/>
    <s v="Public"/>
    <n v="902.45"/>
    <n v="911.47"/>
  </r>
  <r>
    <x v="328"/>
    <x v="28"/>
    <s v="Kinshasa"/>
    <s v="Middle"/>
    <s v="Public"/>
    <n v="895.19"/>
    <n v="948.90000000000009"/>
  </r>
  <r>
    <x v="329"/>
    <x v="10"/>
    <s v="Ibadan"/>
    <s v="Western"/>
    <s v="Commercial"/>
    <n v="481.11"/>
    <n v="457.05"/>
  </r>
  <r>
    <x v="330"/>
    <x v="10"/>
    <s v="Kano"/>
    <s v="Western"/>
    <s v="Residential"/>
    <n v="66.13"/>
    <n v="66.789999999999992"/>
  </r>
  <r>
    <x v="331"/>
    <x v="26"/>
    <s v="Gaborone"/>
    <s v="Southern"/>
    <s v="Public"/>
    <n v="197.18"/>
    <n v="203.1"/>
  </r>
  <r>
    <x v="331"/>
    <x v="1"/>
    <s v="Antananarivo"/>
    <s v="Eastern"/>
    <s v="Public"/>
    <n v="859.08"/>
    <n v="884.85"/>
  </r>
  <r>
    <x v="332"/>
    <x v="47"/>
    <s v="Monrovia"/>
    <s v="Western"/>
    <s v="Public"/>
    <n v="778.49"/>
    <n v="724"/>
  </r>
  <r>
    <x v="332"/>
    <x v="3"/>
    <s v="Harare"/>
    <s v="Eastern"/>
    <s v="Public"/>
    <n v="641.5"/>
    <n v="654.33000000000004"/>
  </r>
  <r>
    <x v="333"/>
    <x v="14"/>
    <s v="Freetown"/>
    <s v="Western"/>
    <s v="Residential"/>
    <n v="364.23"/>
    <n v="364.23"/>
  </r>
  <r>
    <x v="334"/>
    <x v="21"/>
    <s v="Niamey"/>
    <s v="Western"/>
    <s v="Commercial"/>
    <n v="958.9"/>
    <n v="997.26"/>
  </r>
  <r>
    <x v="335"/>
    <x v="0"/>
    <s v="Yamoussoukro"/>
    <s v="Western"/>
    <s v="Commercial"/>
    <n v="294.18"/>
    <n v="317.71000000000004"/>
  </r>
  <r>
    <x v="336"/>
    <x v="28"/>
    <s v="Mbuji-Mayi"/>
    <s v="Middle"/>
    <s v="Public"/>
    <n v="698.31"/>
    <n v="712.28"/>
  </r>
  <r>
    <x v="337"/>
    <x v="32"/>
    <s v="Libreville"/>
    <s v="Middle"/>
    <s v="Residential"/>
    <n v="692.57"/>
    <n v="692.57"/>
  </r>
  <r>
    <x v="338"/>
    <x v="17"/>
    <s v="Khartoum"/>
    <s v="Northern"/>
    <s v="Residential"/>
    <n v="984.51"/>
    <n v="954.97"/>
  </r>
  <r>
    <x v="339"/>
    <x v="39"/>
    <s v="Luanda"/>
    <s v="Middle"/>
    <s v="Public"/>
    <n v="573.24"/>
    <n v="613.37"/>
  </r>
  <r>
    <x v="340"/>
    <x v="11"/>
    <s v="Dakar"/>
    <s v="Western"/>
    <s v="Commercial"/>
    <n v="699.02"/>
    <n v="719.99"/>
  </r>
  <r>
    <x v="341"/>
    <x v="34"/>
    <s v="Brazzaville"/>
    <s v="Middle"/>
    <s v="Public"/>
    <n v="59.11"/>
    <n v="54.379999999999995"/>
  </r>
  <r>
    <x v="341"/>
    <x v="12"/>
    <s v="Johannesburg"/>
    <s v="Southern"/>
    <s v="Residential"/>
    <n v="406.44"/>
    <n v="377.99"/>
  </r>
  <r>
    <x v="341"/>
    <x v="33"/>
    <s v="Tunis"/>
    <s v="Northern"/>
    <s v="Residential"/>
    <n v="253.34"/>
    <n v="243.21"/>
  </r>
  <r>
    <x v="342"/>
    <x v="29"/>
    <s v="Ouagadougou"/>
    <s v="Western"/>
    <s v="Public"/>
    <n v="608.71"/>
    <n v="547.84"/>
  </r>
  <r>
    <x v="342"/>
    <x v="19"/>
    <s v="Asmara"/>
    <s v="Eastern"/>
    <s v="Residential"/>
    <n v="699.51"/>
    <n v="706.51"/>
  </r>
  <r>
    <x v="342"/>
    <x v="22"/>
    <s v="Lome"/>
    <s v="Western"/>
    <s v="Commercial"/>
    <n v="175.47"/>
    <n v="175.47"/>
  </r>
  <r>
    <x v="343"/>
    <x v="42"/>
    <s v="Conakry"/>
    <s v="Western"/>
    <s v="Commercial"/>
    <n v="371.08"/>
    <n v="374.78999999999996"/>
  </r>
  <r>
    <x v="344"/>
    <x v="12"/>
    <s v="Pretoria"/>
    <s v="Southern"/>
    <s v="Commercial"/>
    <n v="695.93"/>
    <n v="675.05"/>
  </r>
  <r>
    <x v="345"/>
    <x v="10"/>
    <s v="Abuja"/>
    <s v="Western"/>
    <s v="Public"/>
    <n v="66.06"/>
    <n v="65.400000000000006"/>
  </r>
  <r>
    <x v="346"/>
    <x v="25"/>
    <s v="Kumasi"/>
    <s v="Western"/>
    <s v="Commercial"/>
    <n v="432.15"/>
    <n v="388.92999999999995"/>
  </r>
  <r>
    <x v="347"/>
    <x v="24"/>
    <s v="Dar es Salaam"/>
    <s v="Eastern"/>
    <s v="Public"/>
    <n v="70.25"/>
    <n v="64.63"/>
  </r>
  <r>
    <x v="348"/>
    <x v="10"/>
    <s v="Lagos"/>
    <s v="Western"/>
    <s v="Public"/>
    <n v="646.36"/>
    <n v="698.07"/>
  </r>
  <r>
    <x v="349"/>
    <x v="48"/>
    <s v="Rabat"/>
    <s v="Northern"/>
    <s v="Commercial"/>
    <n v="43.55"/>
    <n v="40.94"/>
  </r>
  <r>
    <x v="350"/>
    <x v="39"/>
    <s v="Luanda"/>
    <s v="Middle"/>
    <s v="Commercial"/>
    <n v="421.39"/>
    <n v="446.66999999999996"/>
  </r>
  <r>
    <x v="350"/>
    <x v="9"/>
    <s v="Douala"/>
    <s v="Middle"/>
    <s v="Public"/>
    <n v="215.26"/>
    <n v="206.64999999999998"/>
  </r>
  <r>
    <x v="351"/>
    <x v="26"/>
    <s v="Gaborone"/>
    <s v="Southern"/>
    <s v="Commercial"/>
    <n v="471.08"/>
    <n v="471.08"/>
  </r>
  <r>
    <x v="351"/>
    <x v="49"/>
    <s v="Cairo"/>
    <s v="Northern"/>
    <s v="Public"/>
    <n v="435.44"/>
    <n v="413.67"/>
  </r>
  <r>
    <x v="351"/>
    <x v="15"/>
    <s v="Malabo"/>
    <s v="Middle"/>
    <s v="Residential"/>
    <n v="207.77"/>
    <n v="201.54000000000002"/>
  </r>
  <r>
    <x v="351"/>
    <x v="40"/>
    <s v="Bamako"/>
    <s v="Western"/>
    <s v="Residential"/>
    <n v="242.66"/>
    <n v="223.25"/>
  </r>
  <r>
    <x v="352"/>
    <x v="35"/>
    <s v="Maputo"/>
    <s v="Eastern"/>
    <s v="Residential"/>
    <n v="549.94000000000005"/>
    <n v="511.44000000000005"/>
  </r>
  <r>
    <x v="352"/>
    <x v="3"/>
    <s v="Harare"/>
    <s v="Eastern"/>
    <s v="Residential"/>
    <n v="438.85"/>
    <n v="412.52000000000004"/>
  </r>
  <r>
    <x v="353"/>
    <x v="6"/>
    <s v="Lilongwe"/>
    <s v="Eastern"/>
    <s v="Commercial"/>
    <n v="538.35"/>
    <n v="538.35"/>
  </r>
  <r>
    <x v="353"/>
    <x v="7"/>
    <s v="Port Louis"/>
    <s v="Eastern"/>
    <s v="Public"/>
    <n v="444.48"/>
    <n v="431.15000000000003"/>
  </r>
  <r>
    <x v="354"/>
    <x v="23"/>
    <s v="Bissau"/>
    <s v="Western"/>
    <s v="Commercial"/>
    <n v="119.64"/>
    <n v="108.87"/>
  </r>
  <r>
    <x v="354"/>
    <x v="8"/>
    <s v="Sao Tome"/>
    <s v="Middle"/>
    <s v="Public"/>
    <n v="246.07"/>
    <n v="253.45"/>
  </r>
  <r>
    <x v="354"/>
    <x v="14"/>
    <s v="Freetown"/>
    <s v="Western"/>
    <s v="Public"/>
    <n v="490.82"/>
    <n v="495.73"/>
  </r>
  <r>
    <x v="355"/>
    <x v="38"/>
    <s v="Mbabane"/>
    <s v="Southern"/>
    <s v="Residential"/>
    <n v="276.93"/>
    <n v="263.08"/>
  </r>
  <r>
    <x v="356"/>
    <x v="28"/>
    <s v="Lubumbashi"/>
    <s v="Middle"/>
    <s v="Commercial"/>
    <n v="801.68"/>
    <n v="729.53"/>
  </r>
  <r>
    <x v="357"/>
    <x v="29"/>
    <s v="Ouagadougou"/>
    <s v="Western"/>
    <s v="Public"/>
    <n v="685.99"/>
    <n v="658.55"/>
  </r>
  <r>
    <x v="357"/>
    <x v="47"/>
    <s v="Monrovia"/>
    <s v="Western"/>
    <s v="Commercial"/>
    <n v="65.349999999999994"/>
    <n v="66.66"/>
  </r>
  <r>
    <x v="357"/>
    <x v="37"/>
    <s v="Victoria"/>
    <s v="Eastern"/>
    <s v="Commercial"/>
    <n v="793.93"/>
    <n v="857.43999999999994"/>
  </r>
  <r>
    <x v="357"/>
    <x v="12"/>
    <s v="Johannesburg"/>
    <s v="Southern"/>
    <s v="Residential"/>
    <n v="664.97"/>
    <n v="704.87"/>
  </r>
  <r>
    <x v="357"/>
    <x v="17"/>
    <s v="Khartoum"/>
    <s v="Northern"/>
    <s v="Residential"/>
    <n v="982.34"/>
    <n v="943.05000000000007"/>
  </r>
  <r>
    <x v="358"/>
    <x v="34"/>
    <s v="Brazzaville"/>
    <s v="Middle"/>
    <s v="Commercial"/>
    <n v="850.34"/>
    <n v="765.31000000000006"/>
  </r>
  <r>
    <x v="358"/>
    <x v="45"/>
    <s v="Djibouti"/>
    <s v="Eastern"/>
    <s v="Public"/>
    <n v="833.21"/>
    <n v="816.55000000000007"/>
  </r>
  <r>
    <x v="358"/>
    <x v="6"/>
    <s v="Blantyre"/>
    <s v="Eastern"/>
    <s v="Residential"/>
    <n v="74.760000000000005"/>
    <n v="80.740000000000009"/>
  </r>
  <r>
    <x v="359"/>
    <x v="32"/>
    <s v="Libreville"/>
    <s v="Middle"/>
    <s v="Public"/>
    <n v="46.01"/>
    <n v="41.41"/>
  </r>
  <r>
    <x v="359"/>
    <x v="25"/>
    <s v="Kumasi"/>
    <s v="Western"/>
    <s v="Public"/>
    <n v="992.12"/>
    <n v="972.28"/>
  </r>
  <r>
    <x v="359"/>
    <x v="10"/>
    <s v="Kano"/>
    <s v="Western"/>
    <s v="Public"/>
    <n v="364.23"/>
    <n v="342.38"/>
  </r>
  <r>
    <x v="360"/>
    <x v="1"/>
    <s v="Antananarivo"/>
    <s v="Eastern"/>
    <s v="Public"/>
    <n v="134.01"/>
    <n v="128.64999999999998"/>
  </r>
  <r>
    <x v="361"/>
    <x v="51"/>
    <s v="Bujumbura"/>
    <s v="Eastern"/>
    <s v="Commercial"/>
    <n v="118.96"/>
    <n v="121.33999999999999"/>
  </r>
  <r>
    <x v="361"/>
    <x v="36"/>
    <s v="Windhoek"/>
    <s v="Southern"/>
    <s v="Commercial"/>
    <n v="927.03"/>
    <n v="880.68"/>
  </r>
  <r>
    <x v="361"/>
    <x v="44"/>
    <s v="Lusaka"/>
    <s v="Eastern"/>
    <s v="Public"/>
    <n v="182.1"/>
    <n v="183.92"/>
  </r>
  <r>
    <x v="362"/>
    <x v="31"/>
    <s v="Bangui"/>
    <s v="Middle"/>
    <s v="Residential"/>
    <n v="743.9"/>
    <n v="691.82999999999993"/>
  </r>
  <r>
    <x v="362"/>
    <x v="43"/>
    <s v="Juba"/>
    <s v="Eastern"/>
    <s v="Commercial"/>
    <n v="619.94000000000005"/>
    <n v="669.54000000000008"/>
  </r>
  <r>
    <x v="362"/>
    <x v="33"/>
    <s v="Tunis"/>
    <s v="Northern"/>
    <s v="Public"/>
    <n v="272.94"/>
    <n v="245.65"/>
  </r>
  <r>
    <x v="363"/>
    <x v="18"/>
    <s v="Algiers"/>
    <s v="Northern"/>
    <s v="Commercial"/>
    <n v="477.01"/>
    <n v="481.78"/>
  </r>
  <r>
    <x v="363"/>
    <x v="28"/>
    <s v="Mbuji-Mayi"/>
    <s v="Middle"/>
    <s v="Public"/>
    <n v="897.4"/>
    <n v="807.66"/>
  </r>
  <r>
    <x v="364"/>
    <x v="27"/>
    <s v="Maseru"/>
    <s v="Southern"/>
    <s v="Residential"/>
    <n v="264.39999999999998"/>
    <n v="240.59999999999997"/>
  </r>
  <r>
    <x v="364"/>
    <x v="2"/>
    <s v="Kigali"/>
    <s v="Eastern"/>
    <s v="Residential"/>
    <n v="543.44000000000005"/>
    <n v="510.83000000000004"/>
  </r>
  <r>
    <x v="365"/>
    <x v="19"/>
    <s v="Asmara"/>
    <s v="Eastern"/>
    <s v="Commercial"/>
    <n v="506.01"/>
    <n v="455.40999999999997"/>
  </r>
  <r>
    <x v="365"/>
    <x v="10"/>
    <s v="Ibadan"/>
    <s v="Western"/>
    <s v="Commercial"/>
    <n v="113.28"/>
    <n v="122.34"/>
  </r>
  <r>
    <x v="365"/>
    <x v="16"/>
    <s v="Dakhla"/>
    <s v="Northern"/>
    <s v="Residential"/>
    <n v="388.17"/>
    <n v="368.76"/>
  </r>
  <r>
    <x v="366"/>
    <x v="46"/>
    <s v="Nairobi"/>
    <s v="Eastern"/>
    <s v="Public"/>
    <n v="344.77"/>
    <n v="358.56"/>
  </r>
  <r>
    <x v="367"/>
    <x v="25"/>
    <s v="Accra"/>
    <s v="Western"/>
    <s v="Public"/>
    <n v="797"/>
    <n v="717.3"/>
  </r>
  <r>
    <x v="367"/>
    <x v="50"/>
    <s v="Nouakchott"/>
    <s v="Western"/>
    <s v="Residential"/>
    <n v="308.86"/>
    <n v="324.3"/>
  </r>
  <r>
    <x v="368"/>
    <x v="20"/>
    <s v="Tripoli"/>
    <s v="Northern"/>
    <s v="Commercial"/>
    <n v="492.08"/>
    <n v="521.6"/>
  </r>
  <r>
    <x v="369"/>
    <x v="28"/>
    <s v="Kinshasa"/>
    <s v="Middle"/>
    <s v="Residential"/>
    <n v="98.66"/>
    <n v="95.7"/>
  </r>
  <r>
    <x v="369"/>
    <x v="4"/>
    <s v="Addis Ababa"/>
    <s v="Eastern"/>
    <s v="Residential"/>
    <n v="447.81"/>
    <n v="443.33"/>
  </r>
  <r>
    <x v="369"/>
    <x v="10"/>
    <s v="Lagos"/>
    <s v="Western"/>
    <s v="Public"/>
    <n v="309.47000000000003"/>
    <n v="318.75"/>
  </r>
  <r>
    <x v="369"/>
    <x v="11"/>
    <s v="Dakar"/>
    <s v="Western"/>
    <s v="Public"/>
    <n v="153.18"/>
    <n v="139.39000000000001"/>
  </r>
  <r>
    <x v="370"/>
    <x v="13"/>
    <s v="Cotonou"/>
    <s v="Western"/>
    <s v="Commercial"/>
    <n v="400.69"/>
    <n v="364.63"/>
  </r>
  <r>
    <x v="370"/>
    <x v="0"/>
    <s v="Abidjan"/>
    <s v="Western"/>
    <s v="Commercial"/>
    <n v="783.96"/>
    <n v="799.64"/>
  </r>
  <r>
    <x v="370"/>
    <x v="0"/>
    <s v="Yamoussoukro"/>
    <s v="Western"/>
    <s v="Public"/>
    <n v="961.4"/>
    <n v="1028.7"/>
  </r>
  <r>
    <x v="370"/>
    <x v="48"/>
    <s v="Rabat"/>
    <s v="Northern"/>
    <s v="Commercial"/>
    <n v="101.49"/>
    <n v="93.36999999999999"/>
  </r>
  <r>
    <x v="370"/>
    <x v="22"/>
    <s v="Lome"/>
    <s v="Western"/>
    <s v="Residential"/>
    <n v="366.52"/>
    <n v="329.87"/>
  </r>
  <r>
    <x v="371"/>
    <x v="13"/>
    <s v="Porto-Novo"/>
    <s v="Western"/>
    <s v="Commercial"/>
    <n v="285.95999999999998"/>
    <n v="277.38"/>
  </r>
  <r>
    <x v="371"/>
    <x v="10"/>
    <s v="Abuja"/>
    <s v="Western"/>
    <s v="Public"/>
    <n v="357.36"/>
    <n v="364.51"/>
  </r>
  <r>
    <x v="371"/>
    <x v="41"/>
    <s v="Kampala"/>
    <s v="Eastern"/>
    <s v="Public"/>
    <n v="455.3"/>
    <n v="473.51"/>
  </r>
  <r>
    <x v="371"/>
    <x v="24"/>
    <s v="Dar es Salaam"/>
    <s v="Eastern"/>
    <s v="Commercial"/>
    <n v="661.42"/>
    <n v="654.80999999999995"/>
  </r>
  <r>
    <x v="372"/>
    <x v="42"/>
    <s v="Conakry"/>
    <s v="Western"/>
    <s v="Public"/>
    <n v="784.48"/>
    <n v="823.7"/>
  </r>
  <r>
    <x v="372"/>
    <x v="21"/>
    <s v="Niamey"/>
    <s v="Western"/>
    <s v="Public"/>
    <n v="815.71"/>
    <n v="848.34"/>
  </r>
  <r>
    <x v="372"/>
    <x v="12"/>
    <s v="Durban"/>
    <s v="Southern"/>
    <s v="Residential"/>
    <n v="162"/>
    <n v="152.28"/>
  </r>
  <r>
    <x v="373"/>
    <x v="9"/>
    <s v="Yaoundé"/>
    <s v="Middle"/>
    <s v="Public"/>
    <n v="984.72"/>
    <n v="905.94"/>
  </r>
  <r>
    <x v="373"/>
    <x v="5"/>
    <s v="N'Djamena"/>
    <s v="Middle"/>
    <s v="Residential"/>
    <n v="112.67"/>
    <n v="117.18"/>
  </r>
  <r>
    <x v="373"/>
    <x v="12"/>
    <s v="Pretoria"/>
    <s v="Southern"/>
    <s v="Commercial"/>
    <n v="621.79"/>
    <n v="603.14"/>
  </r>
  <r>
    <x v="374"/>
    <x v="17"/>
    <s v="Khartoum"/>
    <s v="Northern"/>
    <s v="Public"/>
    <n v="209.66"/>
    <n v="194.98"/>
  </r>
  <r>
    <x v="375"/>
    <x v="30"/>
    <s v="Mogadishu"/>
    <s v="Eastern"/>
    <s v="Commercial"/>
    <n v="985.13"/>
    <n v="926.02"/>
  </r>
  <r>
    <x v="375"/>
    <x v="12"/>
    <s v="Cape Town"/>
    <s v="Southern"/>
    <s v="Residential"/>
    <n v="90.93"/>
    <n v="96.39"/>
  </r>
  <r>
    <x v="376"/>
    <x v="6"/>
    <s v="Blantyre"/>
    <s v="Eastern"/>
    <s v="Commercial"/>
    <n v="420.39"/>
    <n v="445.61"/>
  </r>
  <r>
    <x v="377"/>
    <x v="33"/>
    <s v="Tunis"/>
    <s v="Northern"/>
    <s v="Public"/>
    <n v="22.19"/>
    <n v="22.860000000000003"/>
  </r>
  <r>
    <x v="378"/>
    <x v="12"/>
    <s v="Johannesburg"/>
    <s v="Southern"/>
    <s v="Commercial"/>
    <n v="313.10000000000002"/>
    <n v="288.05"/>
  </r>
  <r>
    <x v="379"/>
    <x v="22"/>
    <s v="Lome"/>
    <s v="Western"/>
    <s v="Residential"/>
    <n v="354.5"/>
    <n v="350.95"/>
  </r>
  <r>
    <x v="380"/>
    <x v="18"/>
    <s v="Algiers"/>
    <s v="Northern"/>
    <s v="Residential"/>
    <n v="120.45"/>
    <n v="120.45"/>
  </r>
  <r>
    <x v="381"/>
    <x v="19"/>
    <s v="Asmara"/>
    <s v="Eastern"/>
    <s v="Public"/>
    <n v="326.44"/>
    <n v="300.32"/>
  </r>
  <r>
    <x v="382"/>
    <x v="4"/>
    <s v="Addis Ababa"/>
    <s v="Eastern"/>
    <s v="Commercial"/>
    <n v="151.22999999999999"/>
    <n v="163.32999999999998"/>
  </r>
  <r>
    <x v="383"/>
    <x v="50"/>
    <s v="Nouakchott"/>
    <s v="Western"/>
    <s v="Public"/>
    <n v="630.95000000000005"/>
    <n v="624.6400000000001"/>
  </r>
  <r>
    <x v="383"/>
    <x v="10"/>
    <s v="Ibadan"/>
    <s v="Western"/>
    <s v="Commercial"/>
    <n v="450.53"/>
    <n v="486.57"/>
  </r>
  <r>
    <x v="384"/>
    <x v="20"/>
    <s v="Tripoli"/>
    <s v="Northern"/>
    <s v="Commercial"/>
    <n v="139.11000000000001"/>
    <n v="133.55000000000001"/>
  </r>
  <r>
    <x v="385"/>
    <x v="3"/>
    <s v="Harare"/>
    <s v="Eastern"/>
    <s v="Public"/>
    <n v="574.87"/>
    <n v="574.87"/>
  </r>
  <r>
    <x v="386"/>
    <x v="41"/>
    <s v="Kampala"/>
    <s v="Eastern"/>
    <s v="Residential"/>
    <n v="608.24"/>
    <n v="583.91"/>
  </r>
  <r>
    <x v="387"/>
    <x v="37"/>
    <s v="Victoria"/>
    <s v="Eastern"/>
    <s v="Residential"/>
    <n v="680.76"/>
    <n v="714.8"/>
  </r>
  <r>
    <x v="388"/>
    <x v="43"/>
    <s v="Juba"/>
    <s v="Eastern"/>
    <s v="Residential"/>
    <n v="720.2"/>
    <n v="741.81000000000006"/>
  </r>
  <r>
    <x v="389"/>
    <x v="34"/>
    <s v="Brazzaville"/>
    <s v="Middle"/>
    <s v="Residential"/>
    <n v="641.22"/>
    <n v="647.63"/>
  </r>
  <r>
    <x v="390"/>
    <x v="28"/>
    <s v="Kinshasa"/>
    <s v="Middle"/>
    <s v="Commercial"/>
    <n v="473.92"/>
    <n v="426.53000000000003"/>
  </r>
  <r>
    <x v="391"/>
    <x v="1"/>
    <s v="Antananarivo"/>
    <s v="Eastern"/>
    <s v="Public"/>
    <n v="982.91"/>
    <n v="992.74"/>
  </r>
  <r>
    <x v="392"/>
    <x v="40"/>
    <s v="Bamako"/>
    <s v="Western"/>
    <s v="Commercial"/>
    <n v="840.9"/>
    <n v="899.76"/>
  </r>
  <r>
    <x v="393"/>
    <x v="47"/>
    <s v="Monrovia"/>
    <s v="Western"/>
    <s v="Public"/>
    <n v="685.47"/>
    <n v="733.45"/>
  </r>
  <r>
    <x v="394"/>
    <x v="9"/>
    <s v="Douala"/>
    <s v="Middle"/>
    <s v="Public"/>
    <n v="75.02"/>
    <n v="78.02"/>
  </r>
  <r>
    <x v="395"/>
    <x v="21"/>
    <s v="Niamey"/>
    <s v="Western"/>
    <s v="Public"/>
    <n v="594.23"/>
    <n v="606.11"/>
  </r>
  <r>
    <x v="395"/>
    <x v="12"/>
    <s v="Pretoria"/>
    <s v="Southern"/>
    <s v="Residential"/>
    <n v="976.2"/>
    <n v="1005.49"/>
  </r>
  <r>
    <x v="396"/>
    <x v="25"/>
    <s v="Kumasi"/>
    <s v="Western"/>
    <s v="Commercial"/>
    <n v="450.76"/>
    <n v="468.78999999999996"/>
  </r>
  <r>
    <x v="397"/>
    <x v="5"/>
    <s v="N'Djamena"/>
    <s v="Middle"/>
    <s v="Public"/>
    <n v="157.34"/>
    <n v="163.63"/>
  </r>
  <r>
    <x v="398"/>
    <x v="38"/>
    <s v="Mbabane"/>
    <s v="Southern"/>
    <s v="Residential"/>
    <n v="242.06"/>
    <n v="227.54"/>
  </r>
  <r>
    <x v="399"/>
    <x v="29"/>
    <s v="Ouagadougou"/>
    <s v="Western"/>
    <s v="Commercial"/>
    <n v="684.08"/>
    <n v="677.24"/>
  </r>
  <r>
    <x v="400"/>
    <x v="0"/>
    <s v="Yamoussoukro"/>
    <s v="Western"/>
    <s v="Commercial"/>
    <n v="736.04"/>
    <n v="787.56"/>
  </r>
  <r>
    <x v="401"/>
    <x v="9"/>
    <s v="Yaoundé"/>
    <s v="Middle"/>
    <s v="Commercial"/>
    <n v="735.16"/>
    <n v="757.20999999999992"/>
  </r>
  <r>
    <x v="401"/>
    <x v="31"/>
    <s v="Bangui"/>
    <s v="Middle"/>
    <s v="Commercial"/>
    <n v="595.08000000000004"/>
    <n v="589.13"/>
  </r>
  <r>
    <x v="402"/>
    <x v="35"/>
    <s v="Maputo"/>
    <s v="Eastern"/>
    <s v="Commercial"/>
    <n v="994.49"/>
    <n v="1054.1600000000001"/>
  </r>
  <r>
    <x v="403"/>
    <x v="45"/>
    <s v="Djibouti"/>
    <s v="Eastern"/>
    <s v="Public"/>
    <n v="607.79999999999995"/>
    <n v="613.88"/>
  </r>
  <r>
    <x v="404"/>
    <x v="7"/>
    <s v="Port Louis"/>
    <s v="Eastern"/>
    <s v="Commercial"/>
    <n v="387.66"/>
    <n v="410.92"/>
  </r>
  <r>
    <x v="405"/>
    <x v="12"/>
    <s v="Cape Town"/>
    <s v="Southern"/>
    <s v="Residential"/>
    <n v="742.01"/>
    <n v="764.27"/>
  </r>
  <r>
    <x v="406"/>
    <x v="36"/>
    <s v="Windhoek"/>
    <s v="Southern"/>
    <s v="Residential"/>
    <n v="999.08"/>
    <n v="979.1"/>
  </r>
  <r>
    <x v="407"/>
    <x v="13"/>
    <s v="Cotonou"/>
    <s v="Western"/>
    <s v="Commercial"/>
    <n v="852.18"/>
    <n v="877.75"/>
  </r>
  <r>
    <x v="408"/>
    <x v="48"/>
    <s v="Rabat"/>
    <s v="Northern"/>
    <s v="Public"/>
    <n v="567.89"/>
    <n v="545.16999999999996"/>
  </r>
  <r>
    <x v="409"/>
    <x v="10"/>
    <s v="Kano"/>
    <s v="Western"/>
    <s v="Residential"/>
    <n v="270.48"/>
    <n v="267.78000000000003"/>
  </r>
  <r>
    <x v="410"/>
    <x v="12"/>
    <s v="Durban"/>
    <s v="Southern"/>
    <s v="Commercial"/>
    <n v="827.47"/>
    <n v="819.2"/>
  </r>
  <r>
    <x v="411"/>
    <x v="49"/>
    <s v="Cairo"/>
    <s v="Northern"/>
    <s v="Commercial"/>
    <n v="87.64"/>
    <n v="81.510000000000005"/>
  </r>
  <r>
    <x v="411"/>
    <x v="30"/>
    <s v="Mogadishu"/>
    <s v="Eastern"/>
    <s v="Public"/>
    <n v="680.68"/>
    <n v="694.29"/>
  </r>
  <r>
    <x v="412"/>
    <x v="27"/>
    <s v="Maseru"/>
    <s v="Southern"/>
    <s v="Commercial"/>
    <n v="716.33"/>
    <n v="680.51"/>
  </r>
  <r>
    <x v="412"/>
    <x v="8"/>
    <s v="Sao Tome"/>
    <s v="Middle"/>
    <s v="Residential"/>
    <n v="888.09"/>
    <n v="950.26"/>
  </r>
  <r>
    <x v="413"/>
    <x v="13"/>
    <s v="Porto-Novo"/>
    <s v="Western"/>
    <s v="Residential"/>
    <n v="21.32"/>
    <n v="20.68"/>
  </r>
  <r>
    <x v="414"/>
    <x v="32"/>
    <s v="Libreville"/>
    <s v="Middle"/>
    <s v="Commercial"/>
    <n v="677.66"/>
    <n v="711.54"/>
  </r>
  <r>
    <x v="415"/>
    <x v="48"/>
    <s v="Rabat"/>
    <s v="Northern"/>
    <s v="Public"/>
    <n v="558.96"/>
    <n v="553.37"/>
  </r>
  <r>
    <x v="415"/>
    <x v="14"/>
    <s v="Freetown"/>
    <s v="Western"/>
    <s v="Commercial"/>
    <n v="810.91"/>
    <n v="843.34999999999991"/>
  </r>
  <r>
    <x v="415"/>
    <x v="41"/>
    <s v="Kampala"/>
    <s v="Eastern"/>
    <s v="Commercial"/>
    <n v="830.39"/>
    <n v="871.91"/>
  </r>
  <r>
    <x v="416"/>
    <x v="46"/>
    <s v="Nairobi"/>
    <s v="Eastern"/>
    <s v="Residential"/>
    <n v="341.84"/>
    <n v="307.65999999999997"/>
  </r>
  <r>
    <x v="417"/>
    <x v="9"/>
    <s v="Douala"/>
    <s v="Middle"/>
    <s v="Public"/>
    <n v="275.11"/>
    <n v="286.11"/>
  </r>
  <r>
    <x v="418"/>
    <x v="28"/>
    <s v="Mbuji-Mayi"/>
    <s v="Middle"/>
    <s v="Residential"/>
    <n v="322.89"/>
    <n v="316.43"/>
  </r>
  <r>
    <x v="418"/>
    <x v="24"/>
    <s v="Dar es Salaam"/>
    <s v="Eastern"/>
    <s v="Residential"/>
    <n v="98.4"/>
    <n v="94.460000000000008"/>
  </r>
  <r>
    <x v="418"/>
    <x v="3"/>
    <s v="Harare"/>
    <s v="Eastern"/>
    <s v="Commercial"/>
    <n v="954.5"/>
    <n v="992.68"/>
  </r>
  <r>
    <x v="419"/>
    <x v="23"/>
    <s v="Bissau"/>
    <s v="Western"/>
    <s v="Public"/>
    <n v="223.93"/>
    <n v="219.45000000000002"/>
  </r>
  <r>
    <x v="420"/>
    <x v="12"/>
    <s v="Pretoria"/>
    <s v="Southern"/>
    <s v="Public"/>
    <n v="771.25"/>
    <n v="786.68"/>
  </r>
  <r>
    <x v="421"/>
    <x v="32"/>
    <s v="Libreville"/>
    <s v="Middle"/>
    <s v="Commercial"/>
    <n v="594.69000000000005"/>
    <n v="553.06000000000006"/>
  </r>
  <r>
    <x v="421"/>
    <x v="36"/>
    <s v="Windhoek"/>
    <s v="Southern"/>
    <s v="Residential"/>
    <n v="850.46"/>
    <n v="909.99"/>
  </r>
  <r>
    <x v="422"/>
    <x v="17"/>
    <s v="Khartoum"/>
    <s v="Northern"/>
    <s v="Public"/>
    <n v="434.22"/>
    <n v="399.48"/>
  </r>
  <r>
    <x v="423"/>
    <x v="25"/>
    <s v="Accra"/>
    <s v="Western"/>
    <s v="Residential"/>
    <n v="792.14"/>
    <n v="847.59"/>
  </r>
  <r>
    <x v="424"/>
    <x v="16"/>
    <s v="Dakhla"/>
    <s v="Northern"/>
    <s v="Public"/>
    <n v="440.26"/>
    <n v="427.05"/>
  </r>
  <r>
    <x v="425"/>
    <x v="50"/>
    <s v="Nouakchott"/>
    <s v="Western"/>
    <s v="Commercial"/>
    <n v="356.89"/>
    <n v="374.72999999999996"/>
  </r>
  <r>
    <x v="426"/>
    <x v="14"/>
    <s v="Freetown"/>
    <s v="Western"/>
    <s v="Commercial"/>
    <n v="34.82"/>
    <n v="35.520000000000003"/>
  </r>
  <r>
    <x v="427"/>
    <x v="28"/>
    <s v="Lubumbashi"/>
    <s v="Middle"/>
    <s v="Public"/>
    <n v="788.56"/>
    <n v="796.44999999999993"/>
  </r>
  <r>
    <x v="427"/>
    <x v="2"/>
    <s v="Kigali"/>
    <s v="Eastern"/>
    <s v="Commercial"/>
    <n v="744.47"/>
    <n v="737.03"/>
  </r>
  <r>
    <x v="428"/>
    <x v="26"/>
    <s v="Gaborone"/>
    <s v="Southern"/>
    <s v="Public"/>
    <n v="800.32"/>
    <n v="848.34"/>
  </r>
  <r>
    <x v="429"/>
    <x v="39"/>
    <s v="Luanda"/>
    <s v="Middle"/>
    <s v="Public"/>
    <n v="39.799999999999997"/>
    <n v="42.98"/>
  </r>
  <r>
    <x v="429"/>
    <x v="45"/>
    <s v="Djibouti"/>
    <s v="Eastern"/>
    <s v="Public"/>
    <n v="306.88"/>
    <n v="331.43"/>
  </r>
  <r>
    <x v="429"/>
    <x v="46"/>
    <s v="Nairobi"/>
    <s v="Eastern"/>
    <s v="Residential"/>
    <n v="846.55"/>
    <n v="838.07999999999993"/>
  </r>
  <r>
    <x v="430"/>
    <x v="51"/>
    <s v="Bujumbura"/>
    <s v="Eastern"/>
    <s v="Residential"/>
    <n v="785.12"/>
    <n v="745.86"/>
  </r>
  <r>
    <x v="431"/>
    <x v="25"/>
    <s v="Accra"/>
    <s v="Western"/>
    <s v="Commercial"/>
    <n v="527.38"/>
    <n v="553.75"/>
  </r>
  <r>
    <x v="431"/>
    <x v="42"/>
    <s v="Conakry"/>
    <s v="Western"/>
    <s v="Public"/>
    <n v="314.44"/>
    <n v="286.14"/>
  </r>
  <r>
    <x v="432"/>
    <x v="42"/>
    <s v="Conakry"/>
    <s v="Western"/>
    <s v="Public"/>
    <n v="949.91"/>
    <n v="997.41"/>
  </r>
  <r>
    <x v="432"/>
    <x v="35"/>
    <s v="Maputo"/>
    <s v="Eastern"/>
    <s v="Public"/>
    <n v="783.49"/>
    <n v="783.49"/>
  </r>
  <r>
    <x v="432"/>
    <x v="11"/>
    <s v="Dakar"/>
    <s v="Western"/>
    <s v="Public"/>
    <n v="252.82"/>
    <n v="230.07"/>
  </r>
  <r>
    <x v="433"/>
    <x v="15"/>
    <s v="Malabo"/>
    <s v="Middle"/>
    <s v="Commercial"/>
    <n v="497.89"/>
    <n v="487.93"/>
  </r>
  <r>
    <x v="434"/>
    <x v="28"/>
    <s v="Lubumbashi"/>
    <s v="Middle"/>
    <s v="Commercial"/>
    <n v="119.01"/>
    <n v="116.63000000000001"/>
  </r>
  <r>
    <x v="435"/>
    <x v="21"/>
    <s v="Niamey"/>
    <s v="Western"/>
    <s v="Commercial"/>
    <n v="389.73"/>
    <n v="405.32"/>
  </r>
  <r>
    <x v="436"/>
    <x v="0"/>
    <s v="Abidjan"/>
    <s v="Western"/>
    <s v="Public"/>
    <n v="510.55"/>
    <n v="479.92"/>
  </r>
  <r>
    <x v="437"/>
    <x v="28"/>
    <s v="Kinshasa"/>
    <s v="Middle"/>
    <s v="Residential"/>
    <n v="678.29"/>
    <n v="705.42"/>
  </r>
  <r>
    <x v="437"/>
    <x v="17"/>
    <s v="Khartoum"/>
    <s v="Northern"/>
    <s v="Residential"/>
    <n v="504.53"/>
    <n v="504.53"/>
  </r>
  <r>
    <x v="438"/>
    <x v="23"/>
    <s v="Bissau"/>
    <s v="Western"/>
    <s v="Commercial"/>
    <n v="544.96"/>
    <n v="561.31000000000006"/>
  </r>
  <r>
    <x v="439"/>
    <x v="44"/>
    <s v="Lusaka"/>
    <s v="Eastern"/>
    <s v="Residential"/>
    <n v="820.85"/>
    <n v="763.39"/>
  </r>
  <r>
    <x v="440"/>
    <x v="49"/>
    <s v="Cairo"/>
    <s v="Northern"/>
    <s v="Commercial"/>
    <n v="892.07"/>
    <n v="918.83"/>
  </r>
  <r>
    <x v="441"/>
    <x v="7"/>
    <s v="Port Louis"/>
    <s v="Eastern"/>
    <s v="Public"/>
    <n v="25.6"/>
    <n v="23.810000000000002"/>
  </r>
  <r>
    <x v="441"/>
    <x v="12"/>
    <s v="Cape Town"/>
    <s v="Southern"/>
    <s v="Residential"/>
    <n v="407.34"/>
    <n v="366.60999999999996"/>
  </r>
  <r>
    <x v="442"/>
    <x v="17"/>
    <s v="Khartoum"/>
    <s v="Northern"/>
    <s v="Public"/>
    <n v="211.45"/>
    <n v="213.56"/>
  </r>
  <r>
    <x v="443"/>
    <x v="2"/>
    <s v="Kigali"/>
    <s v="Eastern"/>
    <s v="Commercial"/>
    <n v="362.13"/>
    <n v="358.51"/>
  </r>
  <r>
    <x v="444"/>
    <x v="10"/>
    <s v="Abuja"/>
    <s v="Western"/>
    <s v="Residential"/>
    <n v="860.98"/>
    <n v="817.93000000000006"/>
  </r>
  <r>
    <x v="445"/>
    <x v="44"/>
    <s v="Lusaka"/>
    <s v="Eastern"/>
    <s v="Public"/>
    <n v="933.98"/>
    <n v="896.62"/>
  </r>
  <r>
    <x v="446"/>
    <x v="10"/>
    <s v="Lagos"/>
    <s v="Western"/>
    <s v="Public"/>
    <n v="528.27"/>
    <n v="570.53"/>
  </r>
  <r>
    <x v="447"/>
    <x v="5"/>
    <s v="N'Djamena"/>
    <s v="Middle"/>
    <s v="Residential"/>
    <n v="472.81"/>
    <n v="430.26"/>
  </r>
  <r>
    <x v="447"/>
    <x v="6"/>
    <s v="Lilongwe"/>
    <s v="Eastern"/>
    <s v="Commercial"/>
    <n v="317.87"/>
    <n v="286.08"/>
  </r>
  <r>
    <x v="448"/>
    <x v="47"/>
    <s v="Monrovia"/>
    <s v="Western"/>
    <s v="Commercial"/>
    <n v="515.28"/>
    <n v="525.58999999999992"/>
  </r>
  <r>
    <x v="448"/>
    <x v="10"/>
    <s v="Ibadan"/>
    <s v="Western"/>
    <s v="Public"/>
    <n v="2.69"/>
    <n v="2.91"/>
  </r>
  <r>
    <x v="449"/>
    <x v="28"/>
    <s v="Mbuji-Mayi"/>
    <s v="Middle"/>
    <s v="Commercial"/>
    <n v="475.2"/>
    <n v="498.96"/>
  </r>
  <r>
    <x v="450"/>
    <x v="15"/>
    <s v="Malabo"/>
    <s v="Middle"/>
    <s v="Residential"/>
    <n v="649.16"/>
    <n v="616.69999999999993"/>
  </r>
  <r>
    <x v="451"/>
    <x v="0"/>
    <s v="Abidjan"/>
    <s v="Western"/>
    <s v="Public"/>
    <n v="54.12"/>
    <n v="49.79"/>
  </r>
  <r>
    <x v="452"/>
    <x v="39"/>
    <s v="Luanda"/>
    <s v="Middle"/>
    <s v="Commercial"/>
    <n v="9.16"/>
    <n v="9.25"/>
  </r>
  <r>
    <x v="453"/>
    <x v="9"/>
    <s v="Yaoundé"/>
    <s v="Middle"/>
    <s v="Commercial"/>
    <n v="586.1"/>
    <n v="562.66"/>
  </r>
  <r>
    <x v="453"/>
    <x v="10"/>
    <s v="Abuja"/>
    <s v="Western"/>
    <s v="Public"/>
    <n v="717.28"/>
    <n v="674.24"/>
  </r>
  <r>
    <x v="453"/>
    <x v="12"/>
    <s v="Durban"/>
    <s v="Southern"/>
    <s v="Residential"/>
    <n v="953.06"/>
    <n v="876.81999999999994"/>
  </r>
  <r>
    <x v="454"/>
    <x v="27"/>
    <s v="Maseru"/>
    <s v="Southern"/>
    <s v="Residential"/>
    <n v="704.69"/>
    <n v="634.22"/>
  </r>
  <r>
    <x v="455"/>
    <x v="12"/>
    <s v="Johannesburg"/>
    <s v="Southern"/>
    <s v="Residential"/>
    <n v="808.04"/>
    <n v="856.52"/>
  </r>
  <r>
    <x v="456"/>
    <x v="51"/>
    <s v="Bujumbura"/>
    <s v="Eastern"/>
    <s v="Residential"/>
    <n v="861.38"/>
    <n v="852.77"/>
  </r>
  <r>
    <x v="457"/>
    <x v="31"/>
    <s v="Bangui"/>
    <s v="Middle"/>
    <s v="Public"/>
    <n v="168.78"/>
    <n v="178.91"/>
  </r>
  <r>
    <x v="457"/>
    <x v="8"/>
    <s v="Sao Tome"/>
    <s v="Middle"/>
    <s v="Commercial"/>
    <n v="898.29"/>
    <n v="844.39"/>
  </r>
  <r>
    <x v="458"/>
    <x v="28"/>
    <s v="Kinshasa"/>
    <s v="Middle"/>
    <s v="Commercial"/>
    <n v="91.24"/>
    <n v="98.539999999999992"/>
  </r>
  <r>
    <x v="459"/>
    <x v="25"/>
    <s v="Kumasi"/>
    <s v="Western"/>
    <s v="Residential"/>
    <n v="220.89"/>
    <n v="220.89"/>
  </r>
  <r>
    <x v="459"/>
    <x v="48"/>
    <s v="Rabat"/>
    <s v="Northern"/>
    <s v="Commercial"/>
    <n v="150.54"/>
    <n v="162.57999999999998"/>
  </r>
  <r>
    <x v="460"/>
    <x v="34"/>
    <s v="Brazzaville"/>
    <s v="Middle"/>
    <s v="Commercial"/>
    <n v="146.09"/>
    <n v="134.4"/>
  </r>
  <r>
    <x v="461"/>
    <x v="40"/>
    <s v="Bamako"/>
    <s v="Western"/>
    <s v="Commercial"/>
    <n v="77.849999999999994"/>
    <n v="84.08"/>
  </r>
  <r>
    <x v="462"/>
    <x v="12"/>
    <s v="Cape Town"/>
    <s v="Southern"/>
    <s v="Commercial"/>
    <n v="263.38"/>
    <n v="271.27999999999997"/>
  </r>
  <r>
    <x v="462"/>
    <x v="33"/>
    <s v="Tunis"/>
    <s v="Northern"/>
    <s v="Commercial"/>
    <n v="511.56"/>
    <n v="526.91"/>
  </r>
  <r>
    <x v="463"/>
    <x v="14"/>
    <s v="Freetown"/>
    <s v="Western"/>
    <s v="Public"/>
    <n v="400.86"/>
    <n v="404.87"/>
  </r>
  <r>
    <x v="464"/>
    <x v="29"/>
    <s v="Ouagadougou"/>
    <s v="Western"/>
    <s v="Public"/>
    <n v="977.29"/>
    <n v="1035.93"/>
  </r>
  <r>
    <x v="464"/>
    <x v="1"/>
    <s v="Antananarivo"/>
    <s v="Eastern"/>
    <s v="Commercial"/>
    <n v="946.35"/>
    <n v="861.18000000000006"/>
  </r>
  <r>
    <x v="465"/>
    <x v="37"/>
    <s v="Victoria"/>
    <s v="Eastern"/>
    <s v="Residential"/>
    <n v="52.28"/>
    <n v="49.14"/>
  </r>
  <r>
    <x v="465"/>
    <x v="38"/>
    <s v="Mbabane"/>
    <s v="Southern"/>
    <s v="Residential"/>
    <n v="401.44"/>
    <n v="425.53"/>
  </r>
  <r>
    <x v="465"/>
    <x v="16"/>
    <s v="Dakhla"/>
    <s v="Northern"/>
    <s v="Public"/>
    <n v="74.45"/>
    <n v="80.41"/>
  </r>
  <r>
    <x v="466"/>
    <x v="9"/>
    <s v="Yaoundé"/>
    <s v="Middle"/>
    <s v="Commercial"/>
    <n v="840.76"/>
    <n v="849.17"/>
  </r>
  <r>
    <x v="466"/>
    <x v="22"/>
    <s v="Lome"/>
    <s v="Western"/>
    <s v="Public"/>
    <n v="875.44"/>
    <n v="919.21"/>
  </r>
  <r>
    <x v="467"/>
    <x v="13"/>
    <s v="Porto-Novo"/>
    <s v="Western"/>
    <s v="Residential"/>
    <n v="501.03"/>
    <n v="480.98999999999995"/>
  </r>
  <r>
    <x v="467"/>
    <x v="0"/>
    <s v="Yamoussoukro"/>
    <s v="Western"/>
    <s v="Residential"/>
    <n v="743.91"/>
    <n v="669.52"/>
  </r>
  <r>
    <x v="468"/>
    <x v="46"/>
    <s v="Nairobi"/>
    <s v="Eastern"/>
    <s v="Commercial"/>
    <n v="759.18"/>
    <n v="774.3599999999999"/>
  </r>
  <r>
    <x v="469"/>
    <x v="22"/>
    <s v="Lome"/>
    <s v="Western"/>
    <s v="Commercial"/>
    <n v="660.33"/>
    <n v="680.14"/>
  </r>
  <r>
    <x v="470"/>
    <x v="13"/>
    <s v="Cotonou"/>
    <s v="Western"/>
    <s v="Residential"/>
    <n v="518.9"/>
    <n v="482.58"/>
  </r>
  <r>
    <x v="470"/>
    <x v="4"/>
    <s v="Addis Ababa"/>
    <s v="Eastern"/>
    <s v="Commercial"/>
    <n v="624.27"/>
    <n v="574.32999999999993"/>
  </r>
  <r>
    <x v="470"/>
    <x v="10"/>
    <s v="Lagos"/>
    <s v="Western"/>
    <s v="Residential"/>
    <n v="83.74"/>
    <n v="82.07"/>
  </r>
  <r>
    <x v="470"/>
    <x v="43"/>
    <s v="Juba"/>
    <s v="Eastern"/>
    <s v="Public"/>
    <n v="142.9"/>
    <n v="140.04"/>
  </r>
  <r>
    <x v="471"/>
    <x v="25"/>
    <s v="Kumasi"/>
    <s v="Western"/>
    <s v="Residential"/>
    <n v="251.91"/>
    <n v="231.76"/>
  </r>
  <r>
    <x v="471"/>
    <x v="24"/>
    <s v="Dar es Salaam"/>
    <s v="Eastern"/>
    <s v="Public"/>
    <n v="846.06"/>
    <n v="786.83999999999992"/>
  </r>
  <r>
    <x v="472"/>
    <x v="26"/>
    <s v="Gaborone"/>
    <s v="Southern"/>
    <s v="Residential"/>
    <n v="93.74"/>
    <n v="91.86999999999999"/>
  </r>
  <r>
    <x v="472"/>
    <x v="16"/>
    <s v="Dakhla"/>
    <s v="Northern"/>
    <s v="Residential"/>
    <n v="759.65"/>
    <n v="744.45999999999992"/>
  </r>
  <r>
    <x v="473"/>
    <x v="19"/>
    <s v="Asmara"/>
    <s v="Eastern"/>
    <s v="Commercial"/>
    <n v="126.3"/>
    <n v="123.77"/>
  </r>
  <r>
    <x v="473"/>
    <x v="20"/>
    <s v="Tripoli"/>
    <s v="Northern"/>
    <s v="Public"/>
    <n v="434.16"/>
    <n v="416.79"/>
  </r>
  <r>
    <x v="473"/>
    <x v="36"/>
    <s v="Windhoek"/>
    <s v="Southern"/>
    <s v="Residential"/>
    <n v="88.06"/>
    <n v="80.13"/>
  </r>
  <r>
    <x v="474"/>
    <x v="6"/>
    <s v="Lilongwe"/>
    <s v="Eastern"/>
    <s v="Public"/>
    <n v="891.98"/>
    <n v="847.38"/>
  </r>
  <r>
    <x v="474"/>
    <x v="12"/>
    <s v="Durban"/>
    <s v="Southern"/>
    <s v="Commercial"/>
    <n v="521.94000000000005"/>
    <n v="563.70000000000005"/>
  </r>
  <r>
    <x v="475"/>
    <x v="8"/>
    <s v="Sao Tome"/>
    <s v="Middle"/>
    <s v="Commercial"/>
    <n v="982.56"/>
    <n v="1051.3399999999999"/>
  </r>
  <r>
    <x v="476"/>
    <x v="28"/>
    <s v="Lubumbashi"/>
    <s v="Middle"/>
    <s v="Commercial"/>
    <n v="158.63999999999999"/>
    <n v="142.77999999999997"/>
  </r>
  <r>
    <x v="477"/>
    <x v="12"/>
    <s v="Johannesburg"/>
    <s v="Southern"/>
    <s v="Commercial"/>
    <n v="317.39999999999998"/>
    <n v="311.04999999999995"/>
  </r>
  <r>
    <x v="478"/>
    <x v="10"/>
    <s v="Kano"/>
    <s v="Western"/>
    <s v="Public"/>
    <n v="51.79"/>
    <n v="51.269999999999996"/>
  </r>
  <r>
    <x v="479"/>
    <x v="37"/>
    <s v="Victoria"/>
    <s v="Eastern"/>
    <s v="Commercial"/>
    <n v="439.66"/>
    <n v="461.64000000000004"/>
  </r>
  <r>
    <x v="480"/>
    <x v="39"/>
    <s v="Luanda"/>
    <s v="Middle"/>
    <s v="Commercial"/>
    <n v="693.91"/>
    <n v="659.20999999999992"/>
  </r>
  <r>
    <x v="480"/>
    <x v="27"/>
    <s v="Maseru"/>
    <s v="Southern"/>
    <s v="Commercial"/>
    <n v="53.57"/>
    <n v="57.86"/>
  </r>
  <r>
    <x v="481"/>
    <x v="45"/>
    <s v="Djibouti"/>
    <s v="Eastern"/>
    <s v="Residential"/>
    <n v="952.85"/>
    <n v="981.44"/>
  </r>
  <r>
    <x v="482"/>
    <x v="17"/>
    <s v="Khartoum"/>
    <s v="Northern"/>
    <s v="Residential"/>
    <n v="822.41"/>
    <n v="855.31"/>
  </r>
  <r>
    <x v="482"/>
    <x v="3"/>
    <s v="Harare"/>
    <s v="Eastern"/>
    <s v="Commercial"/>
    <n v="225.21"/>
    <n v="231.97"/>
  </r>
  <r>
    <x v="483"/>
    <x v="19"/>
    <s v="Asmara"/>
    <s v="Eastern"/>
    <s v="Residential"/>
    <n v="199.16"/>
    <n v="195.18"/>
  </r>
  <r>
    <x v="484"/>
    <x v="30"/>
    <s v="Mogadishu"/>
    <s v="Eastern"/>
    <s v="Public"/>
    <n v="118.6"/>
    <n v="122.16"/>
  </r>
  <r>
    <x v="484"/>
    <x v="12"/>
    <s v="Pretoria"/>
    <s v="Southern"/>
    <s v="Commercial"/>
    <n v="503.52"/>
    <n v="523.66"/>
  </r>
  <r>
    <x v="485"/>
    <x v="13"/>
    <s v="Cotonou"/>
    <s v="Western"/>
    <s v="Residential"/>
    <n v="853.01"/>
    <n v="818.89"/>
  </r>
  <r>
    <x v="486"/>
    <x v="9"/>
    <s v="Douala"/>
    <s v="Middle"/>
    <s v="Residential"/>
    <n v="977.32"/>
    <n v="918.68000000000006"/>
  </r>
  <r>
    <x v="486"/>
    <x v="10"/>
    <s v="Ibadan"/>
    <s v="Western"/>
    <s v="Commercial"/>
    <n v="724.95"/>
    <n v="724.95"/>
  </r>
  <r>
    <x v="487"/>
    <x v="11"/>
    <s v="Dakar"/>
    <s v="Western"/>
    <s v="Public"/>
    <n v="109.84"/>
    <n v="107.64"/>
  </r>
  <r>
    <x v="488"/>
    <x v="18"/>
    <s v="Algiers"/>
    <s v="Northern"/>
    <s v="Residential"/>
    <n v="206.71"/>
    <n v="198.44"/>
  </r>
  <r>
    <x v="489"/>
    <x v="20"/>
    <s v="Tripoli"/>
    <s v="Northern"/>
    <s v="Residential"/>
    <n v="807.85"/>
    <n v="775.54"/>
  </r>
  <r>
    <x v="489"/>
    <x v="6"/>
    <s v="Blantyre"/>
    <s v="Eastern"/>
    <s v="Public"/>
    <n v="670.13"/>
    <n v="623.22"/>
  </r>
  <r>
    <x v="489"/>
    <x v="11"/>
    <s v="Dakar"/>
    <s v="Western"/>
    <s v="Commercial"/>
    <n v="893.17"/>
    <n v="839.57999999999993"/>
  </r>
  <r>
    <x v="490"/>
    <x v="1"/>
    <s v="Antananarivo"/>
    <s v="Eastern"/>
    <s v="Commercial"/>
    <n v="192.61"/>
    <n v="173.35000000000002"/>
  </r>
  <r>
    <x v="491"/>
    <x v="43"/>
    <s v="Juba"/>
    <s v="Eastern"/>
    <s v="Public"/>
    <n v="945.8"/>
    <n v="964.71999999999991"/>
  </r>
  <r>
    <x v="492"/>
    <x v="6"/>
    <s v="Lilongwe"/>
    <s v="Eastern"/>
    <s v="Residential"/>
    <n v="130.69"/>
    <n v="122.85"/>
  </r>
  <r>
    <x v="493"/>
    <x v="21"/>
    <s v="Niamey"/>
    <s v="Western"/>
    <s v="Residential"/>
    <n v="346.72"/>
    <n v="364.06"/>
  </r>
  <r>
    <x v="494"/>
    <x v="49"/>
    <s v="Cairo"/>
    <s v="Northern"/>
    <s v="Residential"/>
    <n v="485.04"/>
    <n v="523.84"/>
  </r>
  <r>
    <x v="494"/>
    <x v="17"/>
    <s v="Khartoum"/>
    <s v="Northern"/>
    <s v="Residential"/>
    <n v="493.02"/>
    <n v="512.74"/>
  </r>
  <r>
    <x v="495"/>
    <x v="51"/>
    <s v="Bujumbura"/>
    <s v="Eastern"/>
    <s v="Public"/>
    <n v="865.69"/>
    <n v="813.75"/>
  </r>
  <r>
    <x v="496"/>
    <x v="44"/>
    <s v="Lusaka"/>
    <s v="Eastern"/>
    <s v="Public"/>
    <n v="12.31"/>
    <n v="12.68"/>
  </r>
  <r>
    <x v="497"/>
    <x v="0"/>
    <s v="Abidjan"/>
    <s v="Western"/>
    <s v="Commercial"/>
    <n v="896.76"/>
    <n v="887.79"/>
  </r>
  <r>
    <x v="498"/>
    <x v="40"/>
    <s v="Bamako"/>
    <s v="Western"/>
    <s v="Commercial"/>
    <n v="572.27"/>
    <n v="583.72"/>
  </r>
  <r>
    <x v="499"/>
    <x v="50"/>
    <s v="Nouakchott"/>
    <s v="Western"/>
    <s v="Residential"/>
    <n v="784.94"/>
    <n v="706.45"/>
  </r>
  <r>
    <x v="500"/>
    <x v="23"/>
    <s v="Bissau"/>
    <s v="Western"/>
    <s v="Commercial"/>
    <n v="547.67999999999995"/>
    <n v="586.02"/>
  </r>
  <r>
    <x v="501"/>
    <x v="28"/>
    <s v="Mbuji-Mayi"/>
    <s v="Middle"/>
    <s v="Commercial"/>
    <n v="430.15"/>
    <n v="460.26"/>
  </r>
  <r>
    <x v="502"/>
    <x v="0"/>
    <s v="Yamoussoukro"/>
    <s v="Western"/>
    <s v="Commercial"/>
    <n v="749.12"/>
    <n v="756.61"/>
  </r>
  <r>
    <x v="502"/>
    <x v="38"/>
    <s v="Mbabane"/>
    <s v="Southern"/>
    <s v="Residential"/>
    <n v="787.3"/>
    <n v="771.55"/>
  </r>
  <r>
    <x v="503"/>
    <x v="4"/>
    <s v="Addis Ababa"/>
    <s v="Eastern"/>
    <s v="Commercial"/>
    <n v="743.67"/>
    <n v="713.92"/>
  </r>
  <r>
    <x v="504"/>
    <x v="15"/>
    <s v="Malabo"/>
    <s v="Middle"/>
    <s v="Residential"/>
    <n v="800.51"/>
    <n v="768.49"/>
  </r>
  <r>
    <x v="504"/>
    <x v="7"/>
    <s v="Port Louis"/>
    <s v="Eastern"/>
    <s v="Public"/>
    <n v="15.99"/>
    <n v="16.79"/>
  </r>
  <r>
    <x v="505"/>
    <x v="13"/>
    <s v="Porto-Novo"/>
    <s v="Western"/>
    <s v="Commercial"/>
    <n v="517.70000000000005"/>
    <n v="517.70000000000005"/>
  </r>
  <r>
    <x v="505"/>
    <x v="26"/>
    <s v="Gaborone"/>
    <s v="Southern"/>
    <s v="Residential"/>
    <n v="137.27000000000001"/>
    <n v="140.02000000000001"/>
  </r>
  <r>
    <x v="506"/>
    <x v="35"/>
    <s v="Maputo"/>
    <s v="Eastern"/>
    <s v="Commercial"/>
    <n v="937.98"/>
    <n v="937.98"/>
  </r>
  <r>
    <x v="507"/>
    <x v="10"/>
    <s v="Abuja"/>
    <s v="Western"/>
    <s v="Public"/>
    <n v="38.299999999999997"/>
    <n v="37.15"/>
  </r>
  <r>
    <x v="507"/>
    <x v="41"/>
    <s v="Kampala"/>
    <s v="Eastern"/>
    <s v="Residential"/>
    <n v="6.87"/>
    <n v="6.73"/>
  </r>
  <r>
    <x v="508"/>
    <x v="32"/>
    <s v="Libreville"/>
    <s v="Middle"/>
    <s v="Public"/>
    <n v="771.44"/>
    <n v="694.30000000000007"/>
  </r>
  <r>
    <x v="508"/>
    <x v="30"/>
    <s v="Mogadishu"/>
    <s v="Eastern"/>
    <s v="Commercial"/>
    <n v="443.2"/>
    <n v="421.03999999999996"/>
  </r>
  <r>
    <x v="509"/>
    <x v="31"/>
    <s v="Bangui"/>
    <s v="Middle"/>
    <s v="Residential"/>
    <n v="461.66"/>
    <n v="420.11"/>
  </r>
  <r>
    <x v="509"/>
    <x v="5"/>
    <s v="N'Djamena"/>
    <s v="Middle"/>
    <s v="Public"/>
    <n v="163.34"/>
    <n v="174.77"/>
  </r>
  <r>
    <x v="510"/>
    <x v="25"/>
    <s v="Accra"/>
    <s v="Western"/>
    <s v="Commercial"/>
    <n v="535.35"/>
    <n v="562.12"/>
  </r>
  <r>
    <x v="511"/>
    <x v="18"/>
    <s v="Algiers"/>
    <s v="Northern"/>
    <s v="Residential"/>
    <n v="377.49"/>
    <n v="351.07"/>
  </r>
  <r>
    <x v="512"/>
    <x v="10"/>
    <s v="Lagos"/>
    <s v="Western"/>
    <s v="Public"/>
    <n v="423.18"/>
    <n v="452.8"/>
  </r>
  <r>
    <x v="512"/>
    <x v="33"/>
    <s v="Tunis"/>
    <s v="Northern"/>
    <s v="Commercial"/>
    <n v="728.79"/>
    <n v="655.91"/>
  </r>
  <r>
    <x v="513"/>
    <x v="17"/>
    <s v="Khartoum"/>
    <s v="Northern"/>
    <s v="Public"/>
    <n v="277.22000000000003"/>
    <n v="271.68"/>
  </r>
  <r>
    <x v="514"/>
    <x v="42"/>
    <s v="Conakry"/>
    <s v="Western"/>
    <s v="Public"/>
    <n v="350.47"/>
    <n v="322.43"/>
  </r>
  <r>
    <x v="514"/>
    <x v="24"/>
    <s v="Dar es Salaam"/>
    <s v="Eastern"/>
    <s v="Commercial"/>
    <n v="505.64"/>
    <n v="525.87"/>
  </r>
  <r>
    <x v="515"/>
    <x v="2"/>
    <s v="Kigali"/>
    <s v="Eastern"/>
    <s v="Public"/>
    <n v="472.24"/>
    <n v="510.02"/>
  </r>
  <r>
    <x v="516"/>
    <x v="6"/>
    <s v="Blantyre"/>
    <s v="Eastern"/>
    <s v="Residential"/>
    <n v="692.45"/>
    <n v="685.53000000000009"/>
  </r>
  <r>
    <x v="517"/>
    <x v="10"/>
    <s v="Kano"/>
    <s v="Western"/>
    <s v="Residential"/>
    <n v="550.57000000000005"/>
    <n v="545.06000000000006"/>
  </r>
  <r>
    <x v="518"/>
    <x v="47"/>
    <s v="Monrovia"/>
    <s v="Western"/>
    <s v="Residential"/>
    <n v="306.95999999999998"/>
    <n v="297.75"/>
  </r>
  <r>
    <x v="519"/>
    <x v="29"/>
    <s v="Ouagadougou"/>
    <s v="Western"/>
    <s v="Commercial"/>
    <n v="5.47"/>
    <n v="4.92"/>
  </r>
  <r>
    <x v="519"/>
    <x v="34"/>
    <s v="Brazzaville"/>
    <s v="Middle"/>
    <s v="Commercial"/>
    <n v="498.92"/>
    <n v="503.9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1">
  <r>
    <x v="0"/>
    <s v="Cote d'Ivoire"/>
    <s v="Abidjan"/>
    <s v="Western"/>
    <s v="Commercial"/>
    <n v="656.96"/>
    <n v="650.39"/>
    <n v="6.57000000000005"/>
  </r>
  <r>
    <x v="0"/>
    <s v="Madagascar"/>
    <s v="Antananarivo"/>
    <s v="Eastern"/>
    <s v="Public"/>
    <n v="875.94"/>
    <n v="946.0200000000001"/>
    <n v="-70.080000000000041"/>
  </r>
  <r>
    <x v="0"/>
    <s v="Rwanda"/>
    <s v="Kigali"/>
    <s v="Eastern"/>
    <s v="Public"/>
    <n v="258.35000000000002"/>
    <n v="240.27000000000004"/>
    <n v="18.079999999999984"/>
  </r>
  <r>
    <x v="0"/>
    <s v="Zimbabwe"/>
    <s v="Harare"/>
    <s v="Eastern"/>
    <s v="Residential"/>
    <n v="875.62"/>
    <n v="910.64"/>
    <n v="-35.019999999999982"/>
  </r>
  <r>
    <x v="1"/>
    <s v="Ethiopia"/>
    <s v="Addis Ababa"/>
    <s v="Eastern"/>
    <s v="Residential"/>
    <n v="509.93"/>
    <n v="499.73"/>
    <n v="10.199999999999989"/>
  </r>
  <r>
    <x v="2"/>
    <s v="Chad"/>
    <s v="N'Djamena"/>
    <s v="Middle"/>
    <s v="Commercial"/>
    <n v="443.13"/>
    <n v="438.7"/>
    <n v="4.4300000000000068"/>
  </r>
  <r>
    <x v="2"/>
    <s v="Malawi"/>
    <s v="Blantyre"/>
    <s v="Eastern"/>
    <s v="Residential"/>
    <n v="651.78"/>
    <n v="632.23"/>
    <n v="19.549999999999955"/>
  </r>
  <r>
    <x v="2"/>
    <s v="Mauritius"/>
    <s v="Port Louis"/>
    <s v="Eastern"/>
    <s v="Public"/>
    <n v="896.64"/>
    <n v="959.4"/>
    <n v="-62.759999999999991"/>
  </r>
  <r>
    <x v="3"/>
    <s v="Sao Tome and Principe"/>
    <s v="Sao Tome"/>
    <s v="Middle"/>
    <s v="Commercial"/>
    <n v="226.92"/>
    <n v="213.29999999999998"/>
    <n v="13.620000000000005"/>
  </r>
  <r>
    <x v="4"/>
    <s v="Cameroon"/>
    <s v="Yaoundé"/>
    <s v="Middle"/>
    <s v="Public"/>
    <n v="77.41"/>
    <n v="73.539999999999992"/>
    <n v="3.8700000000000045"/>
  </r>
  <r>
    <x v="4"/>
    <s v="Cote d'Ivoire"/>
    <s v="Yamoussoukro"/>
    <s v="Western"/>
    <s v="Public"/>
    <n v="263.64999999999998"/>
    <n v="253.09999999999997"/>
    <n v="10.550000000000011"/>
  </r>
  <r>
    <x v="4"/>
    <s v="Nigeria"/>
    <s v="Lagos"/>
    <s v="Western"/>
    <s v="Residential"/>
    <n v="950.83"/>
    <n v="998.37"/>
    <n v="-47.539999999999964"/>
  </r>
  <r>
    <x v="4"/>
    <s v="Senegal"/>
    <s v="Dakar"/>
    <s v="Western"/>
    <s v="Commercial"/>
    <n v="252.01"/>
    <n v="229.32999999999998"/>
    <n v="22.680000000000007"/>
  </r>
  <r>
    <x v="4"/>
    <s v="South Africa"/>
    <s v="Cape Town"/>
    <s v="Southern"/>
    <s v="Residential"/>
    <n v="173.98"/>
    <n v="184.42"/>
    <n v="-10.439999999999998"/>
  </r>
  <r>
    <x v="5"/>
    <s v="Benin"/>
    <s v="Porto-Novo"/>
    <s v="Western"/>
    <s v="Residential"/>
    <n v="384.51"/>
    <n v="349.9"/>
    <n v="34.610000000000014"/>
  </r>
  <r>
    <x v="5"/>
    <s v="Sierra Leone"/>
    <s v="Freetown"/>
    <s v="Western"/>
    <s v="Residential"/>
    <n v="301.55"/>
    <n v="307.58"/>
    <n v="-6.0299999999999727"/>
  </r>
  <r>
    <x v="6"/>
    <s v="Equatorial Guinea"/>
    <s v="Malabo"/>
    <s v="Middle"/>
    <s v="Commercial"/>
    <n v="876.78"/>
    <n v="920.62"/>
    <n v="-43.840000000000032"/>
  </r>
  <r>
    <x v="6"/>
    <s v="Western Sahara"/>
    <s v="Dakhla"/>
    <s v="Northern"/>
    <s v="Residential"/>
    <n v="235.84"/>
    <n v="238.20000000000002"/>
    <n v="-2.3600000000000136"/>
  </r>
  <r>
    <x v="7"/>
    <s v="Nigeria"/>
    <s v="Kano"/>
    <s v="Western"/>
    <s v="Public"/>
    <n v="580.54999999999995"/>
    <n v="621.18999999999994"/>
    <n v="-40.639999999999986"/>
  </r>
  <r>
    <x v="7"/>
    <s v="Sudan"/>
    <s v="Khartoum"/>
    <s v="Northern"/>
    <s v="Residential"/>
    <n v="218.64"/>
    <n v="201.14999999999998"/>
    <n v="17.490000000000009"/>
  </r>
  <r>
    <x v="8"/>
    <s v="Algeria"/>
    <s v="Algiers"/>
    <s v="Northern"/>
    <s v="Residential"/>
    <n v="906.3"/>
    <n v="897.24"/>
    <n v="9.0599999999999454"/>
  </r>
  <r>
    <x v="9"/>
    <s v="Eritrea"/>
    <s v="Asmara"/>
    <s v="Eastern"/>
    <s v="Commercial"/>
    <n v="791.98"/>
    <n v="784.06000000000006"/>
    <n v="7.9199999999999591"/>
  </r>
  <r>
    <x v="9"/>
    <s v="Libya"/>
    <s v="Tripoli"/>
    <s v="Northern"/>
    <s v="Residential"/>
    <n v="643.73"/>
    <n v="598.67000000000007"/>
    <n v="45.059999999999945"/>
  </r>
  <r>
    <x v="9"/>
    <s v="Niger"/>
    <s v="Niamey"/>
    <s v="Western"/>
    <s v="Residential"/>
    <n v="3.3"/>
    <n v="3.3299999999999996"/>
    <n v="-2.9999999999999805E-2"/>
  </r>
  <r>
    <x v="9"/>
    <s v="Togo"/>
    <s v="Lome"/>
    <s v="Western"/>
    <s v="Residential"/>
    <n v="326.97000000000003"/>
    <n v="304.08000000000004"/>
    <n v="22.889999999999986"/>
  </r>
  <r>
    <x v="10"/>
    <s v="Guinea-Bissau"/>
    <s v="Bissau"/>
    <s v="Western"/>
    <s v="Commercial"/>
    <n v="28.16"/>
    <n v="27.88"/>
    <n v="0.28000000000000114"/>
  </r>
  <r>
    <x v="10"/>
    <s v="United Republic of Tanzania"/>
    <s v="Dar es Salaam"/>
    <s v="Eastern"/>
    <s v="Residential"/>
    <n v="232.27"/>
    <n v="234.59"/>
    <n v="-2.3199999999999932"/>
  </r>
  <r>
    <x v="11"/>
    <s v="Ghana"/>
    <s v="Kumasi"/>
    <s v="Western"/>
    <s v="Residential"/>
    <n v="83.11"/>
    <n v="74.8"/>
    <n v="8.3100000000000023"/>
  </r>
  <r>
    <x v="12"/>
    <s v="Botswana"/>
    <s v="Gaborone"/>
    <s v="Southern"/>
    <s v="Commercial"/>
    <n v="660.12"/>
    <n v="660.12"/>
    <n v="0"/>
  </r>
  <r>
    <x v="12"/>
    <s v="Lesotho"/>
    <s v="Maseru"/>
    <s v="Southern"/>
    <s v="Commercial"/>
    <n v="153.27000000000001"/>
    <n v="148.67000000000002"/>
    <n v="4.5999999999999943"/>
  </r>
  <r>
    <x v="13"/>
    <s v="Democratic Republic of the Congo"/>
    <s v="Lubumbashi"/>
    <s v="Middle"/>
    <s v="Public"/>
    <n v="40.85"/>
    <n v="42.89"/>
    <n v="-2.0399999999999991"/>
  </r>
  <r>
    <x v="14"/>
    <s v="Benin"/>
    <s v="Cotonou"/>
    <s v="Western"/>
    <s v="Residential"/>
    <n v="897.78"/>
    <n v="843.91"/>
    <n v="53.870000000000005"/>
  </r>
  <r>
    <x v="14"/>
    <s v="Burkina Faso"/>
    <s v="Ouagadougou"/>
    <s v="Western"/>
    <s v="Public"/>
    <n v="462.98"/>
    <n v="425.94"/>
    <n v="37.04000000000002"/>
  </r>
  <r>
    <x v="14"/>
    <s v="Somalia"/>
    <s v="Mogadishu"/>
    <s v="Eastern"/>
    <s v="Public"/>
    <n v="977.28"/>
    <n v="987.05"/>
    <n v="-9.7699999999999818"/>
  </r>
  <r>
    <x v="15"/>
    <s v="Cameroon"/>
    <s v="Douala"/>
    <s v="Middle"/>
    <s v="Public"/>
    <n v="918.82"/>
    <n v="845.31000000000006"/>
    <n v="73.509999999999991"/>
  </r>
  <r>
    <x v="15"/>
    <s v="Central African Republic"/>
    <s v="Bangui"/>
    <s v="Middle"/>
    <s v="Commercial"/>
    <n v="451.45"/>
    <n v="415.33"/>
    <n v="36.120000000000005"/>
  </r>
  <r>
    <x v="15"/>
    <s v="South Africa"/>
    <s v="Johannesburg"/>
    <s v="Southern"/>
    <s v="Residential"/>
    <n v="155.86000000000001"/>
    <n v="160.54000000000002"/>
    <n v="-4.6800000000000068"/>
  </r>
  <r>
    <x v="16"/>
    <s v="Gabon"/>
    <s v="Libreville"/>
    <s v="Middle"/>
    <s v="Commercial"/>
    <n v="984.2"/>
    <n v="954.67000000000007"/>
    <n v="29.529999999999973"/>
  </r>
  <r>
    <x v="16"/>
    <s v="Tunisia"/>
    <s v="Tunis"/>
    <s v="Northern"/>
    <s v="Commercial"/>
    <n v="60.05"/>
    <n v="60.65"/>
    <n v="-0.60000000000000142"/>
  </r>
  <r>
    <x v="17"/>
    <s v="Congo"/>
    <s v="Brazzaville"/>
    <s v="Middle"/>
    <s v="Commercial"/>
    <n v="306.10000000000002"/>
    <n v="306.10000000000002"/>
    <n v="0"/>
  </r>
  <r>
    <x v="17"/>
    <s v="Mozambique"/>
    <s v="Maputo"/>
    <s v="Eastern"/>
    <s v="Residential"/>
    <n v="122.4"/>
    <n v="112.61000000000001"/>
    <n v="9.789999999999992"/>
  </r>
  <r>
    <x v="17"/>
    <s v="Namibia"/>
    <s v="Windhoek"/>
    <s v="Southern"/>
    <s v="Residential"/>
    <n v="598.62"/>
    <n v="568.69000000000005"/>
    <n v="29.92999999999995"/>
  </r>
  <r>
    <x v="17"/>
    <s v="Seychelles"/>
    <s v="Victoria"/>
    <s v="Eastern"/>
    <s v="Residential"/>
    <n v="90.78"/>
    <n v="95.320000000000007"/>
    <n v="-4.5400000000000063"/>
  </r>
  <r>
    <x v="17"/>
    <s v="Swaziland"/>
    <s v="Mbabane"/>
    <s v="Southern"/>
    <s v="Residential"/>
    <n v="864.78"/>
    <n v="933.96"/>
    <n v="-69.180000000000064"/>
  </r>
  <r>
    <x v="18"/>
    <s v="Angola"/>
    <s v="Luanda"/>
    <s v="Middle"/>
    <s v="Residential"/>
    <n v="93.2"/>
    <n v="85.740000000000009"/>
    <n v="7.4599999999999937"/>
  </r>
  <r>
    <x v="19"/>
    <s v="Malawi"/>
    <s v="Lilongwe"/>
    <s v="Eastern"/>
    <s v="Residential"/>
    <n v="841"/>
    <n v="832.59"/>
    <n v="8.4099999999999682"/>
  </r>
  <r>
    <x v="19"/>
    <s v="South Africa"/>
    <s v="Durban"/>
    <s v="Southern"/>
    <s v="Commercial"/>
    <n v="290.43"/>
    <n v="310.76"/>
    <n v="-20.329999999999984"/>
  </r>
  <r>
    <x v="19"/>
    <s v="South Africa"/>
    <s v="Pretoria"/>
    <s v="Southern"/>
    <s v="Residential"/>
    <n v="818.99"/>
    <n v="810.8"/>
    <n v="8.1900000000000546"/>
  </r>
  <r>
    <x v="20"/>
    <s v="Mali"/>
    <s v="Bamako"/>
    <s v="Western"/>
    <s v="Residential"/>
    <n v="847.01"/>
    <n v="804.66"/>
    <n v="42.350000000000023"/>
  </r>
  <r>
    <x v="20"/>
    <s v="Uganda"/>
    <s v="Kampala"/>
    <s v="Eastern"/>
    <s v="Public"/>
    <n v="649.29"/>
    <n v="701.23"/>
    <n v="-51.940000000000055"/>
  </r>
  <r>
    <x v="21"/>
    <s v="Ghana"/>
    <s v="Accra"/>
    <s v="Western"/>
    <s v="Commercial"/>
    <n v="209.95"/>
    <n v="201.54999999999998"/>
    <n v="8.4000000000000057"/>
  </r>
  <r>
    <x v="21"/>
    <s v="Guinea"/>
    <s v="Conakry"/>
    <s v="Western"/>
    <s v="Public"/>
    <n v="188.89"/>
    <n v="175.67"/>
    <n v="13.219999999999999"/>
  </r>
  <r>
    <x v="21"/>
    <s v="Nigeria"/>
    <s v="Abuja"/>
    <s v="Western"/>
    <s v="Commercial"/>
    <n v="723.84"/>
    <n v="716.6"/>
    <n v="7.2400000000000091"/>
  </r>
  <r>
    <x v="21"/>
    <s v="Nigeria"/>
    <s v="Ibadan"/>
    <s v="Western"/>
    <s v="Residential"/>
    <n v="315.60000000000002"/>
    <n v="309.29000000000002"/>
    <n v="6.3100000000000023"/>
  </r>
  <r>
    <x v="21"/>
    <s v="Sudan"/>
    <s v="Khartoum"/>
    <s v="Northern"/>
    <s v="Public"/>
    <n v="120.67"/>
    <n v="118.26"/>
    <n v="2.4099999999999966"/>
  </r>
  <r>
    <x v="22"/>
    <s v="Democratic Republic of the Congo"/>
    <s v="Mbuji-Mayi"/>
    <s v="Middle"/>
    <s v="Public"/>
    <n v="863.54"/>
    <n v="863.54"/>
    <n v="0"/>
  </r>
  <r>
    <x v="22"/>
    <s v="South Sudan"/>
    <s v="Juba"/>
    <s v="Eastern"/>
    <s v="Public"/>
    <n v="359.89"/>
    <n v="381.47999999999996"/>
    <n v="-21.589999999999975"/>
  </r>
  <r>
    <x v="22"/>
    <s v="Zambia"/>
    <s v="Lusaka"/>
    <s v="Eastern"/>
    <s v="Commercial"/>
    <n v="222.26"/>
    <n v="202.26"/>
    <n v="20"/>
  </r>
  <r>
    <x v="23"/>
    <s v="Djibouti"/>
    <s v="Djibouti"/>
    <s v="Eastern"/>
    <s v="Commercial"/>
    <n v="885.22"/>
    <n v="911.78"/>
    <n v="-26.559999999999945"/>
  </r>
  <r>
    <x v="23"/>
    <s v="Kenya"/>
    <s v="Nairobi"/>
    <s v="Eastern"/>
    <s v="Residential"/>
    <n v="992.58"/>
    <n v="942.95"/>
    <n v="49.629999999999995"/>
  </r>
  <r>
    <x v="24"/>
    <s v="Democratic Republic of the Congo"/>
    <s v="Kinshasa"/>
    <s v="Middle"/>
    <s v="Commercial"/>
    <n v="366.62"/>
    <n v="340.96"/>
    <n v="25.660000000000025"/>
  </r>
  <r>
    <x v="24"/>
    <s v="Liberia"/>
    <s v="Monrovia"/>
    <s v="Western"/>
    <s v="Residential"/>
    <n v="936.97"/>
    <n v="1002.5600000000001"/>
    <n v="-65.590000000000032"/>
  </r>
  <r>
    <x v="24"/>
    <s v="Morocco"/>
    <s v="Rabat"/>
    <s v="Northern"/>
    <s v="Public"/>
    <n v="832.54"/>
    <n v="774.26"/>
    <n v="58.279999999999973"/>
  </r>
  <r>
    <x v="25"/>
    <s v="Egypt"/>
    <s v="Cairo"/>
    <s v="Northern"/>
    <s v="Residential"/>
    <n v="761.05"/>
    <n v="700.17"/>
    <n v="60.879999999999995"/>
  </r>
  <r>
    <x v="25"/>
    <s v="Mauritania"/>
    <s v="Nouakchott"/>
    <s v="Western"/>
    <s v="Public"/>
    <n v="211.03"/>
    <n v="198.37"/>
    <n v="12.659999999999997"/>
  </r>
  <r>
    <x v="26"/>
    <s v="Burkina Faso"/>
    <s v="Ouagadougou"/>
    <s v="Western"/>
    <s v="Residential"/>
    <n v="638.38"/>
    <n v="644.76"/>
    <n v="-6.3799999999999955"/>
  </r>
  <r>
    <x v="27"/>
    <s v="Mozambique"/>
    <s v="Maputo"/>
    <s v="Eastern"/>
    <s v="Public"/>
    <n v="357.17"/>
    <n v="325.02000000000004"/>
    <n v="32.149999999999977"/>
  </r>
  <r>
    <x v="28"/>
    <s v="Ghana"/>
    <s v="Kumasi"/>
    <s v="Western"/>
    <s v="Commercial"/>
    <n v="392.84"/>
    <n v="408.54999999999995"/>
    <n v="-15.70999999999998"/>
  </r>
  <r>
    <x v="29"/>
    <s v="Ghana"/>
    <s v="Accra"/>
    <s v="Western"/>
    <s v="Residential"/>
    <n v="67.290000000000006"/>
    <n v="61.230000000000004"/>
    <n v="6.0600000000000023"/>
  </r>
  <r>
    <x v="30"/>
    <s v="Guinea"/>
    <s v="Conakry"/>
    <s v="Western"/>
    <s v="Public"/>
    <n v="825.78"/>
    <n v="792.75"/>
    <n v="33.029999999999973"/>
  </r>
  <r>
    <x v="31"/>
    <s v="Algeria"/>
    <s v="Algiers"/>
    <s v="Northern"/>
    <s v="Residential"/>
    <n v="385.71"/>
    <n v="416.57"/>
    <n v="-30.860000000000014"/>
  </r>
  <r>
    <x v="31"/>
    <s v="Cote d'Ivoire"/>
    <s v="Yamoussoukro"/>
    <s v="Western"/>
    <s v="Commercial"/>
    <n v="436.3"/>
    <n v="453.75"/>
    <n v="-17.449999999999989"/>
  </r>
  <r>
    <x v="31"/>
    <s v="United Republic of Tanzania"/>
    <s v="Dar es Salaam"/>
    <s v="Eastern"/>
    <s v="Commercial"/>
    <n v="401.85"/>
    <n v="397.83000000000004"/>
    <n v="4.0199999999999818"/>
  </r>
  <r>
    <x v="32"/>
    <s v="Democratic Republic of the Congo"/>
    <s v="Mbuji-Mayi"/>
    <s v="Middle"/>
    <s v="Residential"/>
    <n v="246.28"/>
    <n v="233.97"/>
    <n v="12.310000000000002"/>
  </r>
  <r>
    <x v="33"/>
    <s v="Equatorial Guinea"/>
    <s v="Malabo"/>
    <s v="Middle"/>
    <s v="Residential"/>
    <n v="996.56"/>
    <n v="986.58999999999992"/>
    <n v="9.9700000000000273"/>
  </r>
  <r>
    <x v="34"/>
    <s v="Sudan"/>
    <s v="Khartoum"/>
    <s v="Northern"/>
    <s v="Public"/>
    <n v="99.2"/>
    <n v="91.26"/>
    <n v="7.9399999999999977"/>
  </r>
  <r>
    <x v="35"/>
    <s v="Senegal"/>
    <s v="Dakar"/>
    <s v="Western"/>
    <s v="Residential"/>
    <n v="193.94"/>
    <n v="205.57999999999998"/>
    <n v="-11.639999999999986"/>
  </r>
  <r>
    <x v="36"/>
    <s v="Nigeria"/>
    <s v="Lagos"/>
    <s v="Western"/>
    <s v="Residential"/>
    <n v="316.67"/>
    <n v="329.34000000000003"/>
    <n v="-12.670000000000016"/>
  </r>
  <r>
    <x v="37"/>
    <s v="Uganda"/>
    <s v="Kampala"/>
    <s v="Eastern"/>
    <s v="Residential"/>
    <n v="983.55"/>
    <n v="963.88"/>
    <n v="19.669999999999959"/>
  </r>
  <r>
    <x v="38"/>
    <s v="Eritrea"/>
    <s v="Asmara"/>
    <s v="Eastern"/>
    <s v="Public"/>
    <n v="196.57"/>
    <n v="182.81"/>
    <n v="13.759999999999991"/>
  </r>
  <r>
    <x v="38"/>
    <s v="Libya"/>
    <s v="Tripoli"/>
    <s v="Northern"/>
    <s v="Commercial"/>
    <n v="258.25"/>
    <n v="273.75"/>
    <n v="-15.5"/>
  </r>
  <r>
    <x v="39"/>
    <s v="Burundi"/>
    <s v="Bujumbura"/>
    <s v="Eastern"/>
    <s v="Public"/>
    <n v="428.05"/>
    <n v="432.33"/>
    <n v="-4.2799999999999727"/>
  </r>
  <r>
    <x v="40"/>
    <s v="Gabon"/>
    <s v="Libreville"/>
    <s v="Middle"/>
    <s v="Public"/>
    <n v="952.76"/>
    <n v="914.65"/>
    <n v="38.110000000000014"/>
  </r>
  <r>
    <x v="40"/>
    <s v="Zimbabwe"/>
    <s v="Harare"/>
    <s v="Eastern"/>
    <s v="Residential"/>
    <n v="391.72"/>
    <n v="395.64000000000004"/>
    <n v="-3.9200000000000159"/>
  </r>
  <r>
    <x v="41"/>
    <s v="Central African Republic"/>
    <s v="Bangui"/>
    <s v="Middle"/>
    <s v="Residential"/>
    <n v="363.3"/>
    <n v="356.03000000000003"/>
    <n v="7.2699999999999818"/>
  </r>
  <r>
    <x v="42"/>
    <s v="South Sudan"/>
    <s v="Juba"/>
    <s v="Eastern"/>
    <s v="Public"/>
    <n v="165.99"/>
    <n v="177.61"/>
    <n v="-11.620000000000005"/>
  </r>
  <r>
    <x v="43"/>
    <s v="Sao Tome and Principe"/>
    <s v="Sao Tome"/>
    <s v="Middle"/>
    <s v="Public"/>
    <n v="921.82"/>
    <n v="866.51"/>
    <n v="55.310000000000059"/>
  </r>
  <r>
    <x v="44"/>
    <s v="Cote d'Ivoire"/>
    <s v="Abidjan"/>
    <s v="Western"/>
    <s v="Public"/>
    <n v="597.21"/>
    <n v="597.21"/>
    <n v="0"/>
  </r>
  <r>
    <x v="44"/>
    <s v="South Africa"/>
    <s v="Durban"/>
    <s v="Southern"/>
    <s v="Residential"/>
    <n v="397.52"/>
    <n v="405.46999999999997"/>
    <n v="-7.9499999999999886"/>
  </r>
  <r>
    <x v="45"/>
    <s v="Mauritius"/>
    <s v="Port Louis"/>
    <s v="Eastern"/>
    <s v="Public"/>
    <n v="488.55"/>
    <n v="488.55"/>
    <n v="0"/>
  </r>
  <r>
    <x v="45"/>
    <s v="Togo"/>
    <s v="Lome"/>
    <s v="Western"/>
    <s v="Public"/>
    <n v="155.31"/>
    <n v="150.65"/>
    <n v="4.6599999999999966"/>
  </r>
  <r>
    <x v="46"/>
    <s v="Rwanda"/>
    <s v="Kigali"/>
    <s v="Eastern"/>
    <s v="Commercial"/>
    <n v="322.83999999999997"/>
    <n v="332.53"/>
    <n v="-9.6899999999999977"/>
  </r>
  <r>
    <x v="47"/>
    <s v="Madagascar"/>
    <s v="Antananarivo"/>
    <s v="Eastern"/>
    <s v="Commercial"/>
    <n v="157.77000000000001"/>
    <n v="162.5"/>
    <n v="-4.7299999999999898"/>
  </r>
  <r>
    <x v="47"/>
    <s v="Nigeria"/>
    <s v="Ibadan"/>
    <s v="Western"/>
    <s v="Residential"/>
    <n v="966.47"/>
    <n v="879.49"/>
    <n v="86.980000000000018"/>
  </r>
  <r>
    <x v="48"/>
    <s v="Egypt"/>
    <s v="Cairo"/>
    <s v="Northern"/>
    <s v="Residential"/>
    <n v="444.69"/>
    <n v="431.35"/>
    <n v="13.339999999999975"/>
  </r>
  <r>
    <x v="49"/>
    <s v="Liberia"/>
    <s v="Monrovia"/>
    <s v="Western"/>
    <s v="Commercial"/>
    <n v="301.63"/>
    <n v="310.68"/>
    <n v="-9.0500000000000114"/>
  </r>
  <r>
    <x v="50"/>
    <s v="Cameroon"/>
    <s v="Yaoundé"/>
    <s v="Middle"/>
    <s v="Public"/>
    <n v="736.79"/>
    <n v="714.68999999999994"/>
    <n v="22.100000000000023"/>
  </r>
  <r>
    <x v="51"/>
    <s v="Namibia"/>
    <s v="Windhoek"/>
    <s v="Southern"/>
    <s v="Residential"/>
    <n v="69.7"/>
    <n v="62.730000000000004"/>
    <n v="6.9699999999999989"/>
  </r>
  <r>
    <x v="52"/>
    <s v="Western Sahara"/>
    <s v="Dakhla"/>
    <s v="Northern"/>
    <s v="Public"/>
    <n v="761.86"/>
    <n v="716.15"/>
    <n v="45.710000000000036"/>
  </r>
  <r>
    <x v="53"/>
    <s v="Benin"/>
    <s v="Porto-Novo"/>
    <s v="Western"/>
    <s v="Commercial"/>
    <n v="989.86"/>
    <n v="920.57"/>
    <n v="69.289999999999964"/>
  </r>
  <r>
    <x v="53"/>
    <s v="Malawi"/>
    <s v="Lilongwe"/>
    <s v="Eastern"/>
    <s v="Residential"/>
    <n v="809.98"/>
    <n v="769.48"/>
    <n v="40.5"/>
  </r>
  <r>
    <x v="54"/>
    <s v="Sudan"/>
    <s v="Khartoum"/>
    <s v="Northern"/>
    <s v="Residential"/>
    <n v="580.98"/>
    <n v="557.74"/>
    <n v="23.240000000000009"/>
  </r>
  <r>
    <x v="55"/>
    <s v="Guinea-Bissau"/>
    <s v="Bissau"/>
    <s v="Western"/>
    <s v="Residential"/>
    <n v="559.51"/>
    <n v="537.13"/>
    <n v="22.379999999999995"/>
  </r>
  <r>
    <x v="56"/>
    <s v="South Africa"/>
    <s v="Pretoria"/>
    <s v="Southern"/>
    <s v="Commercial"/>
    <n v="1.3900000000000001"/>
    <n v="1.4500000000000002"/>
    <n v="-6.0000000000000053E-2"/>
  </r>
  <r>
    <x v="57"/>
    <s v="Democratic Republic of the Congo"/>
    <s v="Lubumbashi"/>
    <s v="Middle"/>
    <s v="Public"/>
    <n v="447.06"/>
    <n v="473.88"/>
    <n v="-26.819999999999993"/>
  </r>
  <r>
    <x v="57"/>
    <s v="Niger"/>
    <s v="Niamey"/>
    <s v="Western"/>
    <s v="Commercial"/>
    <n v="59.99"/>
    <n v="64.790000000000006"/>
    <n v="-4.8000000000000043"/>
  </r>
  <r>
    <x v="58"/>
    <s v="Tunisia"/>
    <s v="Tunis"/>
    <s v="Northern"/>
    <s v="Commercial"/>
    <n v="772.52"/>
    <n v="818.87"/>
    <n v="-46.350000000000023"/>
  </r>
  <r>
    <x v="59"/>
    <s v="Nigeria"/>
    <s v="Kano"/>
    <s v="Western"/>
    <s v="Commercial"/>
    <n v="626.23"/>
    <n v="657.54"/>
    <n v="-31.309999999999945"/>
  </r>
  <r>
    <x v="60"/>
    <s v="Benin"/>
    <s v="Cotonou"/>
    <s v="Western"/>
    <s v="Commercial"/>
    <n v="435.48"/>
    <n v="426.77000000000004"/>
    <n v="8.7099999999999795"/>
  </r>
  <r>
    <x v="61"/>
    <s v="Ethiopia"/>
    <s v="Addis Ababa"/>
    <s v="Eastern"/>
    <s v="Commercial"/>
    <n v="600.36"/>
    <n v="594.36"/>
    <n v="6"/>
  </r>
  <r>
    <x v="62"/>
    <s v="Congo"/>
    <s v="Brazzaville"/>
    <s v="Middle"/>
    <s v="Residential"/>
    <n v="949.63"/>
    <n v="997.11"/>
    <n v="-47.480000000000018"/>
  </r>
  <r>
    <x v="62"/>
    <s v="Guinea"/>
    <s v="Conakry"/>
    <s v="Western"/>
    <s v="Public"/>
    <n v="10.69"/>
    <n v="11.44"/>
    <n v="-0.75"/>
  </r>
  <r>
    <x v="62"/>
    <s v="Tunisia"/>
    <s v="Tunis"/>
    <s v="Northern"/>
    <s v="Commercial"/>
    <n v="875.36"/>
    <n v="831.59"/>
    <n v="43.769999999999982"/>
  </r>
  <r>
    <x v="63"/>
    <s v="Benin"/>
    <s v="Porto-Novo"/>
    <s v="Western"/>
    <s v="Public"/>
    <n v="986.77"/>
    <n v="1016.37"/>
    <n v="-29.600000000000023"/>
  </r>
  <r>
    <x v="63"/>
    <s v="Cameroon"/>
    <s v="Douala"/>
    <s v="Middle"/>
    <s v="Public"/>
    <n v="678.52"/>
    <n v="705.66"/>
    <n v="-27.139999999999986"/>
  </r>
  <r>
    <x v="63"/>
    <s v="Guinea-Bissau"/>
    <s v="Bissau"/>
    <s v="Western"/>
    <s v="Residential"/>
    <n v="782.81"/>
    <n v="728.01"/>
    <n v="54.799999999999955"/>
  </r>
  <r>
    <x v="64"/>
    <s v="Gabon"/>
    <s v="Libreville"/>
    <s v="Middle"/>
    <s v="Residential"/>
    <n v="914.72"/>
    <n v="914.72"/>
    <n v="0"/>
  </r>
  <r>
    <x v="65"/>
    <s v="Botswana"/>
    <s v="Gaborone"/>
    <s v="Southern"/>
    <s v="Commercial"/>
    <n v="953.86"/>
    <n v="858.47"/>
    <n v="95.389999999999986"/>
  </r>
  <r>
    <x v="65"/>
    <s v="Lesotho"/>
    <s v="Maseru"/>
    <s v="Southern"/>
    <s v="Public"/>
    <n v="484.25"/>
    <n v="450.35"/>
    <n v="33.899999999999977"/>
  </r>
  <r>
    <x v="66"/>
    <s v="Sudan"/>
    <s v="Khartoum"/>
    <s v="Northern"/>
    <s v="Residential"/>
    <n v="921.68"/>
    <n v="884.81"/>
    <n v="36.870000000000005"/>
  </r>
  <r>
    <x v="67"/>
    <s v="Zambia"/>
    <s v="Lusaka"/>
    <s v="Eastern"/>
    <s v="Public"/>
    <n v="751.73"/>
    <n v="766.76"/>
    <n v="-15.029999999999973"/>
  </r>
  <r>
    <x v="68"/>
    <s v="Cameroon"/>
    <s v="Yaoundé"/>
    <s v="Middle"/>
    <s v="Public"/>
    <n v="865.75"/>
    <n v="917.7"/>
    <n v="-51.950000000000045"/>
  </r>
  <r>
    <x v="69"/>
    <s v="Somalia"/>
    <s v="Mogadishu"/>
    <s v="Eastern"/>
    <s v="Commercial"/>
    <n v="673.55"/>
    <n v="687.02"/>
    <n v="-13.470000000000027"/>
  </r>
  <r>
    <x v="70"/>
    <s v="Eritrea"/>
    <s v="Asmara"/>
    <s v="Eastern"/>
    <s v="Residential"/>
    <n v="857.28"/>
    <n v="891.56999999999994"/>
    <n v="-34.289999999999964"/>
  </r>
  <r>
    <x v="71"/>
    <s v="Egypt"/>
    <s v="Cairo"/>
    <s v="Northern"/>
    <s v="Commercial"/>
    <n v="510.23"/>
    <n v="489.82"/>
    <n v="20.410000000000025"/>
  </r>
  <r>
    <x v="72"/>
    <s v="Angola"/>
    <s v="Luanda"/>
    <s v="Middle"/>
    <s v="Residential"/>
    <n v="688.25"/>
    <n v="619.41999999999996"/>
    <n v="68.830000000000041"/>
  </r>
  <r>
    <x v="73"/>
    <s v="Mauritania"/>
    <s v="Nouakchott"/>
    <s v="Western"/>
    <s v="Public"/>
    <n v="42.63"/>
    <n v="39.650000000000006"/>
    <n v="2.9799999999999969"/>
  </r>
  <r>
    <x v="73"/>
    <s v="Morocco"/>
    <s v="Rabat"/>
    <s v="Northern"/>
    <s v="Commercial"/>
    <n v="703.93"/>
    <n v="739.13"/>
    <n v="-35.200000000000045"/>
  </r>
  <r>
    <x v="73"/>
    <s v="Swaziland"/>
    <s v="Mbabane"/>
    <s v="Southern"/>
    <s v="Public"/>
    <n v="760.7"/>
    <n v="730.2700000000001"/>
    <n v="30.42999999999995"/>
  </r>
  <r>
    <x v="74"/>
    <s v="Democratic Republic of the Congo"/>
    <s v="Kinshasa"/>
    <s v="Middle"/>
    <s v="Commercial"/>
    <n v="335.87"/>
    <n v="305.64"/>
    <n v="30.230000000000018"/>
  </r>
  <r>
    <x v="75"/>
    <s v="Togo"/>
    <s v="Lome"/>
    <s v="Western"/>
    <s v="Commercial"/>
    <n v="572.05999999999995"/>
    <n v="554.9"/>
    <n v="17.159999999999968"/>
  </r>
  <r>
    <x v="76"/>
    <s v="Burundi"/>
    <s v="Bujumbura"/>
    <s v="Eastern"/>
    <s v="Public"/>
    <n v="542.67999999999995"/>
    <n v="542.67999999999995"/>
    <n v="0"/>
  </r>
  <r>
    <x v="76"/>
    <s v="Congo"/>
    <s v="Brazzaville"/>
    <s v="Middle"/>
    <s v="Residential"/>
    <n v="725.91"/>
    <n v="667.83999999999992"/>
    <n v="58.07000000000005"/>
  </r>
  <r>
    <x v="77"/>
    <s v="Mali"/>
    <s v="Bamako"/>
    <s v="Western"/>
    <s v="Public"/>
    <n v="242.34"/>
    <n v="259.3"/>
    <n v="-16.960000000000008"/>
  </r>
  <r>
    <x v="78"/>
    <s v="Cameroon"/>
    <s v="Douala"/>
    <s v="Middle"/>
    <s v="Commercial"/>
    <n v="52.91"/>
    <n v="50.79"/>
    <n v="2.1199999999999974"/>
  </r>
  <r>
    <x v="78"/>
    <s v="Djibouti"/>
    <s v="Djibouti"/>
    <s v="Eastern"/>
    <s v="Residential"/>
    <n v="724.69"/>
    <n v="731.94"/>
    <n v="-7.25"/>
  </r>
  <r>
    <x v="78"/>
    <s v="Mozambique"/>
    <s v="Maputo"/>
    <s v="Eastern"/>
    <s v="Residential"/>
    <n v="986.39"/>
    <n v="1006.12"/>
    <n v="-19.730000000000018"/>
  </r>
  <r>
    <x v="79"/>
    <s v="South Africa"/>
    <s v="Pretoria"/>
    <s v="Southern"/>
    <s v="Commercial"/>
    <n v="793.52"/>
    <n v="753.84"/>
    <n v="39.67999999999995"/>
  </r>
  <r>
    <x v="80"/>
    <s v="Sierra Leone"/>
    <s v="Freetown"/>
    <s v="Western"/>
    <s v="Commercial"/>
    <n v="695.88"/>
    <n v="709.8"/>
    <n v="-13.919999999999959"/>
  </r>
  <r>
    <x v="80"/>
    <s v="South Africa"/>
    <s v="Johannesburg"/>
    <s v="Southern"/>
    <s v="Public"/>
    <n v="686.67"/>
    <n v="638.59999999999991"/>
    <n v="48.07000000000005"/>
  </r>
  <r>
    <x v="81"/>
    <s v="Libya"/>
    <s v="Tripoli"/>
    <s v="Northern"/>
    <s v="Public"/>
    <n v="587.33000000000004"/>
    <n v="593.20000000000005"/>
    <n v="-5.8700000000000045"/>
  </r>
  <r>
    <x v="82"/>
    <s v="Chad"/>
    <s v="N'Djamena"/>
    <s v="Middle"/>
    <s v="Commercial"/>
    <n v="35.549999999999997"/>
    <n v="32.349999999999994"/>
    <n v="3.2000000000000028"/>
  </r>
  <r>
    <x v="82"/>
    <s v="Nigeria"/>
    <s v="Abuja"/>
    <s v="Western"/>
    <s v="Commercial"/>
    <n v="652.21"/>
    <n v="593.51"/>
    <n v="58.700000000000045"/>
  </r>
  <r>
    <x v="83"/>
    <s v="Seychelles"/>
    <s v="Victoria"/>
    <s v="Eastern"/>
    <s v="Residential"/>
    <n v="40.119999999999997"/>
    <n v="41.72"/>
    <n v="-1.6000000000000014"/>
  </r>
  <r>
    <x v="84"/>
    <s v="Rwanda"/>
    <s v="Kigali"/>
    <s v="Eastern"/>
    <s v="Public"/>
    <n v="736.43"/>
    <n v="721.69999999999993"/>
    <n v="14.730000000000018"/>
  </r>
  <r>
    <x v="85"/>
    <s v="Kenya"/>
    <s v="Nairobi"/>
    <s v="Eastern"/>
    <s v="Residential"/>
    <n v="70.94"/>
    <n v="68.099999999999994"/>
    <n v="2.8400000000000034"/>
  </r>
  <r>
    <x v="85"/>
    <s v="Malawi"/>
    <s v="Blantyre"/>
    <s v="Eastern"/>
    <s v="Commercial"/>
    <n v="130.06"/>
    <n v="119.66"/>
    <n v="10.400000000000006"/>
  </r>
  <r>
    <x v="86"/>
    <s v="Mauritania"/>
    <s v="Nouakchott"/>
    <s v="Western"/>
    <s v="Public"/>
    <n v="796.23"/>
    <n v="740.49"/>
    <n v="55.740000000000009"/>
  </r>
  <r>
    <x v="86"/>
    <s v="South Africa"/>
    <s v="Johannesburg"/>
    <s v="Southern"/>
    <s v="Residential"/>
    <n v="981.17"/>
    <n v="1010.61"/>
    <n v="-29.440000000000055"/>
  </r>
  <r>
    <x v="87"/>
    <s v="Malawi"/>
    <s v="Lilongwe"/>
    <s v="Eastern"/>
    <s v="Residential"/>
    <n v="45.51"/>
    <n v="42.32"/>
    <n v="3.1899999999999977"/>
  </r>
  <r>
    <x v="88"/>
    <s v="Zimbabwe"/>
    <s v="Harare"/>
    <s v="Eastern"/>
    <s v="Residential"/>
    <n v="451.47"/>
    <n v="483.07000000000005"/>
    <n v="-31.600000000000023"/>
  </r>
  <r>
    <x v="89"/>
    <s v="South Africa"/>
    <s v="Cape Town"/>
    <s v="Southern"/>
    <s v="Public"/>
    <n v="478.39"/>
    <n v="459.25"/>
    <n v="19.139999999999986"/>
  </r>
  <r>
    <x v="90"/>
    <s v="Kenya"/>
    <s v="Nairobi"/>
    <s v="Eastern"/>
    <s v="Residential"/>
    <n v="904.98"/>
    <n v="977.38"/>
    <n v="-72.399999999999977"/>
  </r>
  <r>
    <x v="91"/>
    <s v="Liberia"/>
    <s v="Monrovia"/>
    <s v="Western"/>
    <s v="Residential"/>
    <n v="480.03"/>
    <n v="475.22999999999996"/>
    <n v="4.8000000000000114"/>
  </r>
  <r>
    <x v="92"/>
    <s v="Central African Republic"/>
    <s v="Bangui"/>
    <s v="Middle"/>
    <s v="Public"/>
    <n v="76.459999999999994"/>
    <n v="72.64"/>
    <n v="3.8199999999999932"/>
  </r>
  <r>
    <x v="93"/>
    <s v="Cote d'Ivoire"/>
    <s v="Abidjan"/>
    <s v="Western"/>
    <s v="Residential"/>
    <n v="977.84"/>
    <n v="1036.51"/>
    <n v="-58.669999999999959"/>
  </r>
  <r>
    <x v="94"/>
    <s v="Botswana"/>
    <s v="Gaborone"/>
    <s v="Southern"/>
    <s v="Commercial"/>
    <n v="874.66"/>
    <n v="795.93999999999994"/>
    <n v="78.720000000000027"/>
  </r>
  <r>
    <x v="95"/>
    <s v="Uganda"/>
    <s v="Kampala"/>
    <s v="Eastern"/>
    <s v="Public"/>
    <n v="168.2"/>
    <n v="164.83999999999997"/>
    <n v="3.3600000000000136"/>
  </r>
  <r>
    <x v="96"/>
    <s v="Ethiopia"/>
    <s v="Addis Ababa"/>
    <s v="Eastern"/>
    <s v="Public"/>
    <n v="18.170000000000002"/>
    <n v="17.440000000000001"/>
    <n v="0.73000000000000043"/>
  </r>
  <r>
    <x v="97"/>
    <s v="Sao Tome and Principe"/>
    <s v="Sao Tome"/>
    <s v="Middle"/>
    <s v="Commercial"/>
    <n v="591.09"/>
    <n v="597"/>
    <n v="-5.9099999999999682"/>
  </r>
  <r>
    <x v="98"/>
    <s v="Malawi"/>
    <s v="Blantyre"/>
    <s v="Eastern"/>
    <s v="Commercial"/>
    <n v="826.12"/>
    <n v="793.08"/>
    <n v="33.039999999999964"/>
  </r>
  <r>
    <x v="99"/>
    <s v="Madagascar"/>
    <s v="Antananarivo"/>
    <s v="Eastern"/>
    <s v="Residential"/>
    <n v="787.38"/>
    <n v="803.13"/>
    <n v="-15.75"/>
  </r>
  <r>
    <x v="99"/>
    <s v="South Africa"/>
    <s v="Durban"/>
    <s v="Southern"/>
    <s v="Public"/>
    <n v="883.26"/>
    <n v="839.1"/>
    <n v="44.159999999999968"/>
  </r>
  <r>
    <x v="100"/>
    <s v="Ghana"/>
    <s v="Kumasi"/>
    <s v="Western"/>
    <s v="Residential"/>
    <n v="977.69"/>
    <n v="987.47"/>
    <n v="-9.7799999999999727"/>
  </r>
  <r>
    <x v="101"/>
    <s v="Angola"/>
    <s v="Luanda"/>
    <s v="Middle"/>
    <s v="Public"/>
    <n v="453.66"/>
    <n v="408.29"/>
    <n v="45.370000000000005"/>
  </r>
  <r>
    <x v="102"/>
    <s v="Nigeria"/>
    <s v="Lagos"/>
    <s v="Western"/>
    <s v="Public"/>
    <n v="303.31"/>
    <n v="300.28000000000003"/>
    <n v="3.0299999999999727"/>
  </r>
  <r>
    <x v="102"/>
    <s v="Sudan"/>
    <s v="Khartoum"/>
    <s v="Northern"/>
    <s v="Public"/>
    <n v="593.16999999999996"/>
    <n v="634.68999999999994"/>
    <n v="-41.519999999999982"/>
  </r>
  <r>
    <x v="103"/>
    <s v="Sierra Leone"/>
    <s v="Freetown"/>
    <s v="Western"/>
    <s v="Public"/>
    <n v="238.65"/>
    <n v="236.26000000000002"/>
    <n v="2.3899999999999864"/>
  </r>
  <r>
    <x v="104"/>
    <s v="Nigeria"/>
    <s v="Ibadan"/>
    <s v="Western"/>
    <s v="Residential"/>
    <n v="458.22"/>
    <n v="490.3"/>
    <n v="-32.079999999999984"/>
  </r>
  <r>
    <x v="105"/>
    <s v="Chad"/>
    <s v="N'Djamena"/>
    <s v="Middle"/>
    <s v="Commercial"/>
    <n v="85.19"/>
    <n v="87.75"/>
    <n v="-2.5600000000000023"/>
  </r>
  <r>
    <x v="106"/>
    <s v="Western Sahara"/>
    <s v="Dakhla"/>
    <s v="Northern"/>
    <s v="Public"/>
    <n v="737.15"/>
    <n v="685.55"/>
    <n v="51.600000000000023"/>
  </r>
  <r>
    <x v="107"/>
    <s v="Malawi"/>
    <s v="Blantyre"/>
    <s v="Eastern"/>
    <s v="Public"/>
    <n v="799.11"/>
    <n v="847.06000000000006"/>
    <n v="-47.950000000000045"/>
  </r>
  <r>
    <x v="108"/>
    <s v="Egypt"/>
    <s v="Cairo"/>
    <s v="Northern"/>
    <s v="Commercial"/>
    <n v="928.29"/>
    <n v="881.88"/>
    <n v="46.409999999999968"/>
  </r>
  <r>
    <x v="109"/>
    <s v="Namibia"/>
    <s v="Windhoek"/>
    <s v="Southern"/>
    <s v="Residential"/>
    <n v="953.13"/>
    <n v="991.26"/>
    <n v="-38.129999999999995"/>
  </r>
  <r>
    <x v="110"/>
    <s v="Djibouti"/>
    <s v="Djibouti"/>
    <s v="Eastern"/>
    <s v="Residential"/>
    <n v="782.06"/>
    <n v="797.69999999999993"/>
    <n v="-15.639999999999986"/>
  </r>
  <r>
    <x v="110"/>
    <s v="Mali"/>
    <s v="Bamako"/>
    <s v="Western"/>
    <s v="Public"/>
    <n v="97.9"/>
    <n v="103.77000000000001"/>
    <n v="-5.8700000000000045"/>
  </r>
  <r>
    <x v="110"/>
    <s v="South Sudan"/>
    <s v="Juba"/>
    <s v="Eastern"/>
    <s v="Public"/>
    <n v="443.6"/>
    <n v="470.22"/>
    <n v="-26.620000000000005"/>
  </r>
  <r>
    <x v="111"/>
    <s v="Nigeria"/>
    <s v="Abuja"/>
    <s v="Western"/>
    <s v="Public"/>
    <n v="936.65"/>
    <n v="992.85"/>
    <n v="-56.200000000000045"/>
  </r>
  <r>
    <x v="111"/>
    <s v="Somalia"/>
    <s v="Mogadishu"/>
    <s v="Eastern"/>
    <s v="Residential"/>
    <n v="320.89999999999998"/>
    <n v="340.15"/>
    <n v="-19.25"/>
  </r>
  <r>
    <x v="112"/>
    <s v="Senegal"/>
    <s v="Dakar"/>
    <s v="Western"/>
    <s v="Residential"/>
    <n v="276.04000000000002"/>
    <n v="251.20000000000002"/>
    <n v="24.840000000000003"/>
  </r>
  <r>
    <x v="112"/>
    <s v="South Africa"/>
    <s v="Cape Town"/>
    <s v="Southern"/>
    <s v="Residential"/>
    <n v="539.01"/>
    <n v="582.13"/>
    <n v="-43.120000000000005"/>
  </r>
  <r>
    <x v="113"/>
    <s v="Cote d'Ivoire"/>
    <s v="Abidjan"/>
    <s v="Western"/>
    <s v="Residential"/>
    <n v="660.79"/>
    <n v="687.21999999999991"/>
    <n v="-26.42999999999995"/>
  </r>
  <r>
    <x v="113"/>
    <s v="Swaziland"/>
    <s v="Mbabane"/>
    <s v="Southern"/>
    <s v="Public"/>
    <n v="699.75"/>
    <n v="720.74"/>
    <n v="-20.990000000000009"/>
  </r>
  <r>
    <x v="114"/>
    <s v="Sao Tome and Principe"/>
    <s v="Sao Tome"/>
    <s v="Middle"/>
    <s v="Commercial"/>
    <n v="105.81"/>
    <n v="102.64"/>
    <n v="3.1700000000000017"/>
  </r>
  <r>
    <x v="114"/>
    <s v="Tunisia"/>
    <s v="Tunis"/>
    <s v="Northern"/>
    <s v="Public"/>
    <n v="701.35"/>
    <n v="645.24"/>
    <n v="56.110000000000014"/>
  </r>
  <r>
    <x v="115"/>
    <s v="Swaziland"/>
    <s v="Mbabane"/>
    <s v="Southern"/>
    <s v="Residential"/>
    <n v="480.82"/>
    <n v="471.2"/>
    <n v="9.6200000000000045"/>
  </r>
  <r>
    <x v="116"/>
    <s v="Morocco"/>
    <s v="Rabat"/>
    <s v="Northern"/>
    <s v="Public"/>
    <n v="241.48"/>
    <n v="246.31"/>
    <n v="-4.8300000000000125"/>
  </r>
  <r>
    <x v="117"/>
    <s v="Democratic Republic of the Congo"/>
    <s v="Mbuji-Mayi"/>
    <s v="Middle"/>
    <s v="Public"/>
    <n v="112.3"/>
    <n v="107.81"/>
    <n v="4.4899999999999949"/>
  </r>
  <r>
    <x v="118"/>
    <s v="Angola"/>
    <s v="Luanda"/>
    <s v="Middle"/>
    <s v="Public"/>
    <n v="216.35"/>
    <n v="214.19"/>
    <n v="2.1599999999999966"/>
  </r>
  <r>
    <x v="119"/>
    <s v="Liberia"/>
    <s v="Monrovia"/>
    <s v="Western"/>
    <s v="Public"/>
    <n v="78.12"/>
    <n v="83.59"/>
    <n v="-5.4699999999999989"/>
  </r>
  <r>
    <x v="119"/>
    <s v="Senegal"/>
    <s v="Dakar"/>
    <s v="Western"/>
    <s v="Commercial"/>
    <n v="218.25"/>
    <n v="229.16"/>
    <n v="-10.909999999999997"/>
  </r>
  <r>
    <x v="119"/>
    <s v="South Africa"/>
    <s v="Pretoria"/>
    <s v="Southern"/>
    <s v="Commercial"/>
    <n v="544.34"/>
    <n v="489.91"/>
    <n v="54.430000000000007"/>
  </r>
  <r>
    <x v="119"/>
    <s v="Zambia"/>
    <s v="Lusaka"/>
    <s v="Eastern"/>
    <s v="Public"/>
    <n v="353.92"/>
    <n v="378.69"/>
    <n v="-24.769999999999982"/>
  </r>
  <r>
    <x v="120"/>
    <s v="Namibia"/>
    <s v="Windhoek"/>
    <s v="Southern"/>
    <s v="Public"/>
    <n v="659.86"/>
    <n v="666.46"/>
    <n v="-6.6000000000000227"/>
  </r>
  <r>
    <x v="120"/>
    <s v="Sudan"/>
    <s v="Khartoum"/>
    <s v="Northern"/>
    <s v="Residential"/>
    <n v="126.44"/>
    <n v="121.38"/>
    <n v="5.0600000000000023"/>
  </r>
  <r>
    <x v="121"/>
    <s v="Equatorial Guinea"/>
    <s v="Malabo"/>
    <s v="Middle"/>
    <s v="Commercial"/>
    <n v="736.28"/>
    <n v="706.82999999999993"/>
    <n v="29.450000000000045"/>
  </r>
  <r>
    <x v="122"/>
    <s v="Democratic Republic of the Congo"/>
    <s v="Kinshasa"/>
    <s v="Middle"/>
    <s v="Public"/>
    <n v="358.47"/>
    <n v="347.72"/>
    <n v="10.75"/>
  </r>
  <r>
    <x v="123"/>
    <s v="Democratic Republic of the Congo"/>
    <s v="Lubumbashi"/>
    <s v="Middle"/>
    <s v="Commercial"/>
    <n v="895.59"/>
    <n v="814.99"/>
    <n v="80.600000000000023"/>
  </r>
  <r>
    <x v="123"/>
    <s v="Democratic Republic of the Congo"/>
    <s v="Kinshasa"/>
    <s v="Middle"/>
    <s v="Commercial"/>
    <n v="930.49"/>
    <n v="958.4"/>
    <n v="-27.909999999999968"/>
  </r>
  <r>
    <x v="124"/>
    <s v="Nigeria"/>
    <s v="Lagos"/>
    <s v="Western"/>
    <s v="Public"/>
    <n v="368"/>
    <n v="390.08"/>
    <n v="-22.079999999999984"/>
  </r>
  <r>
    <x v="125"/>
    <s v="Ghana"/>
    <s v="Accra"/>
    <s v="Western"/>
    <s v="Public"/>
    <n v="142.12"/>
    <n v="142.12"/>
    <n v="0"/>
  </r>
  <r>
    <x v="126"/>
    <s v="Cameroon"/>
    <s v="Douala"/>
    <s v="Middle"/>
    <s v="Public"/>
    <n v="609.53"/>
    <n v="566.86"/>
    <n v="42.669999999999959"/>
  </r>
  <r>
    <x v="127"/>
    <s v="Benin"/>
    <s v="Cotonou"/>
    <s v="Western"/>
    <s v="Public"/>
    <n v="739.48"/>
    <n v="746.87"/>
    <n v="-7.3899999999999864"/>
  </r>
  <r>
    <x v="127"/>
    <s v="Lesotho"/>
    <s v="Maseru"/>
    <s v="Southern"/>
    <s v="Commercial"/>
    <n v="517.80999999999995"/>
    <n v="476.38999999999993"/>
    <n v="41.420000000000016"/>
  </r>
  <r>
    <x v="128"/>
    <s v="Algeria"/>
    <s v="Algiers"/>
    <s v="Northern"/>
    <s v="Commercial"/>
    <n v="723.41"/>
    <n v="687.24"/>
    <n v="36.169999999999959"/>
  </r>
  <r>
    <x v="129"/>
    <s v="Cote d'Ivoire"/>
    <s v="Yamoussoukro"/>
    <s v="Western"/>
    <s v="Commercial"/>
    <n v="229.43"/>
    <n v="247.78"/>
    <n v="-18.349999999999994"/>
  </r>
  <r>
    <x v="129"/>
    <s v="Mauritius"/>
    <s v="Port Louis"/>
    <s v="Eastern"/>
    <s v="Commercial"/>
    <n v="512.94000000000005"/>
    <n v="487.29000000000008"/>
    <n v="25.649999999999977"/>
  </r>
  <r>
    <x v="129"/>
    <s v="Niger"/>
    <s v="Niamey"/>
    <s v="Western"/>
    <s v="Public"/>
    <n v="665.2"/>
    <n v="711.76"/>
    <n v="-46.559999999999945"/>
  </r>
  <r>
    <x v="130"/>
    <s v="Gabon"/>
    <s v="Libreville"/>
    <s v="Middle"/>
    <s v="Commercial"/>
    <n v="950.34"/>
    <n v="1016.86"/>
    <n v="-66.519999999999982"/>
  </r>
  <r>
    <x v="130"/>
    <s v="Mauritania"/>
    <s v="Nouakchott"/>
    <s v="Western"/>
    <s v="Commercial"/>
    <n v="573.76"/>
    <n v="608.18999999999994"/>
    <n v="-34.42999999999995"/>
  </r>
  <r>
    <x v="131"/>
    <s v="Cote d'Ivoire"/>
    <s v="Yamoussoukro"/>
    <s v="Western"/>
    <s v="Residential"/>
    <n v="801"/>
    <n v="841.05"/>
    <n v="-40.049999999999955"/>
  </r>
  <r>
    <x v="132"/>
    <s v="Somalia"/>
    <s v="Mogadishu"/>
    <s v="Eastern"/>
    <s v="Commercial"/>
    <n v="668.57"/>
    <n v="608.40000000000009"/>
    <n v="60.169999999999959"/>
  </r>
  <r>
    <x v="133"/>
    <s v="Seychelles"/>
    <s v="Victoria"/>
    <s v="Eastern"/>
    <s v="Public"/>
    <n v="576.87"/>
    <n v="599.94000000000005"/>
    <n v="-23.07000000000005"/>
  </r>
  <r>
    <x v="133"/>
    <s v="Seychelles"/>
    <s v="Victoria"/>
    <s v="Eastern"/>
    <s v="Public"/>
    <n v="916.42"/>
    <n v="916.42"/>
    <n v="0"/>
  </r>
  <r>
    <x v="134"/>
    <s v="Rwanda"/>
    <s v="Kigali"/>
    <s v="Eastern"/>
    <s v="Public"/>
    <n v="264.47000000000003"/>
    <n v="269.76000000000005"/>
    <n v="-5.2900000000000205"/>
  </r>
  <r>
    <x v="135"/>
    <s v="Sierra Leone"/>
    <s v="Freetown"/>
    <s v="Western"/>
    <s v="Residential"/>
    <n v="911.76"/>
    <n v="911.76"/>
    <n v="0"/>
  </r>
  <r>
    <x v="136"/>
    <s v="Central African Republic"/>
    <s v="Bangui"/>
    <s v="Middle"/>
    <s v="Commercial"/>
    <n v="973.93"/>
    <n v="954.44999999999993"/>
    <n v="19.480000000000018"/>
  </r>
  <r>
    <x v="136"/>
    <s v="Equatorial Guinea"/>
    <s v="Malabo"/>
    <s v="Middle"/>
    <s v="Commercial"/>
    <n v="420.68"/>
    <n v="416.47"/>
    <n v="4.2099999999999795"/>
  </r>
  <r>
    <x v="137"/>
    <s v="Niger"/>
    <s v="Niamey"/>
    <s v="Western"/>
    <s v="Public"/>
    <n v="327.81"/>
    <n v="311.42"/>
    <n v="16.389999999999986"/>
  </r>
  <r>
    <x v="138"/>
    <s v="Burkina Faso"/>
    <s v="Ouagadougou"/>
    <s v="Western"/>
    <s v="Commercial"/>
    <n v="745.22"/>
    <n v="775.03"/>
    <n v="-29.809999999999945"/>
  </r>
  <r>
    <x v="138"/>
    <s v="United Republic of Tanzania"/>
    <s v="Dar es Salaam"/>
    <s v="Eastern"/>
    <s v="Public"/>
    <n v="196.25"/>
    <n v="211.95"/>
    <n v="-15.699999999999989"/>
  </r>
  <r>
    <x v="139"/>
    <s v="Mali"/>
    <s v="Bamako"/>
    <s v="Western"/>
    <s v="Residential"/>
    <n v="401.71"/>
    <n v="433.84999999999997"/>
    <n v="-32.139999999999986"/>
  </r>
  <r>
    <x v="140"/>
    <s v="Nigeria"/>
    <s v="Kano"/>
    <s v="Western"/>
    <s v="Public"/>
    <n v="717.72"/>
    <n v="753.61"/>
    <n v="-35.889999999999986"/>
  </r>
  <r>
    <x v="141"/>
    <s v="Nigeria"/>
    <s v="Ibadan"/>
    <s v="Western"/>
    <s v="Commercial"/>
    <n v="365.58"/>
    <n v="394.83"/>
    <n v="-29.25"/>
  </r>
  <r>
    <x v="141"/>
    <s v="South Africa"/>
    <s v="Durban"/>
    <s v="Southern"/>
    <s v="Public"/>
    <n v="621.63"/>
    <n v="559.47"/>
    <n v="62.159999999999968"/>
  </r>
  <r>
    <x v="142"/>
    <s v="Lesotho"/>
    <s v="Maseru"/>
    <s v="Southern"/>
    <s v="Public"/>
    <n v="607.46"/>
    <n v="583.16000000000008"/>
    <n v="24.299999999999955"/>
  </r>
  <r>
    <x v="143"/>
    <s v="Djibouti"/>
    <s v="Djibouti"/>
    <s v="Eastern"/>
    <s v="Residential"/>
    <n v="613.1"/>
    <n v="576.31000000000006"/>
    <n v="36.789999999999964"/>
  </r>
  <r>
    <x v="143"/>
    <s v="Zambia"/>
    <s v="Lusaka"/>
    <s v="Eastern"/>
    <s v="Residential"/>
    <n v="627.11"/>
    <n v="589.48"/>
    <n v="37.629999999999995"/>
  </r>
  <r>
    <x v="144"/>
    <s v="South Sudan"/>
    <s v="Juba"/>
    <s v="Eastern"/>
    <s v="Residential"/>
    <n v="372.63"/>
    <n v="394.99"/>
    <n v="-22.360000000000014"/>
  </r>
  <r>
    <x v="145"/>
    <s v="Eritrea"/>
    <s v="Asmara"/>
    <s v="Eastern"/>
    <s v="Residential"/>
    <n v="155.37"/>
    <n v="156.92000000000002"/>
    <n v="-1.5500000000000114"/>
  </r>
  <r>
    <x v="146"/>
    <s v="Mauritius"/>
    <s v="Port Louis"/>
    <s v="Eastern"/>
    <s v="Public"/>
    <n v="223.29"/>
    <n v="212.13"/>
    <n v="11.159999999999997"/>
  </r>
  <r>
    <x v="147"/>
    <s v="Cameroon"/>
    <s v="Yaoundé"/>
    <s v="Middle"/>
    <s v="Residential"/>
    <n v="466.81"/>
    <n v="490.15"/>
    <n v="-23.339999999999975"/>
  </r>
  <r>
    <x v="148"/>
    <s v="Burkina Faso"/>
    <s v="Ouagadougou"/>
    <s v="Western"/>
    <s v="Public"/>
    <n v="488.98"/>
    <n v="518.32000000000005"/>
    <n v="-29.340000000000032"/>
  </r>
  <r>
    <x v="149"/>
    <s v="Burundi"/>
    <s v="Bujumbura"/>
    <s v="Eastern"/>
    <s v="Public"/>
    <n v="81.63"/>
    <n v="80.81"/>
    <n v="0.81999999999999318"/>
  </r>
  <r>
    <x v="150"/>
    <s v="Ethiopia"/>
    <s v="Addis Ababa"/>
    <s v="Eastern"/>
    <s v="Public"/>
    <n v="386.59"/>
    <n v="409.78999999999996"/>
    <n v="-23.199999999999989"/>
  </r>
  <r>
    <x v="151"/>
    <s v="Congo"/>
    <s v="Brazzaville"/>
    <s v="Middle"/>
    <s v="Commercial"/>
    <n v="483.35"/>
    <n v="517.18000000000006"/>
    <n v="-33.830000000000041"/>
  </r>
  <r>
    <x v="152"/>
    <s v="Botswana"/>
    <s v="Gaborone"/>
    <s v="Southern"/>
    <s v="Residential"/>
    <n v="114.52"/>
    <n v="117.96"/>
    <n v="-3.4399999999999977"/>
  </r>
  <r>
    <x v="153"/>
    <s v="Chad"/>
    <s v="N'Djamena"/>
    <s v="Middle"/>
    <s v="Commercial"/>
    <n v="704.01"/>
    <n v="675.85"/>
    <n v="28.159999999999968"/>
  </r>
  <r>
    <x v="154"/>
    <s v="United Republic of Tanzania"/>
    <s v="Dar es Salaam"/>
    <s v="Eastern"/>
    <s v="Public"/>
    <n v="434.34"/>
    <n v="399.59"/>
    <n v="34.75"/>
  </r>
  <r>
    <x v="155"/>
    <s v="Nigeria"/>
    <s v="Abuja"/>
    <s v="Western"/>
    <s v="Residential"/>
    <n v="473.33"/>
    <n v="444.93"/>
    <n v="28.399999999999977"/>
  </r>
  <r>
    <x v="156"/>
    <s v="Guinea-Bissau"/>
    <s v="Bissau"/>
    <s v="Western"/>
    <s v="Public"/>
    <n v="812.02"/>
    <n v="771.42"/>
    <n v="40.600000000000023"/>
  </r>
  <r>
    <x v="157"/>
    <s v="Togo"/>
    <s v="Lome"/>
    <s v="Western"/>
    <s v="Commercial"/>
    <n v="885.66"/>
    <n v="956.51"/>
    <n v="-70.850000000000023"/>
  </r>
  <r>
    <x v="158"/>
    <s v="Madagascar"/>
    <s v="Antananarivo"/>
    <s v="Eastern"/>
    <s v="Residential"/>
    <n v="947.92"/>
    <n v="910"/>
    <n v="37.919999999999959"/>
  </r>
  <r>
    <x v="159"/>
    <s v="Kenya"/>
    <s v="Nairobi"/>
    <s v="Eastern"/>
    <s v="Public"/>
    <n v="341.57"/>
    <n v="351.82"/>
    <n v="-10.25"/>
  </r>
  <r>
    <x v="160"/>
    <s v="Sudan"/>
    <s v="Khartoum"/>
    <s v="Northern"/>
    <s v="Commercial"/>
    <n v="541.59"/>
    <n v="498.26000000000005"/>
    <n v="43.329999999999984"/>
  </r>
  <r>
    <x v="161"/>
    <s v="Guinea"/>
    <s v="Conakry"/>
    <s v="Western"/>
    <s v="Commercial"/>
    <n v="291.86"/>
    <n v="309.37"/>
    <n v="-17.509999999999991"/>
  </r>
  <r>
    <x v="162"/>
    <s v="Ghana"/>
    <s v="Accra"/>
    <s v="Western"/>
    <s v="Public"/>
    <n v="831.92"/>
    <n v="782"/>
    <n v="49.919999999999959"/>
  </r>
  <r>
    <x v="163"/>
    <s v="Ghana"/>
    <s v="Kumasi"/>
    <s v="Western"/>
    <s v="Residential"/>
    <n v="900.53"/>
    <n v="972.56999999999994"/>
    <n v="-72.039999999999964"/>
  </r>
  <r>
    <x v="164"/>
    <s v="Algeria"/>
    <s v="Algiers"/>
    <s v="Northern"/>
    <s v="Commercial"/>
    <n v="852.33"/>
    <n v="886.42000000000007"/>
    <n v="-34.090000000000032"/>
  </r>
  <r>
    <x v="165"/>
    <s v="Benin"/>
    <s v="Porto-Novo"/>
    <s v="Western"/>
    <s v="Commercial"/>
    <n v="243.26"/>
    <n v="252.98999999999998"/>
    <n v="-9.7299999999999898"/>
  </r>
  <r>
    <x v="166"/>
    <s v="South Africa"/>
    <s v="Johannesburg"/>
    <s v="Southern"/>
    <s v="Residential"/>
    <n v="957.83"/>
    <n v="1034.46"/>
    <n v="-76.63"/>
  </r>
  <r>
    <x v="167"/>
    <s v="Morocco"/>
    <s v="Rabat"/>
    <s v="Northern"/>
    <s v="Residential"/>
    <n v="855.42"/>
    <n v="804.08999999999992"/>
    <n v="51.330000000000041"/>
  </r>
  <r>
    <x v="168"/>
    <s v="Malawi"/>
    <s v="Lilongwe"/>
    <s v="Eastern"/>
    <s v="Public"/>
    <n v="159.38"/>
    <n v="172.13"/>
    <n v="-12.75"/>
  </r>
  <r>
    <x v="169"/>
    <s v="Libya"/>
    <s v="Tripoli"/>
    <s v="Northern"/>
    <s v="Residential"/>
    <n v="823.82"/>
    <n v="807.34"/>
    <n v="16.480000000000018"/>
  </r>
  <r>
    <x v="170"/>
    <s v="Democratic Republic of the Congo"/>
    <s v="Mbuji-Mayi"/>
    <s v="Middle"/>
    <s v="Residential"/>
    <n v="470.83"/>
    <n v="484.95"/>
    <n v="-14.120000000000005"/>
  </r>
  <r>
    <x v="171"/>
    <s v="Uganda"/>
    <s v="Kampala"/>
    <s v="Eastern"/>
    <s v="Commercial"/>
    <n v="284.57"/>
    <n v="281.71999999999997"/>
    <n v="2.8500000000000227"/>
  </r>
  <r>
    <x v="172"/>
    <s v="Western Sahara"/>
    <s v="Dakhla"/>
    <s v="Northern"/>
    <s v="Commercial"/>
    <n v="601.87"/>
    <n v="541.68000000000006"/>
    <n v="60.189999999999941"/>
  </r>
  <r>
    <x v="173"/>
    <s v="Democratic Republic of the Congo"/>
    <s v="Lubumbashi"/>
    <s v="Middle"/>
    <s v="Commercial"/>
    <n v="788.25"/>
    <n v="748.84"/>
    <n v="39.409999999999968"/>
  </r>
  <r>
    <x v="173"/>
    <s v="South Africa"/>
    <s v="Cape Town"/>
    <s v="Southern"/>
    <s v="Residential"/>
    <n v="819.25"/>
    <n v="794.67"/>
    <n v="24.580000000000041"/>
  </r>
  <r>
    <x v="174"/>
    <s v="Zimbabwe"/>
    <s v="Harare"/>
    <s v="Eastern"/>
    <s v="Commercial"/>
    <n v="231.41"/>
    <n v="236.04"/>
    <n v="-4.6299999999999955"/>
  </r>
  <r>
    <x v="175"/>
    <s v="Nigeria"/>
    <s v="Kano"/>
    <s v="Western"/>
    <s v="Public"/>
    <n v="572.13"/>
    <n v="554.97"/>
    <n v="17.159999999999968"/>
  </r>
  <r>
    <x v="176"/>
    <s v="Benin"/>
    <s v="Cotonou"/>
    <s v="Western"/>
    <s v="Commercial"/>
    <n v="431"/>
    <n v="452.55"/>
    <n v="-21.550000000000011"/>
  </r>
  <r>
    <x v="176"/>
    <s v="Mozambique"/>
    <s v="Maputo"/>
    <s v="Eastern"/>
    <s v="Public"/>
    <n v="183.56"/>
    <n v="190.9"/>
    <n v="-7.3400000000000034"/>
  </r>
  <r>
    <x v="177"/>
    <s v="Uganda"/>
    <s v="Kampala"/>
    <s v="Eastern"/>
    <s v="Public"/>
    <n v="202.35"/>
    <n v="188.19"/>
    <n v="14.159999999999997"/>
  </r>
  <r>
    <x v="178"/>
    <s v="Burkina Faso"/>
    <s v="Ouagadougou"/>
    <s v="Western"/>
    <s v="Commercial"/>
    <n v="953.96"/>
    <n v="925.34"/>
    <n v="28.620000000000005"/>
  </r>
  <r>
    <x v="178"/>
    <s v="Democratic Republic of the Congo"/>
    <s v="Mbuji-Mayi"/>
    <s v="Middle"/>
    <s v="Commercial"/>
    <n v="112.21"/>
    <n v="121.19"/>
    <n v="-8.980000000000004"/>
  </r>
  <r>
    <x v="179"/>
    <s v="Madagascar"/>
    <s v="Antananarivo"/>
    <s v="Eastern"/>
    <s v="Public"/>
    <n v="893.28"/>
    <n v="964.74"/>
    <n v="-71.460000000000036"/>
  </r>
  <r>
    <x v="179"/>
    <s v="Mali"/>
    <s v="Bamako"/>
    <s v="Western"/>
    <s v="Commercial"/>
    <n v="305.74"/>
    <n v="314.91000000000003"/>
    <n v="-9.1700000000000159"/>
  </r>
  <r>
    <x v="179"/>
    <s v="Nigeria"/>
    <s v="Kano"/>
    <s v="Western"/>
    <s v="Public"/>
    <n v="44.75"/>
    <n v="40.72"/>
    <n v="4.0300000000000011"/>
  </r>
  <r>
    <x v="180"/>
    <s v="Liberia"/>
    <s v="Monrovia"/>
    <s v="Western"/>
    <s v="Residential"/>
    <n v="634.04999999999995"/>
    <n v="684.77"/>
    <n v="-50.720000000000027"/>
  </r>
  <r>
    <x v="181"/>
    <s v="Algeria"/>
    <s v="Algiers"/>
    <s v="Northern"/>
    <s v="Commercial"/>
    <n v="694.6"/>
    <n v="639.03"/>
    <n v="55.57000000000005"/>
  </r>
  <r>
    <x v="182"/>
    <s v="Nigeria"/>
    <s v="Abuja"/>
    <s v="Western"/>
    <s v="Commercial"/>
    <n v="515.69000000000005"/>
    <n v="536.32000000000005"/>
    <n v="-20.629999999999995"/>
  </r>
  <r>
    <x v="183"/>
    <s v="Morocco"/>
    <s v="Rabat"/>
    <s v="Northern"/>
    <s v="Public"/>
    <n v="301.61"/>
    <n v="271.45"/>
    <n v="30.160000000000025"/>
  </r>
  <r>
    <x v="183"/>
    <s v="Tunisia"/>
    <s v="Tunis"/>
    <s v="Northern"/>
    <s v="Commercial"/>
    <n v="403.54"/>
    <n v="367.22"/>
    <n v="36.319999999999993"/>
  </r>
  <r>
    <x v="184"/>
    <s v="Malawi"/>
    <s v="Lilongwe"/>
    <s v="Eastern"/>
    <s v="Residential"/>
    <n v="794.58"/>
    <n v="770.74"/>
    <n v="23.840000000000032"/>
  </r>
  <r>
    <x v="184"/>
    <s v="Sierra Leone"/>
    <s v="Freetown"/>
    <s v="Western"/>
    <s v="Commercial"/>
    <n v="436.28"/>
    <n v="418.83"/>
    <n v="17.449999999999989"/>
  </r>
  <r>
    <x v="184"/>
    <s v="South Africa"/>
    <s v="Cape Town"/>
    <s v="Southern"/>
    <s v="Residential"/>
    <n v="853.09"/>
    <n v="836.03000000000009"/>
    <n v="17.059999999999945"/>
  </r>
  <r>
    <x v="184"/>
    <s v="South Africa"/>
    <s v="Pretoria"/>
    <s v="Southern"/>
    <s v="Residential"/>
    <n v="742.07"/>
    <n v="675.28000000000009"/>
    <n v="66.789999999999964"/>
  </r>
  <r>
    <x v="185"/>
    <s v="Benin"/>
    <s v="Cotonou"/>
    <s v="Western"/>
    <s v="Public"/>
    <n v="628.33000000000004"/>
    <n v="571.78000000000009"/>
    <n v="56.549999999999955"/>
  </r>
  <r>
    <x v="185"/>
    <s v="Djibouti"/>
    <s v="Djibouti"/>
    <s v="Eastern"/>
    <s v="Residential"/>
    <n v="52.48"/>
    <n v="51.43"/>
    <n v="1.0499999999999972"/>
  </r>
  <r>
    <x v="185"/>
    <s v="Lesotho"/>
    <s v="Maseru"/>
    <s v="Southern"/>
    <s v="Commercial"/>
    <n v="711.29"/>
    <n v="654.39"/>
    <n v="56.899999999999977"/>
  </r>
  <r>
    <x v="185"/>
    <s v="Malawi"/>
    <s v="Blantyre"/>
    <s v="Eastern"/>
    <s v="Commercial"/>
    <n v="563.74"/>
    <n v="541.19000000000005"/>
    <n v="22.549999999999955"/>
  </r>
  <r>
    <x v="186"/>
    <s v="Eritrea"/>
    <s v="Asmara"/>
    <s v="Eastern"/>
    <s v="Commercial"/>
    <n v="980.35"/>
    <n v="892.12"/>
    <n v="88.230000000000018"/>
  </r>
  <r>
    <x v="186"/>
    <s v="Gabon"/>
    <s v="Libreville"/>
    <s v="Middle"/>
    <s v="Residential"/>
    <n v="651.85"/>
    <n v="638.81000000000006"/>
    <n v="13.039999999999964"/>
  </r>
  <r>
    <x v="187"/>
    <s v="Angola"/>
    <s v="Luanda"/>
    <s v="Middle"/>
    <s v="Commercial"/>
    <n v="46.15"/>
    <n v="49.379999999999995"/>
    <n v="-3.2299999999999969"/>
  </r>
  <r>
    <x v="188"/>
    <s v="Burundi"/>
    <s v="Bujumbura"/>
    <s v="Eastern"/>
    <s v="Residential"/>
    <n v="349.79"/>
    <n v="377.77000000000004"/>
    <n v="-27.980000000000018"/>
  </r>
  <r>
    <x v="188"/>
    <s v="Cote d'Ivoire"/>
    <s v="Abidjan"/>
    <s v="Western"/>
    <s v="Public"/>
    <n v="87.93"/>
    <n v="82.65"/>
    <n v="5.2800000000000011"/>
  </r>
  <r>
    <x v="188"/>
    <s v="Sao Tome and Principe"/>
    <s v="Sao Tome"/>
    <s v="Middle"/>
    <s v="Residential"/>
    <n v="386.89"/>
    <n v="406.22999999999996"/>
    <n v="-19.339999999999975"/>
  </r>
  <r>
    <x v="189"/>
    <s v="Cote d'Ivoire"/>
    <s v="Yamoussoukro"/>
    <s v="Western"/>
    <s v="Commercial"/>
    <n v="894.21"/>
    <n v="965.75"/>
    <n v="-71.539999999999964"/>
  </r>
  <r>
    <x v="189"/>
    <s v="Mauritius"/>
    <s v="Port Louis"/>
    <s v="Eastern"/>
    <s v="Commercial"/>
    <n v="352.89"/>
    <n v="321.13"/>
    <n v="31.759999999999991"/>
  </r>
  <r>
    <x v="189"/>
    <s v="Sudan"/>
    <s v="Khartoum"/>
    <s v="Northern"/>
    <s v="Residential"/>
    <n v="694.54"/>
    <n v="687.58999999999992"/>
    <n v="6.9500000000000455"/>
  </r>
  <r>
    <x v="190"/>
    <s v="Congo"/>
    <s v="Brazzaville"/>
    <s v="Middle"/>
    <s v="Commercial"/>
    <n v="744.63"/>
    <n v="759.52"/>
    <n v="-14.889999999999986"/>
  </r>
  <r>
    <x v="190"/>
    <s v="Libya"/>
    <s v="Tripoli"/>
    <s v="Northern"/>
    <s v="Residential"/>
    <n v="740.66"/>
    <n v="666.58999999999992"/>
    <n v="74.07000000000005"/>
  </r>
  <r>
    <x v="190"/>
    <s v="Mozambique"/>
    <s v="Maputo"/>
    <s v="Eastern"/>
    <s v="Public"/>
    <n v="717.16"/>
    <n v="724.32999999999993"/>
    <n v="-7.1699999999999591"/>
  </r>
  <r>
    <x v="190"/>
    <s v="Senegal"/>
    <s v="Dakar"/>
    <s v="Western"/>
    <s v="Public"/>
    <n v="890.82"/>
    <n v="962.09"/>
    <n v="-71.269999999999982"/>
  </r>
  <r>
    <x v="190"/>
    <s v="Swaziland"/>
    <s v="Mbabane"/>
    <s v="Southern"/>
    <s v="Residential"/>
    <n v="971.11"/>
    <n v="903.13"/>
    <n v="67.980000000000018"/>
  </r>
  <r>
    <x v="191"/>
    <s v="Chad"/>
    <s v="N'Djamena"/>
    <s v="Middle"/>
    <s v="Commercial"/>
    <n v="668.57"/>
    <n v="668.57"/>
    <n v="0"/>
  </r>
  <r>
    <x v="191"/>
    <s v="Ethiopia"/>
    <s v="Addis Ababa"/>
    <s v="Eastern"/>
    <s v="Commercial"/>
    <n v="932.04"/>
    <n v="857.48"/>
    <n v="74.559999999999945"/>
  </r>
  <r>
    <x v="191"/>
    <s v="Niger"/>
    <s v="Niamey"/>
    <s v="Western"/>
    <s v="Commercial"/>
    <n v="966.64"/>
    <n v="985.97"/>
    <n v="-19.330000000000041"/>
  </r>
  <r>
    <x v="191"/>
    <s v="Rwanda"/>
    <s v="Kigali"/>
    <s v="Eastern"/>
    <s v="Residential"/>
    <n v="684.43"/>
    <n v="725.5"/>
    <n v="-41.07000000000005"/>
  </r>
  <r>
    <x v="191"/>
    <s v="Zambia"/>
    <s v="Lusaka"/>
    <s v="Eastern"/>
    <s v="Commercial"/>
    <n v="371.36"/>
    <n v="401.07"/>
    <n v="-29.70999999999998"/>
  </r>
  <r>
    <x v="192"/>
    <s v="Central African Republic"/>
    <s v="Bangui"/>
    <s v="Middle"/>
    <s v="Public"/>
    <n v="669.9"/>
    <n v="636.4"/>
    <n v="33.5"/>
  </r>
  <r>
    <x v="192"/>
    <s v="Ghana"/>
    <s v="Accra"/>
    <s v="Western"/>
    <s v="Commercial"/>
    <n v="826.48"/>
    <n v="834.74"/>
    <n v="-8.2599999999999909"/>
  </r>
  <r>
    <x v="193"/>
    <s v="Benin"/>
    <s v="Porto-Novo"/>
    <s v="Western"/>
    <s v="Residential"/>
    <n v="343.36"/>
    <n v="315.89"/>
    <n v="27.470000000000027"/>
  </r>
  <r>
    <x v="193"/>
    <s v="Cameroon"/>
    <s v="Yaoundé"/>
    <s v="Middle"/>
    <s v="Public"/>
    <n v="523.17999999999995"/>
    <n v="533.64"/>
    <n v="-10.460000000000036"/>
  </r>
  <r>
    <x v="193"/>
    <s v="Equatorial Guinea"/>
    <s v="Malabo"/>
    <s v="Middle"/>
    <s v="Commercial"/>
    <n v="32.979999999999997"/>
    <n v="35.619999999999997"/>
    <n v="-2.6400000000000006"/>
  </r>
  <r>
    <x v="193"/>
    <s v="Kenya"/>
    <s v="Nairobi"/>
    <s v="Eastern"/>
    <s v="Public"/>
    <n v="34.43"/>
    <n v="35.81"/>
    <n v="-1.3800000000000026"/>
  </r>
  <r>
    <x v="193"/>
    <s v="Sudan"/>
    <s v="Khartoum"/>
    <s v="Northern"/>
    <s v="Residential"/>
    <n v="363.1"/>
    <n v="334.05"/>
    <n v="29.050000000000011"/>
  </r>
  <r>
    <x v="194"/>
    <s v="Guinea"/>
    <s v="Conakry"/>
    <s v="Western"/>
    <s v="Commercial"/>
    <n v="270.56"/>
    <n v="281.38"/>
    <n v="-10.819999999999993"/>
  </r>
  <r>
    <x v="194"/>
    <s v="Namibia"/>
    <s v="Windhoek"/>
    <s v="Southern"/>
    <s v="Commercial"/>
    <n v="84.09"/>
    <n v="86.61"/>
    <n v="-2.519999999999996"/>
  </r>
  <r>
    <x v="194"/>
    <s v="Togo"/>
    <s v="Lome"/>
    <s v="Western"/>
    <s v="Commercial"/>
    <n v="114.71"/>
    <n v="117"/>
    <n v="-2.2900000000000063"/>
  </r>
  <r>
    <x v="195"/>
    <s v="Democratic Republic of the Congo"/>
    <s v="Lubumbashi"/>
    <s v="Middle"/>
    <s v="Public"/>
    <n v="115"/>
    <n v="113.85"/>
    <n v="1.1500000000000057"/>
  </r>
  <r>
    <x v="196"/>
    <s v="Ghana"/>
    <s v="Kumasi"/>
    <s v="Western"/>
    <s v="Commercial"/>
    <n v="102.1"/>
    <n v="107.21"/>
    <n v="-5.1099999999999994"/>
  </r>
  <r>
    <x v="196"/>
    <s v="United Republic of Tanzania"/>
    <s v="Dar es Salaam"/>
    <s v="Eastern"/>
    <s v="Commercial"/>
    <n v="575.53"/>
    <n v="575.53"/>
    <n v="0"/>
  </r>
  <r>
    <x v="197"/>
    <s v="Egypt"/>
    <s v="Cairo"/>
    <s v="Northern"/>
    <s v="Public"/>
    <n v="120.75"/>
    <n v="119.54"/>
    <n v="1.2099999999999937"/>
  </r>
  <r>
    <x v="197"/>
    <s v="South Africa"/>
    <s v="Durban"/>
    <s v="Southern"/>
    <s v="Commercial"/>
    <n v="959.33"/>
    <n v="1007.3000000000001"/>
    <n v="-47.970000000000027"/>
  </r>
  <r>
    <x v="197"/>
    <s v="Zimbabwe"/>
    <s v="Harare"/>
    <s v="Eastern"/>
    <s v="Public"/>
    <n v="337.98"/>
    <n v="324.46000000000004"/>
    <n v="13.519999999999982"/>
  </r>
  <r>
    <x v="198"/>
    <s v="Botswana"/>
    <s v="Gaborone"/>
    <s v="Southern"/>
    <s v="Residential"/>
    <n v="498.16"/>
    <n v="463.29"/>
    <n v="34.870000000000005"/>
  </r>
  <r>
    <x v="198"/>
    <s v="Nigeria"/>
    <s v="Lagos"/>
    <s v="Western"/>
    <s v="Residential"/>
    <n v="213.25"/>
    <n v="228.18"/>
    <n v="-14.930000000000007"/>
  </r>
  <r>
    <x v="198"/>
    <s v="Seychelles"/>
    <s v="Victoria"/>
    <s v="Eastern"/>
    <s v="Public"/>
    <n v="165.84"/>
    <n v="167.5"/>
    <n v="-1.6599999999999966"/>
  </r>
  <r>
    <x v="199"/>
    <s v="South Africa"/>
    <s v="Johannesburg"/>
    <s v="Southern"/>
    <s v="Commercial"/>
    <n v="402.33"/>
    <n v="362.09999999999997"/>
    <n v="40.230000000000018"/>
  </r>
  <r>
    <x v="199"/>
    <s v="South Sudan"/>
    <s v="Juba"/>
    <s v="Eastern"/>
    <s v="Residential"/>
    <n v="771.7"/>
    <n v="740.83"/>
    <n v="30.870000000000005"/>
  </r>
  <r>
    <x v="200"/>
    <s v="Somalia"/>
    <s v="Mogadishu"/>
    <s v="Eastern"/>
    <s v="Commercial"/>
    <n v="328.62"/>
    <n v="295.76"/>
    <n v="32.860000000000014"/>
  </r>
  <r>
    <x v="201"/>
    <s v="Cameroon"/>
    <s v="Douala"/>
    <s v="Middle"/>
    <s v="Commercial"/>
    <n v="18.45"/>
    <n v="18.82"/>
    <n v="-0.37000000000000099"/>
  </r>
  <r>
    <x v="202"/>
    <s v="Democratic Republic of the Congo"/>
    <s v="Kinshasa"/>
    <s v="Middle"/>
    <s v="Residential"/>
    <n v="750.42"/>
    <n v="750.42"/>
    <n v="0"/>
  </r>
  <r>
    <x v="202"/>
    <s v="Guinea-Bissau"/>
    <s v="Bissau"/>
    <s v="Western"/>
    <s v="Public"/>
    <n v="311.31"/>
    <n v="311.31"/>
    <n v="0"/>
  </r>
  <r>
    <x v="203"/>
    <s v="Mauritania"/>
    <s v="Nouakchott"/>
    <s v="Western"/>
    <s v="Residential"/>
    <n v="702.51"/>
    <n v="681.43"/>
    <n v="21.080000000000041"/>
  </r>
  <r>
    <x v="203"/>
    <s v="Nigeria"/>
    <s v="Ibadan"/>
    <s v="Western"/>
    <s v="Commercial"/>
    <n v="7.23"/>
    <n v="6.5100000000000007"/>
    <n v="0.71999999999999975"/>
  </r>
  <r>
    <x v="203"/>
    <s v="Western Sahara"/>
    <s v="Dakhla"/>
    <s v="Northern"/>
    <s v="Commercial"/>
    <n v="623.24"/>
    <n v="666.87"/>
    <n v="-43.629999999999995"/>
  </r>
  <r>
    <x v="204"/>
    <s v="Burkina Faso"/>
    <s v="Ouagadougou"/>
    <s v="Western"/>
    <s v="Residential"/>
    <n v="960.39"/>
    <n v="1037.22"/>
    <n v="-76.830000000000041"/>
  </r>
  <r>
    <x v="204"/>
    <s v="Congo"/>
    <s v="Brazzaville"/>
    <s v="Middle"/>
    <s v="Commercial"/>
    <n v="277.93"/>
    <n v="269.59000000000003"/>
    <n v="8.339999999999975"/>
  </r>
  <r>
    <x v="205"/>
    <s v="Benin"/>
    <s v="Cotonou"/>
    <s v="Western"/>
    <s v="Commercial"/>
    <n v="435.4"/>
    <n v="396.21"/>
    <n v="39.19"/>
  </r>
  <r>
    <x v="206"/>
    <s v="Nigeria"/>
    <s v="Ibadan"/>
    <s v="Western"/>
    <s v="Commercial"/>
    <n v="732.29"/>
    <n v="666.38"/>
    <n v="65.909999999999968"/>
  </r>
  <r>
    <x v="206"/>
    <s v="United Republic of Tanzania"/>
    <s v="Dar es Salaam"/>
    <s v="Eastern"/>
    <s v="Commercial"/>
    <n v="1.1400000000000001"/>
    <n v="1.08"/>
    <n v="6.0000000000000053E-2"/>
  </r>
  <r>
    <x v="207"/>
    <s v="Cameroon"/>
    <s v="Douala"/>
    <s v="Middle"/>
    <s v="Public"/>
    <n v="213.92"/>
    <n v="218.2"/>
    <n v="-4.2800000000000011"/>
  </r>
  <r>
    <x v="207"/>
    <s v="Malawi"/>
    <s v="Blantyre"/>
    <s v="Eastern"/>
    <s v="Commercial"/>
    <n v="531.53"/>
    <n v="478.38"/>
    <n v="53.149999999999977"/>
  </r>
  <r>
    <x v="208"/>
    <s v="Tunisia"/>
    <s v="Tunis"/>
    <s v="Northern"/>
    <s v="Residential"/>
    <n v="423.89"/>
    <n v="385.74"/>
    <n v="38.149999999999977"/>
  </r>
  <r>
    <x v="209"/>
    <s v="Kenya"/>
    <s v="Nairobi"/>
    <s v="Eastern"/>
    <s v="Residential"/>
    <n v="391.21"/>
    <n v="414.67999999999995"/>
    <n v="-23.46999999999997"/>
  </r>
  <r>
    <x v="210"/>
    <s v="Cameroon"/>
    <s v="Yaoundé"/>
    <s v="Middle"/>
    <s v="Commercial"/>
    <n v="168.89"/>
    <n v="172.26999999999998"/>
    <n v="-3.3799999999999955"/>
  </r>
  <r>
    <x v="211"/>
    <s v="Eritrea"/>
    <s v="Asmara"/>
    <s v="Eastern"/>
    <s v="Commercial"/>
    <n v="150.97"/>
    <n v="157.01"/>
    <n v="-6.039999999999992"/>
  </r>
  <r>
    <x v="212"/>
    <s v="Sudan"/>
    <s v="Khartoum"/>
    <s v="Northern"/>
    <s v="Commercial"/>
    <n v="838.72"/>
    <n v="788.4"/>
    <n v="50.32000000000005"/>
  </r>
  <r>
    <x v="213"/>
    <s v="Ghana"/>
    <s v="Accra"/>
    <s v="Western"/>
    <s v="Residential"/>
    <n v="539.14"/>
    <n v="566.1"/>
    <n v="-26.960000000000036"/>
  </r>
  <r>
    <x v="214"/>
    <s v="Sierra Leone"/>
    <s v="Freetown"/>
    <s v="Western"/>
    <s v="Commercial"/>
    <n v="651.64"/>
    <n v="592.99"/>
    <n v="58.649999999999977"/>
  </r>
  <r>
    <x v="214"/>
    <s v="South Africa"/>
    <s v="Cape Town"/>
    <s v="Southern"/>
    <s v="Commercial"/>
    <n v="767.05"/>
    <n v="721.03"/>
    <n v="46.019999999999982"/>
  </r>
  <r>
    <x v="215"/>
    <s v="South Africa"/>
    <s v="Durban"/>
    <s v="Southern"/>
    <s v="Commercial"/>
    <n v="294.77"/>
    <n v="282.97999999999996"/>
    <n v="11.79000000000002"/>
  </r>
  <r>
    <x v="216"/>
    <s v="Algeria"/>
    <s v="Algiers"/>
    <s v="Northern"/>
    <s v="Commercial"/>
    <n v="49.05"/>
    <n v="51.989999999999995"/>
    <n v="-2.9399999999999977"/>
  </r>
  <r>
    <x v="216"/>
    <s v="Botswana"/>
    <s v="Gaborone"/>
    <s v="Southern"/>
    <s v="Residential"/>
    <n v="885.21"/>
    <n v="849.80000000000007"/>
    <n v="35.409999999999968"/>
  </r>
  <r>
    <x v="217"/>
    <s v="Mauritania"/>
    <s v="Nouakchott"/>
    <s v="Western"/>
    <s v="Commercial"/>
    <n v="320.12"/>
    <n v="323.32"/>
    <n v="-3.1999999999999886"/>
  </r>
  <r>
    <x v="218"/>
    <s v="Guinea"/>
    <s v="Conakry"/>
    <s v="Western"/>
    <s v="Commercial"/>
    <n v="412.85"/>
    <n v="441.75"/>
    <n v="-28.899999999999977"/>
  </r>
  <r>
    <x v="219"/>
    <s v="Djibouti"/>
    <s v="Djibouti"/>
    <s v="Eastern"/>
    <s v="Residential"/>
    <n v="369.62"/>
    <n v="377.01"/>
    <n v="-7.3899999999999864"/>
  </r>
  <r>
    <x v="219"/>
    <s v="Seychelles"/>
    <s v="Victoria"/>
    <s v="Eastern"/>
    <s v="Commercial"/>
    <n v="654.76"/>
    <n v="648.21"/>
    <n v="6.5499999999999545"/>
  </r>
  <r>
    <x v="220"/>
    <s v="Chad"/>
    <s v="N'Djamena"/>
    <s v="Middle"/>
    <s v="Public"/>
    <n v="208.32"/>
    <n v="204.15"/>
    <n v="4.1699999999999875"/>
  </r>
  <r>
    <x v="221"/>
    <s v="Togo"/>
    <s v="Lome"/>
    <s v="Western"/>
    <s v="Residential"/>
    <n v="283.56"/>
    <n v="260.88"/>
    <n v="22.680000000000007"/>
  </r>
  <r>
    <x v="222"/>
    <s v="Swaziland"/>
    <s v="Mbabane"/>
    <s v="Southern"/>
    <s v="Public"/>
    <n v="457.57"/>
    <n v="416.39"/>
    <n v="41.180000000000007"/>
  </r>
  <r>
    <x v="223"/>
    <s v="Nigeria"/>
    <s v="Kano"/>
    <s v="Western"/>
    <s v="Public"/>
    <n v="90.67"/>
    <n v="88.86"/>
    <n v="1.8100000000000023"/>
  </r>
  <r>
    <x v="223"/>
    <s v="Rwanda"/>
    <s v="Kigali"/>
    <s v="Eastern"/>
    <s v="Residential"/>
    <n v="648.37"/>
    <n v="648.37"/>
    <n v="0"/>
  </r>
  <r>
    <x v="223"/>
    <s v="Senegal"/>
    <s v="Dakar"/>
    <s v="Western"/>
    <s v="Commercial"/>
    <n v="494.93"/>
    <n v="529.58000000000004"/>
    <n v="-34.650000000000034"/>
  </r>
  <r>
    <x v="224"/>
    <s v="South Africa"/>
    <s v="Pretoria"/>
    <s v="Southern"/>
    <s v="Residential"/>
    <n v="446.16"/>
    <n v="401.54"/>
    <n v="44.620000000000005"/>
  </r>
  <r>
    <x v="225"/>
    <s v="Guinea-Bissau"/>
    <s v="Bissau"/>
    <s v="Western"/>
    <s v="Public"/>
    <n v="579.46"/>
    <n v="573.67000000000007"/>
    <n v="5.7899999999999636"/>
  </r>
  <r>
    <x v="226"/>
    <s v="Lesotho"/>
    <s v="Maseru"/>
    <s v="Southern"/>
    <s v="Public"/>
    <n v="635.88"/>
    <n v="686.75"/>
    <n v="-50.870000000000005"/>
  </r>
  <r>
    <x v="227"/>
    <s v="Zambia"/>
    <s v="Lusaka"/>
    <s v="Eastern"/>
    <s v="Residential"/>
    <n v="339.73"/>
    <n v="329.54"/>
    <n v="10.189999999999998"/>
  </r>
  <r>
    <x v="228"/>
    <s v="Somalia"/>
    <s v="Mogadishu"/>
    <s v="Eastern"/>
    <s v="Residential"/>
    <n v="29.2"/>
    <n v="26.57"/>
    <n v="2.629999999999999"/>
  </r>
  <r>
    <x v="229"/>
    <s v="Uganda"/>
    <s v="Kampala"/>
    <s v="Eastern"/>
    <s v="Commercial"/>
    <n v="239.4"/>
    <n v="248.98000000000002"/>
    <n v="-9.5800000000000125"/>
  </r>
  <r>
    <x v="230"/>
    <s v="Gabon"/>
    <s v="Libreville"/>
    <s v="Middle"/>
    <s v="Residential"/>
    <n v="183"/>
    <n v="166.53"/>
    <n v="16.47"/>
  </r>
  <r>
    <x v="231"/>
    <s v="Central African Republic"/>
    <s v="Bangui"/>
    <s v="Middle"/>
    <s v="Residential"/>
    <n v="995.01"/>
    <n v="1054.71"/>
    <n v="-59.700000000000045"/>
  </r>
  <r>
    <x v="232"/>
    <s v="Democratic Republic of the Congo"/>
    <s v="Lubumbashi"/>
    <s v="Middle"/>
    <s v="Residential"/>
    <n v="34.82"/>
    <n v="31.69"/>
    <n v="3.129999999999999"/>
  </r>
  <r>
    <x v="233"/>
    <s v="Cote d'Ivoire"/>
    <s v="Yamoussoukro"/>
    <s v="Western"/>
    <s v="Residential"/>
    <n v="362.31"/>
    <n v="336.95"/>
    <n v="25.360000000000014"/>
  </r>
  <r>
    <x v="234"/>
    <s v="Sudan"/>
    <s v="Khartoum"/>
    <s v="Northern"/>
    <s v="Public"/>
    <n v="388.33"/>
    <n v="380.56"/>
    <n v="7.7699999999999818"/>
  </r>
  <r>
    <x v="235"/>
    <s v="Egypt"/>
    <s v="Cairo"/>
    <s v="Northern"/>
    <s v="Residential"/>
    <n v="371.52"/>
    <n v="390.09999999999997"/>
    <n v="-18.579999999999984"/>
  </r>
  <r>
    <x v="235"/>
    <s v="Equatorial Guinea"/>
    <s v="Malabo"/>
    <s v="Middle"/>
    <s v="Public"/>
    <n v="301.10000000000002"/>
    <n v="292.07000000000005"/>
    <n v="9.0299999999999727"/>
  </r>
  <r>
    <x v="235"/>
    <s v="Nigeria"/>
    <s v="Abuja"/>
    <s v="Western"/>
    <s v="Public"/>
    <n v="819.48"/>
    <n v="835.87"/>
    <n v="-16.389999999999986"/>
  </r>
  <r>
    <x v="236"/>
    <s v="Democratic Republic of the Congo"/>
    <s v="Mbuji-Mayi"/>
    <s v="Middle"/>
    <s v="Commercial"/>
    <n v="736.06"/>
    <n v="691.9"/>
    <n v="44.159999999999968"/>
  </r>
  <r>
    <x v="237"/>
    <s v="Western Sahara"/>
    <s v="Dakhla"/>
    <s v="Northern"/>
    <s v="Commercial"/>
    <n v="440.8"/>
    <n v="409.94"/>
    <n v="30.860000000000014"/>
  </r>
  <r>
    <x v="238"/>
    <s v="Ghana"/>
    <s v="Kumasi"/>
    <s v="Western"/>
    <s v="Residential"/>
    <n v="783.41"/>
    <n v="759.91"/>
    <n v="23.5"/>
  </r>
  <r>
    <x v="239"/>
    <s v="Benin"/>
    <s v="Porto-Novo"/>
    <s v="Western"/>
    <s v="Public"/>
    <n v="121.87"/>
    <n v="131.62"/>
    <n v="-9.75"/>
  </r>
  <r>
    <x v="239"/>
    <s v="Libya"/>
    <s v="Tripoli"/>
    <s v="Northern"/>
    <s v="Public"/>
    <n v="389.55"/>
    <n v="381.76"/>
    <n v="7.7900000000000205"/>
  </r>
  <r>
    <x v="240"/>
    <s v="Cote d'Ivoire"/>
    <s v="Abidjan"/>
    <s v="Western"/>
    <s v="Commercial"/>
    <n v="237.28"/>
    <n v="239.65"/>
    <n v="-2.3700000000000045"/>
  </r>
  <r>
    <x v="241"/>
    <s v="Malawi"/>
    <s v="Lilongwe"/>
    <s v="Eastern"/>
    <s v="Residential"/>
    <n v="972.34"/>
    <n v="952.89"/>
    <n v="19.450000000000045"/>
  </r>
  <r>
    <x v="242"/>
    <s v="South Africa"/>
    <s v="Johannesburg"/>
    <s v="Southern"/>
    <s v="Residential"/>
    <n v="935.72"/>
    <n v="870.22"/>
    <n v="65.5"/>
  </r>
  <r>
    <x v="242"/>
    <s v="South Sudan"/>
    <s v="Juba"/>
    <s v="Eastern"/>
    <s v="Residential"/>
    <n v="545.16"/>
    <n v="512.44999999999993"/>
    <n v="32.710000000000036"/>
  </r>
  <r>
    <x v="243"/>
    <s v="Chad"/>
    <s v="N'Djamena"/>
    <s v="Middle"/>
    <s v="Residential"/>
    <n v="432.43"/>
    <n v="402.16"/>
    <n v="30.269999999999982"/>
  </r>
  <r>
    <x v="244"/>
    <s v="Liberia"/>
    <s v="Monrovia"/>
    <s v="Western"/>
    <s v="Residential"/>
    <n v="236.5"/>
    <n v="255.42000000000002"/>
    <n v="-18.920000000000016"/>
  </r>
  <r>
    <x v="244"/>
    <s v="South Sudan"/>
    <s v="Juba"/>
    <s v="Eastern"/>
    <s v="Residential"/>
    <n v="567.29999999999995"/>
    <n v="527.58999999999992"/>
    <n v="39.710000000000036"/>
  </r>
  <r>
    <x v="244"/>
    <s v="Zambia"/>
    <s v="Lusaka"/>
    <s v="Eastern"/>
    <s v="Residential"/>
    <n v="784.66"/>
    <n v="839.58999999999992"/>
    <n v="-54.92999999999995"/>
  </r>
  <r>
    <x v="245"/>
    <s v="Benin"/>
    <s v="Cotonou"/>
    <s v="Western"/>
    <s v="Commercial"/>
    <n v="314.2"/>
    <n v="311.06"/>
    <n v="3.1399999999999864"/>
  </r>
  <r>
    <x v="245"/>
    <s v="Burundi"/>
    <s v="Bujumbura"/>
    <s v="Eastern"/>
    <s v="Residential"/>
    <n v="472.26"/>
    <n v="462.81"/>
    <n v="9.4499999999999886"/>
  </r>
  <r>
    <x v="245"/>
    <s v="Mali"/>
    <s v="Bamako"/>
    <s v="Western"/>
    <s v="Residential"/>
    <n v="265.44"/>
    <n v="249.51"/>
    <n v="15.930000000000007"/>
  </r>
  <r>
    <x v="245"/>
    <s v="Nigeria"/>
    <s v="Lagos"/>
    <s v="Western"/>
    <s v="Public"/>
    <n v="356.19"/>
    <n v="331.26"/>
    <n v="24.930000000000007"/>
  </r>
  <r>
    <x v="246"/>
    <s v="Sudan"/>
    <s v="Khartoum"/>
    <s v="Northern"/>
    <s v="Public"/>
    <n v="566.79999999999995"/>
    <n v="612.14"/>
    <n v="-45.340000000000032"/>
  </r>
  <r>
    <x v="247"/>
    <s v="Senegal"/>
    <s v="Dakar"/>
    <s v="Western"/>
    <s v="Commercial"/>
    <n v="101.35"/>
    <n v="100.33999999999999"/>
    <n v="1.0100000000000051"/>
  </r>
  <r>
    <x v="247"/>
    <s v="Swaziland"/>
    <s v="Mbabane"/>
    <s v="Southern"/>
    <s v="Public"/>
    <n v="989.02"/>
    <n v="900.01"/>
    <n v="89.009999999999991"/>
  </r>
  <r>
    <x v="248"/>
    <s v="Angola"/>
    <s v="Luanda"/>
    <s v="Middle"/>
    <s v="Commercial"/>
    <n v="691.8"/>
    <n v="712.55"/>
    <n v="-20.75"/>
  </r>
  <r>
    <x v="248"/>
    <s v="Mozambique"/>
    <s v="Maputo"/>
    <s v="Eastern"/>
    <s v="Public"/>
    <n v="582.09"/>
    <n v="547.16000000000008"/>
    <n v="34.92999999999995"/>
  </r>
  <r>
    <x v="249"/>
    <s v="Democratic Republic of the Congo"/>
    <s v="Kinshasa"/>
    <s v="Middle"/>
    <s v="Residential"/>
    <n v="18.239999999999998"/>
    <n v="18.599999999999998"/>
    <n v="-0.35999999999999943"/>
  </r>
  <r>
    <x v="250"/>
    <s v="Mauritius"/>
    <s v="Port Louis"/>
    <s v="Eastern"/>
    <s v="Residential"/>
    <n v="442.97"/>
    <n v="398.67"/>
    <n v="44.300000000000011"/>
  </r>
  <r>
    <x v="251"/>
    <s v="South Africa"/>
    <s v="Durban"/>
    <s v="Southern"/>
    <s v="Residential"/>
    <n v="563.87"/>
    <n v="507.48"/>
    <n v="56.389999999999986"/>
  </r>
  <r>
    <x v="252"/>
    <s v="Egypt"/>
    <s v="Cairo"/>
    <s v="Northern"/>
    <s v="Residential"/>
    <n v="382.78"/>
    <n v="348.33"/>
    <n v="34.449999999999989"/>
  </r>
  <r>
    <x v="252"/>
    <s v="Lesotho"/>
    <s v="Maseru"/>
    <s v="Southern"/>
    <s v="Residential"/>
    <n v="122.51"/>
    <n v="129.86000000000001"/>
    <n v="-7.3500000000000085"/>
  </r>
  <r>
    <x v="253"/>
    <s v="Madagascar"/>
    <s v="Antananarivo"/>
    <s v="Eastern"/>
    <s v="Residential"/>
    <n v="247"/>
    <n v="242.06"/>
    <n v="4.9399999999999977"/>
  </r>
  <r>
    <x v="254"/>
    <s v="Benin"/>
    <s v="Porto-Novo"/>
    <s v="Western"/>
    <s v="Commercial"/>
    <n v="922.7"/>
    <n v="959.61"/>
    <n v="-36.909999999999968"/>
  </r>
  <r>
    <x v="255"/>
    <s v="Niger"/>
    <s v="Niamey"/>
    <s v="Western"/>
    <s v="Residential"/>
    <n v="512.05999999999995"/>
    <n v="465.96999999999991"/>
    <n v="46.090000000000032"/>
  </r>
  <r>
    <x v="256"/>
    <s v="Burkina Faso"/>
    <s v="Ouagadougou"/>
    <s v="Western"/>
    <s v="Public"/>
    <n v="994.43"/>
    <n v="984.4899999999999"/>
    <n v="9.9400000000000546"/>
  </r>
  <r>
    <x v="256"/>
    <s v="South Africa"/>
    <s v="Johannesburg"/>
    <s v="Southern"/>
    <s v="Residential"/>
    <n v="833.14"/>
    <n v="866.47"/>
    <n v="-33.330000000000041"/>
  </r>
  <r>
    <x v="257"/>
    <s v="Morocco"/>
    <s v="Rabat"/>
    <s v="Northern"/>
    <s v="Public"/>
    <n v="115.9"/>
    <n v="111.26"/>
    <n v="4.6400000000000006"/>
  </r>
  <r>
    <x v="257"/>
    <s v="Namibia"/>
    <s v="Windhoek"/>
    <s v="Southern"/>
    <s v="Public"/>
    <n v="388.75"/>
    <n v="412.08"/>
    <n v="-23.329999999999984"/>
  </r>
  <r>
    <x v="257"/>
    <s v="Nigeria"/>
    <s v="Lagos"/>
    <s v="Western"/>
    <s v="Public"/>
    <n v="608.26"/>
    <n v="644.76"/>
    <n v="-36.5"/>
  </r>
  <r>
    <x v="258"/>
    <s v="Democratic Republic of the Congo"/>
    <s v="Kinshasa"/>
    <s v="Middle"/>
    <s v="Residential"/>
    <n v="946.53"/>
    <n v="861.33999999999992"/>
    <n v="85.190000000000055"/>
  </r>
  <r>
    <x v="259"/>
    <s v="Angola"/>
    <s v="Luanda"/>
    <s v="Middle"/>
    <s v="Public"/>
    <n v="51.41"/>
    <n v="50.9"/>
    <n v="0.50999999999999801"/>
  </r>
  <r>
    <x v="259"/>
    <s v="Malawi"/>
    <s v="Lilongwe"/>
    <s v="Eastern"/>
    <s v="Residential"/>
    <n v="490.32"/>
    <n v="524.64"/>
    <n v="-34.319999999999993"/>
  </r>
  <r>
    <x v="259"/>
    <s v="South Africa"/>
    <s v="Pretoria"/>
    <s v="Southern"/>
    <s v="Commercial"/>
    <n v="439.53"/>
    <n v="408.76"/>
    <n v="30.769999999999982"/>
  </r>
  <r>
    <x v="260"/>
    <s v="Cote d'Ivoire"/>
    <s v="Abidjan"/>
    <s v="Western"/>
    <s v="Commercial"/>
    <n v="884.13"/>
    <n v="954.86"/>
    <n v="-70.730000000000018"/>
  </r>
  <r>
    <x v="261"/>
    <s v="Ethiopia"/>
    <s v="Addis Ababa"/>
    <s v="Eastern"/>
    <s v="Commercial"/>
    <n v="386.49"/>
    <n v="359.44"/>
    <n v="27.050000000000011"/>
  </r>
  <r>
    <x v="262"/>
    <s v="Rwanda"/>
    <s v="Kigali"/>
    <s v="Eastern"/>
    <s v="Public"/>
    <n v="646.27"/>
    <n v="601.03"/>
    <n v="45.240000000000009"/>
  </r>
  <r>
    <x v="263"/>
    <s v="Ethiopia"/>
    <s v="Addis Ababa"/>
    <s v="Eastern"/>
    <s v="Commercial"/>
    <n v="481.26"/>
    <n v="442.76"/>
    <n v="38.5"/>
  </r>
  <r>
    <x v="264"/>
    <s v="Djibouti"/>
    <s v="Djibouti"/>
    <s v="Eastern"/>
    <s v="Residential"/>
    <n v="688.39"/>
    <n v="709.04"/>
    <n v="-20.649999999999977"/>
  </r>
  <r>
    <x v="264"/>
    <s v="Madagascar"/>
    <s v="Antananarivo"/>
    <s v="Eastern"/>
    <s v="Residential"/>
    <n v="677.49"/>
    <n v="643.62"/>
    <n v="33.870000000000005"/>
  </r>
  <r>
    <x v="264"/>
    <s v="Morocco"/>
    <s v="Rabat"/>
    <s v="Northern"/>
    <s v="Public"/>
    <n v="65.69"/>
    <n v="61.089999999999996"/>
    <n v="4.6000000000000014"/>
  </r>
  <r>
    <x v="265"/>
    <s v="Namibia"/>
    <s v="Windhoek"/>
    <s v="Southern"/>
    <s v="Public"/>
    <n v="400.51"/>
    <n v="404.52"/>
    <n v="-4.0099999999999909"/>
  </r>
  <r>
    <x v="266"/>
    <s v="Botswana"/>
    <s v="Gaborone"/>
    <s v="Southern"/>
    <s v="Public"/>
    <n v="430.46"/>
    <n v="404.63"/>
    <n v="25.829999999999984"/>
  </r>
  <r>
    <x v="266"/>
    <s v="Democratic Republic of the Congo"/>
    <s v="Mbuji-Mayi"/>
    <s v="Middle"/>
    <s v="Residential"/>
    <n v="175.92"/>
    <n v="179.44"/>
    <n v="-3.5200000000000102"/>
  </r>
  <r>
    <x v="267"/>
    <s v="Libya"/>
    <s v="Tripoli"/>
    <s v="Northern"/>
    <s v="Public"/>
    <n v="591.32000000000005"/>
    <n v="573.58000000000004"/>
    <n v="17.740000000000009"/>
  </r>
  <r>
    <x v="267"/>
    <s v="Sao Tome and Principe"/>
    <s v="Sao Tome"/>
    <s v="Middle"/>
    <s v="Residential"/>
    <n v="116.72"/>
    <n v="107.38"/>
    <n v="9.3400000000000034"/>
  </r>
  <r>
    <x v="267"/>
    <s v="Sao Tome and Principe"/>
    <s v="Sao Tome"/>
    <s v="Middle"/>
    <s v="Commercial"/>
    <n v="344"/>
    <n v="333.68"/>
    <n v="10.319999999999993"/>
  </r>
  <r>
    <x v="268"/>
    <s v="Zimbabwe"/>
    <s v="Harare"/>
    <s v="Eastern"/>
    <s v="Commercial"/>
    <n v="976.54"/>
    <n v="917.94999999999993"/>
    <n v="58.590000000000032"/>
  </r>
  <r>
    <x v="269"/>
    <s v="Congo"/>
    <s v="Brazzaville"/>
    <s v="Middle"/>
    <s v="Residential"/>
    <n v="983.19"/>
    <n v="904.53000000000009"/>
    <n v="78.659999999999968"/>
  </r>
  <r>
    <x v="270"/>
    <s v="Algeria"/>
    <s v="Algiers"/>
    <s v="Northern"/>
    <s v="Commercial"/>
    <n v="422.63"/>
    <n v="405.71999999999997"/>
    <n v="16.910000000000025"/>
  </r>
  <r>
    <x v="271"/>
    <s v="Nigeria"/>
    <s v="Ibadan"/>
    <s v="Western"/>
    <s v="Public"/>
    <n v="922.03"/>
    <n v="894.37"/>
    <n v="27.659999999999968"/>
  </r>
  <r>
    <x v="272"/>
    <s v="Democratic Republic of the Congo"/>
    <s v="Lubumbashi"/>
    <s v="Middle"/>
    <s v="Commercial"/>
    <n v="697.67"/>
    <n v="711.62"/>
    <n v="-13.950000000000045"/>
  </r>
  <r>
    <x v="273"/>
    <s v="Niger"/>
    <s v="Niamey"/>
    <s v="Western"/>
    <s v="Residential"/>
    <n v="471.58"/>
    <n v="495.15999999999997"/>
    <n v="-23.579999999999984"/>
  </r>
  <r>
    <x v="274"/>
    <s v="Sudan"/>
    <s v="Khartoum"/>
    <s v="Northern"/>
    <s v="Commercial"/>
    <n v="691.44"/>
    <n v="732.93000000000006"/>
    <n v="-41.490000000000009"/>
  </r>
  <r>
    <x v="275"/>
    <s v="Liberia"/>
    <s v="Monrovia"/>
    <s v="Western"/>
    <s v="Residential"/>
    <n v="50.48"/>
    <n v="54.519999999999996"/>
    <n v="-4.0399999999999991"/>
  </r>
  <r>
    <x v="276"/>
    <s v="Central African Republic"/>
    <s v="Bangui"/>
    <s v="Middle"/>
    <s v="Residential"/>
    <n v="218.69"/>
    <n v="220.88"/>
    <n v="-2.1899999999999977"/>
  </r>
  <r>
    <x v="277"/>
    <s v="South Africa"/>
    <s v="Cape Town"/>
    <s v="Southern"/>
    <s v="Public"/>
    <n v="462.64"/>
    <n v="458.01"/>
    <n v="4.6299999999999955"/>
  </r>
  <r>
    <x v="278"/>
    <s v="Guinea-Bissau"/>
    <s v="Bissau"/>
    <s v="Western"/>
    <s v="Commercial"/>
    <n v="861.5"/>
    <n v="801.19"/>
    <n v="60.309999999999945"/>
  </r>
  <r>
    <x v="278"/>
    <s v="Mauritania"/>
    <s v="Nouakchott"/>
    <s v="Western"/>
    <s v="Public"/>
    <n v="347.85"/>
    <n v="361.76000000000005"/>
    <n v="-13.910000000000025"/>
  </r>
  <r>
    <x v="279"/>
    <s v="Tunisia"/>
    <s v="Tunis"/>
    <s v="Northern"/>
    <s v="Residential"/>
    <n v="628.53"/>
    <n v="590.81999999999994"/>
    <n v="37.710000000000036"/>
  </r>
  <r>
    <x v="280"/>
    <s v="Namibia"/>
    <s v="Windhoek"/>
    <s v="Southern"/>
    <s v="Residential"/>
    <n v="234.66"/>
    <n v="234.66"/>
    <n v="0"/>
  </r>
  <r>
    <x v="281"/>
    <s v="Mauritius"/>
    <s v="Port Louis"/>
    <s v="Eastern"/>
    <s v="Commercial"/>
    <n v="153.13"/>
    <n v="163.85"/>
    <n v="-10.719999999999999"/>
  </r>
  <r>
    <x v="282"/>
    <s v="Mauritania"/>
    <s v="Nouakchott"/>
    <s v="Western"/>
    <s v="Commercial"/>
    <n v="741.03"/>
    <n v="674.33999999999992"/>
    <n v="66.690000000000055"/>
  </r>
  <r>
    <x v="283"/>
    <s v="Equatorial Guinea"/>
    <s v="Malabo"/>
    <s v="Middle"/>
    <s v="Public"/>
    <n v="966.99"/>
    <n v="986.33"/>
    <n v="-19.340000000000032"/>
  </r>
  <r>
    <x v="283"/>
    <s v="Togo"/>
    <s v="Lome"/>
    <s v="Western"/>
    <s v="Residential"/>
    <n v="10.76"/>
    <n v="10.219999999999999"/>
    <n v="0.54000000000000092"/>
  </r>
  <r>
    <x v="284"/>
    <s v="Malawi"/>
    <s v="Blantyre"/>
    <s v="Eastern"/>
    <s v="Commercial"/>
    <n v="818.95"/>
    <n v="810.76"/>
    <n v="8.1900000000000546"/>
  </r>
  <r>
    <x v="285"/>
    <s v="Malawi"/>
    <s v="Lilongwe"/>
    <s v="Eastern"/>
    <s v="Public"/>
    <n v="753.87"/>
    <n v="791.56"/>
    <n v="-37.689999999999941"/>
  </r>
  <r>
    <x v="286"/>
    <s v="Mali"/>
    <s v="Bamako"/>
    <s v="Western"/>
    <s v="Residential"/>
    <n v="679.85"/>
    <n v="645.86"/>
    <n v="33.990000000000009"/>
  </r>
  <r>
    <x v="287"/>
    <s v="Uganda"/>
    <s v="Kampala"/>
    <s v="Eastern"/>
    <s v="Residential"/>
    <n v="634.20000000000005"/>
    <n v="678.59"/>
    <n v="-44.389999999999986"/>
  </r>
  <r>
    <x v="288"/>
    <s v="Nigeria"/>
    <s v="Kano"/>
    <s v="Western"/>
    <s v="Commercial"/>
    <n v="56.22"/>
    <n v="55.1"/>
    <n v="1.1199999999999974"/>
  </r>
  <r>
    <x v="289"/>
    <s v="Guinea-Bissau"/>
    <s v="Bissau"/>
    <s v="Western"/>
    <s v="Public"/>
    <n v="285.13"/>
    <n v="276.58"/>
    <n v="8.5500000000000114"/>
  </r>
  <r>
    <x v="290"/>
    <s v="Cameroon"/>
    <s v="Douala"/>
    <s v="Middle"/>
    <s v="Residential"/>
    <n v="542.42999999999995"/>
    <n v="585.81999999999994"/>
    <n v="-43.389999999999986"/>
  </r>
  <r>
    <x v="291"/>
    <s v="South Africa"/>
    <s v="Durban"/>
    <s v="Southern"/>
    <s v="Public"/>
    <n v="857.7"/>
    <n v="900.59"/>
    <n v="-42.889999999999986"/>
  </r>
  <r>
    <x v="292"/>
    <s v="Malawi"/>
    <s v="Blantyre"/>
    <s v="Eastern"/>
    <s v="Commercial"/>
    <n v="511.15"/>
    <n v="460.03"/>
    <n v="51.120000000000005"/>
  </r>
  <r>
    <x v="293"/>
    <s v="United Republic of Tanzania"/>
    <s v="Dar es Salaam"/>
    <s v="Eastern"/>
    <s v="Public"/>
    <n v="437.73"/>
    <n v="468.37"/>
    <n v="-30.639999999999986"/>
  </r>
  <r>
    <x v="294"/>
    <s v="Kenya"/>
    <s v="Nairobi"/>
    <s v="Eastern"/>
    <s v="Public"/>
    <n v="768.89"/>
    <n v="791.96"/>
    <n v="-23.07000000000005"/>
  </r>
  <r>
    <x v="295"/>
    <s v="Mozambique"/>
    <s v="Maputo"/>
    <s v="Eastern"/>
    <s v="Public"/>
    <n v="438.03"/>
    <n v="442.40999999999997"/>
    <n v="-4.3799999999999955"/>
  </r>
  <r>
    <x v="296"/>
    <s v="Mauritius"/>
    <s v="Port Louis"/>
    <s v="Eastern"/>
    <s v="Commercial"/>
    <n v="202.08"/>
    <n v="196.02"/>
    <n v="6.0600000000000023"/>
  </r>
  <r>
    <x v="297"/>
    <s v="Ghana"/>
    <s v="Accra"/>
    <s v="Western"/>
    <s v="Public"/>
    <n v="117.71"/>
    <n v="108.28999999999999"/>
    <n v="9.4200000000000017"/>
  </r>
  <r>
    <x v="297"/>
    <s v="Western Sahara"/>
    <s v="Dakhla"/>
    <s v="Northern"/>
    <s v="Commercial"/>
    <n v="759.99"/>
    <n v="706.79"/>
    <n v="53.200000000000045"/>
  </r>
  <r>
    <x v="298"/>
    <s v="Cameroon"/>
    <s v="Yaoundé"/>
    <s v="Middle"/>
    <s v="Public"/>
    <n v="32.15"/>
    <n v="29.58"/>
    <n v="2.5700000000000003"/>
  </r>
  <r>
    <x v="299"/>
    <s v="Central African Republic"/>
    <s v="Bangui"/>
    <s v="Middle"/>
    <s v="Residential"/>
    <n v="384"/>
    <n v="372.48"/>
    <n v="11.519999999999982"/>
  </r>
  <r>
    <x v="300"/>
    <s v="Nigeria"/>
    <s v="Abuja"/>
    <s v="Western"/>
    <s v="Residential"/>
    <n v="992.39"/>
    <n v="952.68999999999994"/>
    <n v="39.700000000000045"/>
  </r>
  <r>
    <x v="301"/>
    <s v="Ghana"/>
    <s v="Accra"/>
    <s v="Western"/>
    <s v="Public"/>
    <n v="896.19"/>
    <n v="806.57"/>
    <n v="89.62"/>
  </r>
  <r>
    <x v="301"/>
    <s v="Mali"/>
    <s v="Bamako"/>
    <s v="Western"/>
    <s v="Residential"/>
    <n v="211.55"/>
    <n v="196.74"/>
    <n v="14.810000000000002"/>
  </r>
  <r>
    <x v="302"/>
    <s v="Cameroon"/>
    <s v="Douala"/>
    <s v="Middle"/>
    <s v="Public"/>
    <n v="951.4"/>
    <n v="979.93999999999994"/>
    <n v="-28.539999999999964"/>
  </r>
  <r>
    <x v="303"/>
    <s v="Rwanda"/>
    <s v="Kigali"/>
    <s v="Eastern"/>
    <s v="Public"/>
    <n v="435.41"/>
    <n v="431.06"/>
    <n v="4.3500000000000227"/>
  </r>
  <r>
    <x v="304"/>
    <s v="Democratic Republic of the Congo"/>
    <s v="Lubumbashi"/>
    <s v="Middle"/>
    <s v="Public"/>
    <n v="997.23"/>
    <n v="947.37"/>
    <n v="49.860000000000014"/>
  </r>
  <r>
    <x v="305"/>
    <s v="Equatorial Guinea"/>
    <s v="Malabo"/>
    <s v="Middle"/>
    <s v="Residential"/>
    <n v="383.7"/>
    <n v="360.68"/>
    <n v="23.019999999999982"/>
  </r>
  <r>
    <x v="305"/>
    <s v="Eritrea"/>
    <s v="Asmara"/>
    <s v="Eastern"/>
    <s v="Commercial"/>
    <n v="829.05"/>
    <n v="820.76"/>
    <n v="8.2899999999999636"/>
  </r>
  <r>
    <x v="306"/>
    <s v="Lesotho"/>
    <s v="Maseru"/>
    <s v="Southern"/>
    <s v="Commercial"/>
    <n v="401.94"/>
    <n v="409.98"/>
    <n v="-8.0400000000000205"/>
  </r>
  <r>
    <x v="307"/>
    <s v="Burundi"/>
    <s v="Bujumbura"/>
    <s v="Eastern"/>
    <s v="Public"/>
    <n v="757.23"/>
    <n v="757.23"/>
    <n v="0"/>
  </r>
  <r>
    <x v="308"/>
    <s v="Swaziland"/>
    <s v="Mbabane"/>
    <s v="Southern"/>
    <s v="Residential"/>
    <n v="322.41000000000003"/>
    <n v="293.39000000000004"/>
    <n v="29.019999999999982"/>
  </r>
  <r>
    <x v="309"/>
    <s v="Djibouti"/>
    <s v="Djibouti"/>
    <s v="Eastern"/>
    <s v="Residential"/>
    <n v="818.68"/>
    <n v="777.75"/>
    <n v="40.92999999999995"/>
  </r>
  <r>
    <x v="310"/>
    <s v="Cote d'Ivoire"/>
    <s v="Abidjan"/>
    <s v="Western"/>
    <s v="Residential"/>
    <n v="263.10000000000002"/>
    <n v="257.84000000000003"/>
    <n v="5.2599999999999909"/>
  </r>
  <r>
    <x v="311"/>
    <s v="Egypt"/>
    <s v="Cairo"/>
    <s v="Northern"/>
    <s v="Residential"/>
    <n v="654.41"/>
    <n v="621.68999999999994"/>
    <n v="32.720000000000027"/>
  </r>
  <r>
    <x v="311"/>
    <s v="Sierra Leone"/>
    <s v="Freetown"/>
    <s v="Western"/>
    <s v="Commercial"/>
    <n v="345.05"/>
    <n v="362.3"/>
    <n v="-17.25"/>
  </r>
  <r>
    <x v="311"/>
    <s v="Zimbabwe"/>
    <s v="Harare"/>
    <s v="Eastern"/>
    <s v="Commercial"/>
    <n v="758.17"/>
    <n v="811.24"/>
    <n v="-53.07000000000005"/>
  </r>
  <r>
    <x v="312"/>
    <s v="Benin"/>
    <s v="Porto-Novo"/>
    <s v="Western"/>
    <s v="Public"/>
    <n v="152.03"/>
    <n v="142.91"/>
    <n v="9.1200000000000045"/>
  </r>
  <r>
    <x v="312"/>
    <s v="Cote d'Ivoire"/>
    <s v="Yamoussoukro"/>
    <s v="Western"/>
    <s v="Commercial"/>
    <n v="701.13"/>
    <n v="638.03"/>
    <n v="63.100000000000023"/>
  </r>
  <r>
    <x v="312"/>
    <s v="Libya"/>
    <s v="Tripoli"/>
    <s v="Northern"/>
    <s v="Public"/>
    <n v="183.31"/>
    <n v="170.48"/>
    <n v="12.830000000000013"/>
  </r>
  <r>
    <x v="312"/>
    <s v="Seychelles"/>
    <s v="Victoria"/>
    <s v="Eastern"/>
    <s v="Public"/>
    <n v="94.94"/>
    <n v="98.74"/>
    <n v="-3.7999999999999972"/>
  </r>
  <r>
    <x v="313"/>
    <s v="Somalia"/>
    <s v="Mogadishu"/>
    <s v="Eastern"/>
    <s v="Residential"/>
    <n v="515.86"/>
    <n v="479.75"/>
    <n v="36.110000000000014"/>
  </r>
  <r>
    <x v="313"/>
    <s v="Zambia"/>
    <s v="Lusaka"/>
    <s v="Eastern"/>
    <s v="Residential"/>
    <n v="226.85"/>
    <n v="208.7"/>
    <n v="18.150000000000006"/>
  </r>
  <r>
    <x v="314"/>
    <s v="Sudan"/>
    <s v="Khartoum"/>
    <s v="Northern"/>
    <s v="Public"/>
    <n v="657.03"/>
    <n v="650.45999999999992"/>
    <n v="6.57000000000005"/>
  </r>
  <r>
    <x v="315"/>
    <s v="Ghana"/>
    <s v="Kumasi"/>
    <s v="Western"/>
    <s v="Residential"/>
    <n v="382.61"/>
    <n v="382.61"/>
    <n v="0"/>
  </r>
  <r>
    <x v="316"/>
    <s v="Benin"/>
    <s v="Cotonou"/>
    <s v="Western"/>
    <s v="Commercial"/>
    <n v="506.77"/>
    <n v="547.30999999999995"/>
    <n v="-40.539999999999964"/>
  </r>
  <r>
    <x v="316"/>
    <s v="Guinea"/>
    <s v="Conakry"/>
    <s v="Western"/>
    <s v="Residential"/>
    <n v="197.63"/>
    <n v="195.65"/>
    <n v="1.9799999999999898"/>
  </r>
  <r>
    <x v="316"/>
    <s v="Seychelles"/>
    <s v="Victoria"/>
    <s v="Eastern"/>
    <s v="Commercial"/>
    <n v="447.46"/>
    <n v="478.78"/>
    <n v="-31.319999999999993"/>
  </r>
  <r>
    <x v="316"/>
    <s v="Somalia"/>
    <s v="Mogadishu"/>
    <s v="Eastern"/>
    <s v="Public"/>
    <n v="947.2"/>
    <n v="899.84"/>
    <n v="47.360000000000014"/>
  </r>
  <r>
    <x v="317"/>
    <s v="Gabon"/>
    <s v="Libreville"/>
    <s v="Middle"/>
    <s v="Residential"/>
    <n v="53.37"/>
    <n v="57.64"/>
    <n v="-4.2700000000000031"/>
  </r>
  <r>
    <x v="317"/>
    <s v="South Africa"/>
    <s v="Cape Town"/>
    <s v="Southern"/>
    <s v="Public"/>
    <n v="981.73"/>
    <n v="942.46"/>
    <n v="39.269999999999982"/>
  </r>
  <r>
    <x v="318"/>
    <s v="Western Sahara"/>
    <s v="Dakhla"/>
    <s v="Northern"/>
    <s v="Residential"/>
    <n v="216.43"/>
    <n v="227.25"/>
    <n v="-10.819999999999993"/>
  </r>
  <r>
    <x v="319"/>
    <s v="Kenya"/>
    <s v="Nairobi"/>
    <s v="Eastern"/>
    <s v="Public"/>
    <n v="606.12"/>
    <n v="581.88"/>
    <n v="24.240000000000009"/>
  </r>
  <r>
    <x v="320"/>
    <s v="Sao Tome and Principe"/>
    <s v="Sao Tome"/>
    <s v="Middle"/>
    <s v="Residential"/>
    <n v="973.62"/>
    <n v="973.62"/>
    <n v="0"/>
  </r>
  <r>
    <x v="321"/>
    <s v="Chad"/>
    <s v="N'Djamena"/>
    <s v="Middle"/>
    <s v="Public"/>
    <n v="895.52"/>
    <n v="877.61"/>
    <n v="17.909999999999968"/>
  </r>
  <r>
    <x v="322"/>
    <s v="Mozambique"/>
    <s v="Maputo"/>
    <s v="Eastern"/>
    <s v="Commercial"/>
    <n v="393.33"/>
    <n v="357.93"/>
    <n v="35.399999999999977"/>
  </r>
  <r>
    <x v="323"/>
    <s v="Burundi"/>
    <s v="Bujumbura"/>
    <s v="Eastern"/>
    <s v="Residential"/>
    <n v="644.42999999999995"/>
    <n v="650.87"/>
    <n v="-6.4400000000000546"/>
  </r>
  <r>
    <x v="323"/>
    <s v="Ethiopia"/>
    <s v="Addis Ababa"/>
    <s v="Eastern"/>
    <s v="Public"/>
    <n v="751.02"/>
    <n v="766.04"/>
    <n v="-15.019999999999982"/>
  </r>
  <r>
    <x v="324"/>
    <s v="South Sudan"/>
    <s v="Juba"/>
    <s v="Eastern"/>
    <s v="Residential"/>
    <n v="330.27"/>
    <n v="303.84999999999997"/>
    <n v="26.420000000000016"/>
  </r>
  <r>
    <x v="325"/>
    <s v="Uganda"/>
    <s v="Kampala"/>
    <s v="Eastern"/>
    <s v="Residential"/>
    <n v="696.6"/>
    <n v="626.94000000000005"/>
    <n v="69.659999999999968"/>
  </r>
  <r>
    <x v="326"/>
    <s v="Cameroon"/>
    <s v="Yaoundé"/>
    <s v="Middle"/>
    <s v="Public"/>
    <n v="549.16"/>
    <n v="521.69999999999993"/>
    <n v="27.460000000000036"/>
  </r>
  <r>
    <x v="327"/>
    <s v="Algeria"/>
    <s v="Algiers"/>
    <s v="Northern"/>
    <s v="Public"/>
    <n v="902.45"/>
    <n v="911.47"/>
    <n v="-9.0199999999999818"/>
  </r>
  <r>
    <x v="328"/>
    <s v="Democratic Republic of the Congo"/>
    <s v="Kinshasa"/>
    <s v="Middle"/>
    <s v="Public"/>
    <n v="895.19"/>
    <n v="948.90000000000009"/>
    <n v="-53.710000000000036"/>
  </r>
  <r>
    <x v="329"/>
    <s v="Nigeria"/>
    <s v="Ibadan"/>
    <s v="Western"/>
    <s v="Commercial"/>
    <n v="481.11"/>
    <n v="457.05"/>
    <n v="24.060000000000002"/>
  </r>
  <r>
    <x v="330"/>
    <s v="Nigeria"/>
    <s v="Kano"/>
    <s v="Western"/>
    <s v="Residential"/>
    <n v="66.13"/>
    <n v="66.789999999999992"/>
    <n v="-0.65999999999999659"/>
  </r>
  <r>
    <x v="331"/>
    <s v="Botswana"/>
    <s v="Gaborone"/>
    <s v="Southern"/>
    <s v="Public"/>
    <n v="197.18"/>
    <n v="203.1"/>
    <n v="-5.9199999999999875"/>
  </r>
  <r>
    <x v="331"/>
    <s v="Madagascar"/>
    <s v="Antananarivo"/>
    <s v="Eastern"/>
    <s v="Public"/>
    <n v="859.08"/>
    <n v="884.85"/>
    <n v="-25.769999999999982"/>
  </r>
  <r>
    <x v="332"/>
    <s v="Liberia"/>
    <s v="Monrovia"/>
    <s v="Western"/>
    <s v="Public"/>
    <n v="778.49"/>
    <n v="724"/>
    <n v="54.490000000000009"/>
  </r>
  <r>
    <x v="332"/>
    <s v="Zimbabwe"/>
    <s v="Harare"/>
    <s v="Eastern"/>
    <s v="Public"/>
    <n v="641.5"/>
    <n v="654.33000000000004"/>
    <n v="-12.830000000000041"/>
  </r>
  <r>
    <x v="333"/>
    <s v="Sierra Leone"/>
    <s v="Freetown"/>
    <s v="Western"/>
    <s v="Residential"/>
    <n v="364.23"/>
    <n v="364.23"/>
    <n v="0"/>
  </r>
  <r>
    <x v="334"/>
    <s v="Niger"/>
    <s v="Niamey"/>
    <s v="Western"/>
    <s v="Commercial"/>
    <n v="958.9"/>
    <n v="997.26"/>
    <n v="-38.360000000000014"/>
  </r>
  <r>
    <x v="335"/>
    <s v="Cote d'Ivoire"/>
    <s v="Yamoussoukro"/>
    <s v="Western"/>
    <s v="Commercial"/>
    <n v="294.18"/>
    <n v="317.71000000000004"/>
    <n v="-23.53000000000003"/>
  </r>
  <r>
    <x v="336"/>
    <s v="Democratic Republic of the Congo"/>
    <s v="Mbuji-Mayi"/>
    <s v="Middle"/>
    <s v="Public"/>
    <n v="698.31"/>
    <n v="712.28"/>
    <n v="-13.970000000000027"/>
  </r>
  <r>
    <x v="337"/>
    <s v="Gabon"/>
    <s v="Libreville"/>
    <s v="Middle"/>
    <s v="Residential"/>
    <n v="692.57"/>
    <n v="692.57"/>
    <n v="0"/>
  </r>
  <r>
    <x v="338"/>
    <s v="Sudan"/>
    <s v="Khartoum"/>
    <s v="Northern"/>
    <s v="Residential"/>
    <n v="984.51"/>
    <n v="954.97"/>
    <n v="29.539999999999964"/>
  </r>
  <r>
    <x v="339"/>
    <s v="Angola"/>
    <s v="Luanda"/>
    <s v="Middle"/>
    <s v="Public"/>
    <n v="573.24"/>
    <n v="613.37"/>
    <n v="-40.129999999999995"/>
  </r>
  <r>
    <x v="340"/>
    <s v="Senegal"/>
    <s v="Dakar"/>
    <s v="Western"/>
    <s v="Commercial"/>
    <n v="699.02"/>
    <n v="719.99"/>
    <n v="-20.970000000000027"/>
  </r>
  <r>
    <x v="341"/>
    <s v="Congo"/>
    <s v="Brazzaville"/>
    <s v="Middle"/>
    <s v="Public"/>
    <n v="59.11"/>
    <n v="54.379999999999995"/>
    <n v="4.730000000000004"/>
  </r>
  <r>
    <x v="341"/>
    <s v="South Africa"/>
    <s v="Johannesburg"/>
    <s v="Southern"/>
    <s v="Residential"/>
    <n v="406.44"/>
    <n v="377.99"/>
    <n v="28.449999999999989"/>
  </r>
  <r>
    <x v="341"/>
    <s v="Tunisia"/>
    <s v="Tunis"/>
    <s v="Northern"/>
    <s v="Residential"/>
    <n v="253.34"/>
    <n v="243.21"/>
    <n v="10.129999999999995"/>
  </r>
  <r>
    <x v="342"/>
    <s v="Burkina Faso"/>
    <s v="Ouagadougou"/>
    <s v="Western"/>
    <s v="Public"/>
    <n v="608.71"/>
    <n v="547.84"/>
    <n v="60.870000000000005"/>
  </r>
  <r>
    <x v="342"/>
    <s v="Eritrea"/>
    <s v="Asmara"/>
    <s v="Eastern"/>
    <s v="Residential"/>
    <n v="699.51"/>
    <n v="706.51"/>
    <n v="-7"/>
  </r>
  <r>
    <x v="342"/>
    <s v="Togo"/>
    <s v="Lome"/>
    <s v="Western"/>
    <s v="Commercial"/>
    <n v="175.47"/>
    <n v="175.47"/>
    <n v="0"/>
  </r>
  <r>
    <x v="343"/>
    <s v="Guinea"/>
    <s v="Conakry"/>
    <s v="Western"/>
    <s v="Commercial"/>
    <n v="371.08"/>
    <n v="374.78999999999996"/>
    <n v="-3.7099999999999795"/>
  </r>
  <r>
    <x v="344"/>
    <s v="South Africa"/>
    <s v="Pretoria"/>
    <s v="Southern"/>
    <s v="Commercial"/>
    <n v="695.93"/>
    <n v="675.05"/>
    <n v="20.879999999999995"/>
  </r>
  <r>
    <x v="345"/>
    <s v="Nigeria"/>
    <s v="Abuja"/>
    <s v="Western"/>
    <s v="Public"/>
    <n v="66.06"/>
    <n v="65.400000000000006"/>
    <n v="0.65999999999999659"/>
  </r>
  <r>
    <x v="346"/>
    <s v="Ghana"/>
    <s v="Kumasi"/>
    <s v="Western"/>
    <s v="Commercial"/>
    <n v="432.15"/>
    <n v="388.92999999999995"/>
    <n v="43.220000000000027"/>
  </r>
  <r>
    <x v="347"/>
    <s v="United Republic of Tanzania"/>
    <s v="Dar es Salaam"/>
    <s v="Eastern"/>
    <s v="Public"/>
    <n v="70.25"/>
    <n v="64.63"/>
    <n v="5.6200000000000045"/>
  </r>
  <r>
    <x v="348"/>
    <s v="Nigeria"/>
    <s v="Lagos"/>
    <s v="Western"/>
    <s v="Public"/>
    <n v="646.36"/>
    <n v="698.07"/>
    <n v="-51.710000000000036"/>
  </r>
  <r>
    <x v="349"/>
    <s v="Morocco"/>
    <s v="Rabat"/>
    <s v="Northern"/>
    <s v="Commercial"/>
    <n v="43.55"/>
    <n v="40.94"/>
    <n v="2.6099999999999994"/>
  </r>
  <r>
    <x v="350"/>
    <s v="Angola"/>
    <s v="Luanda"/>
    <s v="Middle"/>
    <s v="Commercial"/>
    <n v="421.39"/>
    <n v="446.66999999999996"/>
    <n v="-25.279999999999973"/>
  </r>
  <r>
    <x v="350"/>
    <s v="Cameroon"/>
    <s v="Douala"/>
    <s v="Middle"/>
    <s v="Public"/>
    <n v="215.26"/>
    <n v="206.64999999999998"/>
    <n v="8.6100000000000136"/>
  </r>
  <r>
    <x v="351"/>
    <s v="Botswana"/>
    <s v="Gaborone"/>
    <s v="Southern"/>
    <s v="Commercial"/>
    <n v="471.08"/>
    <n v="471.08"/>
    <n v="0"/>
  </r>
  <r>
    <x v="351"/>
    <s v="Egypt"/>
    <s v="Cairo"/>
    <s v="Northern"/>
    <s v="Public"/>
    <n v="435.44"/>
    <n v="413.67"/>
    <n v="21.769999999999982"/>
  </r>
  <r>
    <x v="351"/>
    <s v="Equatorial Guinea"/>
    <s v="Malabo"/>
    <s v="Middle"/>
    <s v="Residential"/>
    <n v="207.77"/>
    <n v="201.54000000000002"/>
    <n v="6.2299999999999898"/>
  </r>
  <r>
    <x v="351"/>
    <s v="Mali"/>
    <s v="Bamako"/>
    <s v="Western"/>
    <s v="Residential"/>
    <n v="242.66"/>
    <n v="223.25"/>
    <n v="19.409999999999997"/>
  </r>
  <r>
    <x v="352"/>
    <s v="Mozambique"/>
    <s v="Maputo"/>
    <s v="Eastern"/>
    <s v="Residential"/>
    <n v="549.94000000000005"/>
    <n v="511.44000000000005"/>
    <n v="38.5"/>
  </r>
  <r>
    <x v="352"/>
    <s v="Zimbabwe"/>
    <s v="Harare"/>
    <s v="Eastern"/>
    <s v="Residential"/>
    <n v="438.85"/>
    <n v="412.52000000000004"/>
    <n v="26.329999999999984"/>
  </r>
  <r>
    <x v="353"/>
    <s v="Malawi"/>
    <s v="Lilongwe"/>
    <s v="Eastern"/>
    <s v="Commercial"/>
    <n v="538.35"/>
    <n v="538.35"/>
    <n v="0"/>
  </r>
  <r>
    <x v="353"/>
    <s v="Mauritius"/>
    <s v="Port Louis"/>
    <s v="Eastern"/>
    <s v="Public"/>
    <n v="444.48"/>
    <n v="431.15000000000003"/>
    <n v="13.329999999999984"/>
  </r>
  <r>
    <x v="354"/>
    <s v="Guinea-Bissau"/>
    <s v="Bissau"/>
    <s v="Western"/>
    <s v="Commercial"/>
    <n v="119.64"/>
    <n v="108.87"/>
    <n v="10.769999999999996"/>
  </r>
  <r>
    <x v="354"/>
    <s v="Sao Tome and Principe"/>
    <s v="Sao Tome"/>
    <s v="Middle"/>
    <s v="Public"/>
    <n v="246.07"/>
    <n v="253.45"/>
    <n v="-7.3799999999999955"/>
  </r>
  <r>
    <x v="354"/>
    <s v="Sierra Leone"/>
    <s v="Freetown"/>
    <s v="Western"/>
    <s v="Public"/>
    <n v="490.82"/>
    <n v="495.73"/>
    <n v="-4.910000000000025"/>
  </r>
  <r>
    <x v="355"/>
    <s v="Swaziland"/>
    <s v="Mbabane"/>
    <s v="Southern"/>
    <s v="Residential"/>
    <n v="276.93"/>
    <n v="263.08"/>
    <n v="13.850000000000023"/>
  </r>
  <r>
    <x v="356"/>
    <s v="Democratic Republic of the Congo"/>
    <s v="Lubumbashi"/>
    <s v="Middle"/>
    <s v="Commercial"/>
    <n v="801.68"/>
    <n v="729.53"/>
    <n v="72.149999999999977"/>
  </r>
  <r>
    <x v="357"/>
    <s v="Burkina Faso"/>
    <s v="Ouagadougou"/>
    <s v="Western"/>
    <s v="Public"/>
    <n v="685.99"/>
    <n v="658.55"/>
    <n v="27.440000000000055"/>
  </r>
  <r>
    <x v="357"/>
    <s v="Liberia"/>
    <s v="Monrovia"/>
    <s v="Western"/>
    <s v="Commercial"/>
    <n v="65.349999999999994"/>
    <n v="66.66"/>
    <n v="-1.3100000000000023"/>
  </r>
  <r>
    <x v="357"/>
    <s v="Seychelles"/>
    <s v="Victoria"/>
    <s v="Eastern"/>
    <s v="Commercial"/>
    <n v="793.93"/>
    <n v="857.43999999999994"/>
    <n v="-63.509999999999991"/>
  </r>
  <r>
    <x v="357"/>
    <s v="South Africa"/>
    <s v="Johannesburg"/>
    <s v="Southern"/>
    <s v="Residential"/>
    <n v="664.97"/>
    <n v="704.87"/>
    <n v="-39.899999999999977"/>
  </r>
  <r>
    <x v="357"/>
    <s v="Sudan"/>
    <s v="Khartoum"/>
    <s v="Northern"/>
    <s v="Residential"/>
    <n v="982.34"/>
    <n v="943.05000000000007"/>
    <n v="39.289999999999964"/>
  </r>
  <r>
    <x v="358"/>
    <s v="Congo"/>
    <s v="Brazzaville"/>
    <s v="Middle"/>
    <s v="Commercial"/>
    <n v="850.34"/>
    <n v="765.31000000000006"/>
    <n v="85.029999999999973"/>
  </r>
  <r>
    <x v="358"/>
    <s v="Djibouti"/>
    <s v="Djibouti"/>
    <s v="Eastern"/>
    <s v="Public"/>
    <n v="833.21"/>
    <n v="816.55000000000007"/>
    <n v="16.659999999999968"/>
  </r>
  <r>
    <x v="358"/>
    <s v="Malawi"/>
    <s v="Blantyre"/>
    <s v="Eastern"/>
    <s v="Residential"/>
    <n v="74.760000000000005"/>
    <n v="80.740000000000009"/>
    <n v="-5.980000000000004"/>
  </r>
  <r>
    <x v="359"/>
    <s v="Gabon"/>
    <s v="Libreville"/>
    <s v="Middle"/>
    <s v="Public"/>
    <n v="46.01"/>
    <n v="41.41"/>
    <n v="4.6000000000000014"/>
  </r>
  <r>
    <x v="359"/>
    <s v="Ghana"/>
    <s v="Kumasi"/>
    <s v="Western"/>
    <s v="Public"/>
    <n v="992.12"/>
    <n v="972.28"/>
    <n v="19.840000000000032"/>
  </r>
  <r>
    <x v="359"/>
    <s v="Nigeria"/>
    <s v="Kano"/>
    <s v="Western"/>
    <s v="Public"/>
    <n v="364.23"/>
    <n v="342.38"/>
    <n v="21.850000000000023"/>
  </r>
  <r>
    <x v="360"/>
    <s v="Madagascar"/>
    <s v="Antananarivo"/>
    <s v="Eastern"/>
    <s v="Public"/>
    <n v="134.01"/>
    <n v="128.64999999999998"/>
    <n v="5.3600000000000136"/>
  </r>
  <r>
    <x v="361"/>
    <s v="Burundi"/>
    <s v="Bujumbura"/>
    <s v="Eastern"/>
    <s v="Commercial"/>
    <n v="118.96"/>
    <n v="121.33999999999999"/>
    <n v="-2.3799999999999955"/>
  </r>
  <r>
    <x v="361"/>
    <s v="Namibia"/>
    <s v="Windhoek"/>
    <s v="Southern"/>
    <s v="Commercial"/>
    <n v="927.03"/>
    <n v="880.68"/>
    <n v="46.350000000000023"/>
  </r>
  <r>
    <x v="361"/>
    <s v="Zambia"/>
    <s v="Lusaka"/>
    <s v="Eastern"/>
    <s v="Public"/>
    <n v="182.1"/>
    <n v="183.92"/>
    <n v="-1.8199999999999932"/>
  </r>
  <r>
    <x v="362"/>
    <s v="Central African Republic"/>
    <s v="Bangui"/>
    <s v="Middle"/>
    <s v="Residential"/>
    <n v="743.9"/>
    <n v="691.82999999999993"/>
    <n v="52.07000000000005"/>
  </r>
  <r>
    <x v="362"/>
    <s v="South Sudan"/>
    <s v="Juba"/>
    <s v="Eastern"/>
    <s v="Commercial"/>
    <n v="619.94000000000005"/>
    <n v="669.54000000000008"/>
    <n v="-49.600000000000023"/>
  </r>
  <r>
    <x v="362"/>
    <s v="Tunisia"/>
    <s v="Tunis"/>
    <s v="Northern"/>
    <s v="Public"/>
    <n v="272.94"/>
    <n v="245.65"/>
    <n v="27.289999999999992"/>
  </r>
  <r>
    <x v="363"/>
    <s v="Algeria"/>
    <s v="Algiers"/>
    <s v="Northern"/>
    <s v="Commercial"/>
    <n v="477.01"/>
    <n v="481.78"/>
    <n v="-4.7699999999999818"/>
  </r>
  <r>
    <x v="363"/>
    <s v="Democratic Republic of the Congo"/>
    <s v="Mbuji-Mayi"/>
    <s v="Middle"/>
    <s v="Public"/>
    <n v="897.4"/>
    <n v="807.66"/>
    <n v="89.740000000000009"/>
  </r>
  <r>
    <x v="364"/>
    <s v="Lesotho"/>
    <s v="Maseru"/>
    <s v="Southern"/>
    <s v="Residential"/>
    <n v="264.39999999999998"/>
    <n v="240.59999999999997"/>
    <n v="23.800000000000011"/>
  </r>
  <r>
    <x v="364"/>
    <s v="Rwanda"/>
    <s v="Kigali"/>
    <s v="Eastern"/>
    <s v="Residential"/>
    <n v="543.44000000000005"/>
    <n v="510.83000000000004"/>
    <n v="32.610000000000014"/>
  </r>
  <r>
    <x v="365"/>
    <s v="Eritrea"/>
    <s v="Asmara"/>
    <s v="Eastern"/>
    <s v="Commercial"/>
    <n v="506.01"/>
    <n v="455.40999999999997"/>
    <n v="50.600000000000023"/>
  </r>
  <r>
    <x v="365"/>
    <s v="Nigeria"/>
    <s v="Ibadan"/>
    <s v="Western"/>
    <s v="Commercial"/>
    <n v="113.28"/>
    <n v="122.34"/>
    <n v="-9.0600000000000023"/>
  </r>
  <r>
    <x v="365"/>
    <s v="Western Sahara"/>
    <s v="Dakhla"/>
    <s v="Northern"/>
    <s v="Residential"/>
    <n v="388.17"/>
    <n v="368.76"/>
    <n v="19.410000000000025"/>
  </r>
  <r>
    <x v="366"/>
    <s v="Kenya"/>
    <s v="Nairobi"/>
    <s v="Eastern"/>
    <s v="Public"/>
    <n v="344.77"/>
    <n v="358.56"/>
    <n v="-13.79000000000002"/>
  </r>
  <r>
    <x v="367"/>
    <s v="Ghana"/>
    <s v="Accra"/>
    <s v="Western"/>
    <s v="Public"/>
    <n v="797"/>
    <n v="717.3"/>
    <n v="79.700000000000045"/>
  </r>
  <r>
    <x v="367"/>
    <s v="Mauritania"/>
    <s v="Nouakchott"/>
    <s v="Western"/>
    <s v="Residential"/>
    <n v="308.86"/>
    <n v="324.3"/>
    <n v="-15.439999999999998"/>
  </r>
  <r>
    <x v="368"/>
    <s v="Libya"/>
    <s v="Tripoli"/>
    <s v="Northern"/>
    <s v="Commercial"/>
    <n v="492.08"/>
    <n v="521.6"/>
    <n v="-29.520000000000039"/>
  </r>
  <r>
    <x v="369"/>
    <s v="Democratic Republic of the Congo"/>
    <s v="Kinshasa"/>
    <s v="Middle"/>
    <s v="Residential"/>
    <n v="98.66"/>
    <n v="95.7"/>
    <n v="2.9599999999999937"/>
  </r>
  <r>
    <x v="369"/>
    <s v="Ethiopia"/>
    <s v="Addis Ababa"/>
    <s v="Eastern"/>
    <s v="Residential"/>
    <n v="447.81"/>
    <n v="443.33"/>
    <n v="4.4800000000000182"/>
  </r>
  <r>
    <x v="369"/>
    <s v="Nigeria"/>
    <s v="Lagos"/>
    <s v="Western"/>
    <s v="Public"/>
    <n v="309.47000000000003"/>
    <n v="318.75"/>
    <n v="-9.2799999999999727"/>
  </r>
  <r>
    <x v="369"/>
    <s v="Senegal"/>
    <s v="Dakar"/>
    <s v="Western"/>
    <s v="Public"/>
    <n v="153.18"/>
    <n v="139.39000000000001"/>
    <n v="13.789999999999992"/>
  </r>
  <r>
    <x v="370"/>
    <s v="Benin"/>
    <s v="Cotonou"/>
    <s v="Western"/>
    <s v="Commercial"/>
    <n v="400.69"/>
    <n v="364.63"/>
    <n v="36.06"/>
  </r>
  <r>
    <x v="370"/>
    <s v="Cote d'Ivoire"/>
    <s v="Abidjan"/>
    <s v="Western"/>
    <s v="Commercial"/>
    <n v="783.96"/>
    <n v="799.64"/>
    <n v="-15.67999999999995"/>
  </r>
  <r>
    <x v="370"/>
    <s v="Cote d'Ivoire"/>
    <s v="Yamoussoukro"/>
    <s v="Western"/>
    <s v="Public"/>
    <n v="961.4"/>
    <n v="1028.7"/>
    <n v="-67.300000000000068"/>
  </r>
  <r>
    <x v="370"/>
    <s v="Morocco"/>
    <s v="Rabat"/>
    <s v="Northern"/>
    <s v="Commercial"/>
    <n v="101.49"/>
    <n v="93.36999999999999"/>
    <n v="8.1200000000000045"/>
  </r>
  <r>
    <x v="370"/>
    <s v="Togo"/>
    <s v="Lome"/>
    <s v="Western"/>
    <s v="Residential"/>
    <n v="366.52"/>
    <n v="329.87"/>
    <n v="36.649999999999977"/>
  </r>
  <r>
    <x v="371"/>
    <s v="Benin"/>
    <s v="Porto-Novo"/>
    <s v="Western"/>
    <s v="Commercial"/>
    <n v="285.95999999999998"/>
    <n v="277.38"/>
    <n v="8.5799999999999841"/>
  </r>
  <r>
    <x v="371"/>
    <s v="Nigeria"/>
    <s v="Abuja"/>
    <s v="Western"/>
    <s v="Public"/>
    <n v="357.36"/>
    <n v="364.51"/>
    <n v="-7.1499999999999773"/>
  </r>
  <r>
    <x v="371"/>
    <s v="Uganda"/>
    <s v="Kampala"/>
    <s v="Eastern"/>
    <s v="Public"/>
    <n v="455.3"/>
    <n v="473.51"/>
    <n v="-18.20999999999998"/>
  </r>
  <r>
    <x v="371"/>
    <s v="United Republic of Tanzania"/>
    <s v="Dar es Salaam"/>
    <s v="Eastern"/>
    <s v="Commercial"/>
    <n v="661.42"/>
    <n v="654.80999999999995"/>
    <n v="6.6100000000000136"/>
  </r>
  <r>
    <x v="372"/>
    <s v="Guinea"/>
    <s v="Conakry"/>
    <s v="Western"/>
    <s v="Public"/>
    <n v="784.48"/>
    <n v="823.7"/>
    <n v="-39.220000000000027"/>
  </r>
  <r>
    <x v="372"/>
    <s v="Niger"/>
    <s v="Niamey"/>
    <s v="Western"/>
    <s v="Public"/>
    <n v="815.71"/>
    <n v="848.34"/>
    <n v="-32.629999999999995"/>
  </r>
  <r>
    <x v="372"/>
    <s v="South Africa"/>
    <s v="Durban"/>
    <s v="Southern"/>
    <s v="Residential"/>
    <n v="162"/>
    <n v="152.28"/>
    <n v="9.7199999999999989"/>
  </r>
  <r>
    <x v="373"/>
    <s v="Cameroon"/>
    <s v="Yaoundé"/>
    <s v="Middle"/>
    <s v="Public"/>
    <n v="984.72"/>
    <n v="905.94"/>
    <n v="78.779999999999973"/>
  </r>
  <r>
    <x v="373"/>
    <s v="Chad"/>
    <s v="N'Djamena"/>
    <s v="Middle"/>
    <s v="Residential"/>
    <n v="112.67"/>
    <n v="117.18"/>
    <n v="-4.5100000000000051"/>
  </r>
  <r>
    <x v="373"/>
    <s v="South Africa"/>
    <s v="Pretoria"/>
    <s v="Southern"/>
    <s v="Commercial"/>
    <n v="621.79"/>
    <n v="603.14"/>
    <n v="18.649999999999977"/>
  </r>
  <r>
    <x v="374"/>
    <s v="Sudan"/>
    <s v="Khartoum"/>
    <s v="Northern"/>
    <s v="Public"/>
    <n v="209.66"/>
    <n v="194.98"/>
    <n v="14.680000000000007"/>
  </r>
  <r>
    <x v="375"/>
    <s v="Somalia"/>
    <s v="Mogadishu"/>
    <s v="Eastern"/>
    <s v="Commercial"/>
    <n v="985.13"/>
    <n v="926.02"/>
    <n v="59.110000000000014"/>
  </r>
  <r>
    <x v="375"/>
    <s v="South Africa"/>
    <s v="Cape Town"/>
    <s v="Southern"/>
    <s v="Residential"/>
    <n v="90.93"/>
    <n v="96.39"/>
    <n v="-5.4599999999999937"/>
  </r>
  <r>
    <x v="376"/>
    <s v="Malawi"/>
    <s v="Blantyre"/>
    <s v="Eastern"/>
    <s v="Commercial"/>
    <n v="420.39"/>
    <n v="445.61"/>
    <n v="-25.220000000000027"/>
  </r>
  <r>
    <x v="377"/>
    <s v="Tunisia"/>
    <s v="Tunis"/>
    <s v="Northern"/>
    <s v="Public"/>
    <n v="22.19"/>
    <n v="22.860000000000003"/>
    <n v="-0.67000000000000171"/>
  </r>
  <r>
    <x v="378"/>
    <s v="South Africa"/>
    <s v="Johannesburg"/>
    <s v="Southern"/>
    <s v="Commercial"/>
    <n v="313.10000000000002"/>
    <n v="288.05"/>
    <n v="25.050000000000011"/>
  </r>
  <r>
    <x v="379"/>
    <s v="Togo"/>
    <s v="Lome"/>
    <s v="Western"/>
    <s v="Residential"/>
    <n v="354.5"/>
    <n v="350.95"/>
    <n v="3.5500000000000114"/>
  </r>
  <r>
    <x v="380"/>
    <s v="Algeria"/>
    <s v="Algiers"/>
    <s v="Northern"/>
    <s v="Residential"/>
    <n v="120.45"/>
    <n v="120.45"/>
    <n v="0"/>
  </r>
  <r>
    <x v="381"/>
    <s v="Eritrea"/>
    <s v="Asmara"/>
    <s v="Eastern"/>
    <s v="Public"/>
    <n v="326.44"/>
    <n v="300.32"/>
    <n v="26.120000000000005"/>
  </r>
  <r>
    <x v="382"/>
    <s v="Ethiopia"/>
    <s v="Addis Ababa"/>
    <s v="Eastern"/>
    <s v="Commercial"/>
    <n v="151.22999999999999"/>
    <n v="163.32999999999998"/>
    <n v="-12.099999999999994"/>
  </r>
  <r>
    <x v="383"/>
    <s v="Mauritania"/>
    <s v="Nouakchott"/>
    <s v="Western"/>
    <s v="Public"/>
    <n v="630.95000000000005"/>
    <n v="624.6400000000001"/>
    <n v="6.3099999999999454"/>
  </r>
  <r>
    <x v="383"/>
    <s v="Nigeria"/>
    <s v="Ibadan"/>
    <s v="Western"/>
    <s v="Commercial"/>
    <n v="450.53"/>
    <n v="486.57"/>
    <n v="-36.04000000000002"/>
  </r>
  <r>
    <x v="384"/>
    <s v="Libya"/>
    <s v="Tripoli"/>
    <s v="Northern"/>
    <s v="Commercial"/>
    <n v="139.11000000000001"/>
    <n v="133.55000000000001"/>
    <n v="5.5600000000000023"/>
  </r>
  <r>
    <x v="385"/>
    <s v="Zimbabwe"/>
    <s v="Harare"/>
    <s v="Eastern"/>
    <s v="Public"/>
    <n v="574.87"/>
    <n v="574.87"/>
    <n v="0"/>
  </r>
  <r>
    <x v="386"/>
    <s v="Uganda"/>
    <s v="Kampala"/>
    <s v="Eastern"/>
    <s v="Residential"/>
    <n v="608.24"/>
    <n v="583.91"/>
    <n v="24.330000000000041"/>
  </r>
  <r>
    <x v="387"/>
    <s v="Seychelles"/>
    <s v="Victoria"/>
    <s v="Eastern"/>
    <s v="Residential"/>
    <n v="680.76"/>
    <n v="714.8"/>
    <n v="-34.039999999999964"/>
  </r>
  <r>
    <x v="388"/>
    <s v="South Sudan"/>
    <s v="Juba"/>
    <s v="Eastern"/>
    <s v="Residential"/>
    <n v="720.2"/>
    <n v="741.81000000000006"/>
    <n v="-21.610000000000014"/>
  </r>
  <r>
    <x v="389"/>
    <s v="Congo"/>
    <s v="Brazzaville"/>
    <s v="Middle"/>
    <s v="Residential"/>
    <n v="641.22"/>
    <n v="647.63"/>
    <n v="-6.4099999999999682"/>
  </r>
  <r>
    <x v="390"/>
    <s v="Democratic Republic of the Congo"/>
    <s v="Kinshasa"/>
    <s v="Middle"/>
    <s v="Commercial"/>
    <n v="473.92"/>
    <n v="426.53000000000003"/>
    <n v="47.389999999999986"/>
  </r>
  <r>
    <x v="391"/>
    <s v="Madagascar"/>
    <s v="Antananarivo"/>
    <s v="Eastern"/>
    <s v="Public"/>
    <n v="982.91"/>
    <n v="992.74"/>
    <n v="-9.8300000000000409"/>
  </r>
  <r>
    <x v="392"/>
    <s v="Mali"/>
    <s v="Bamako"/>
    <s v="Western"/>
    <s v="Commercial"/>
    <n v="840.9"/>
    <n v="899.76"/>
    <n v="-58.860000000000014"/>
  </r>
  <r>
    <x v="393"/>
    <s v="Liberia"/>
    <s v="Monrovia"/>
    <s v="Western"/>
    <s v="Public"/>
    <n v="685.47"/>
    <n v="733.45"/>
    <n v="-47.980000000000018"/>
  </r>
  <r>
    <x v="394"/>
    <s v="Cameroon"/>
    <s v="Douala"/>
    <s v="Middle"/>
    <s v="Public"/>
    <n v="75.02"/>
    <n v="78.02"/>
    <n v="-3"/>
  </r>
  <r>
    <x v="395"/>
    <s v="Niger"/>
    <s v="Niamey"/>
    <s v="Western"/>
    <s v="Public"/>
    <n v="594.23"/>
    <n v="606.11"/>
    <n v="-11.879999999999995"/>
  </r>
  <r>
    <x v="395"/>
    <s v="South Africa"/>
    <s v="Pretoria"/>
    <s v="Southern"/>
    <s v="Residential"/>
    <n v="976.2"/>
    <n v="1005.49"/>
    <n v="-29.289999999999964"/>
  </r>
  <r>
    <x v="396"/>
    <s v="Ghana"/>
    <s v="Kumasi"/>
    <s v="Western"/>
    <s v="Commercial"/>
    <n v="450.76"/>
    <n v="468.78999999999996"/>
    <n v="-18.029999999999973"/>
  </r>
  <r>
    <x v="397"/>
    <s v="Chad"/>
    <s v="N'Djamena"/>
    <s v="Middle"/>
    <s v="Public"/>
    <n v="157.34"/>
    <n v="163.63"/>
    <n v="-6.289999999999992"/>
  </r>
  <r>
    <x v="398"/>
    <s v="Swaziland"/>
    <s v="Mbabane"/>
    <s v="Southern"/>
    <s v="Residential"/>
    <n v="242.06"/>
    <n v="227.54"/>
    <n v="14.52000000000001"/>
  </r>
  <r>
    <x v="399"/>
    <s v="Burkina Faso"/>
    <s v="Ouagadougou"/>
    <s v="Western"/>
    <s v="Commercial"/>
    <n v="684.08"/>
    <n v="677.24"/>
    <n v="6.8400000000000318"/>
  </r>
  <r>
    <x v="400"/>
    <s v="Cote d'Ivoire"/>
    <s v="Yamoussoukro"/>
    <s v="Western"/>
    <s v="Commercial"/>
    <n v="736.04"/>
    <n v="787.56"/>
    <n v="-51.519999999999982"/>
  </r>
  <r>
    <x v="401"/>
    <s v="Cameroon"/>
    <s v="Yaoundé"/>
    <s v="Middle"/>
    <s v="Commercial"/>
    <n v="735.16"/>
    <n v="757.20999999999992"/>
    <n v="-22.049999999999955"/>
  </r>
  <r>
    <x v="401"/>
    <s v="Central African Republic"/>
    <s v="Bangui"/>
    <s v="Middle"/>
    <s v="Commercial"/>
    <n v="595.08000000000004"/>
    <n v="589.13"/>
    <n v="5.9500000000000455"/>
  </r>
  <r>
    <x v="402"/>
    <s v="Mozambique"/>
    <s v="Maputo"/>
    <s v="Eastern"/>
    <s v="Commercial"/>
    <n v="994.49"/>
    <n v="1054.1600000000001"/>
    <n v="-59.670000000000073"/>
  </r>
  <r>
    <x v="403"/>
    <s v="Djibouti"/>
    <s v="Djibouti"/>
    <s v="Eastern"/>
    <s v="Public"/>
    <n v="607.79999999999995"/>
    <n v="613.88"/>
    <n v="-6.0800000000000409"/>
  </r>
  <r>
    <x v="404"/>
    <s v="Mauritius"/>
    <s v="Port Louis"/>
    <s v="Eastern"/>
    <s v="Commercial"/>
    <n v="387.66"/>
    <n v="410.92"/>
    <n v="-23.259999999999991"/>
  </r>
  <r>
    <x v="405"/>
    <s v="South Africa"/>
    <s v="Cape Town"/>
    <s v="Southern"/>
    <s v="Residential"/>
    <n v="742.01"/>
    <n v="764.27"/>
    <n v="-22.259999999999991"/>
  </r>
  <r>
    <x v="406"/>
    <s v="Namibia"/>
    <s v="Windhoek"/>
    <s v="Southern"/>
    <s v="Residential"/>
    <n v="999.08"/>
    <n v="979.1"/>
    <n v="19.980000000000018"/>
  </r>
  <r>
    <x v="407"/>
    <s v="Benin"/>
    <s v="Cotonou"/>
    <s v="Western"/>
    <s v="Commercial"/>
    <n v="852.18"/>
    <n v="877.75"/>
    <n v="-25.57000000000005"/>
  </r>
  <r>
    <x v="408"/>
    <s v="Morocco"/>
    <s v="Rabat"/>
    <s v="Northern"/>
    <s v="Public"/>
    <n v="567.89"/>
    <n v="545.16999999999996"/>
    <n v="22.720000000000027"/>
  </r>
  <r>
    <x v="409"/>
    <s v="Nigeria"/>
    <s v="Kano"/>
    <s v="Western"/>
    <s v="Residential"/>
    <n v="270.48"/>
    <n v="267.78000000000003"/>
    <n v="2.6999999999999886"/>
  </r>
  <r>
    <x v="410"/>
    <s v="South Africa"/>
    <s v="Durban"/>
    <s v="Southern"/>
    <s v="Commercial"/>
    <n v="827.47"/>
    <n v="819.2"/>
    <n v="8.2699999999999818"/>
  </r>
  <r>
    <x v="411"/>
    <s v="Egypt"/>
    <s v="Cairo"/>
    <s v="Northern"/>
    <s v="Commercial"/>
    <n v="87.64"/>
    <n v="81.510000000000005"/>
    <n v="6.1299999999999955"/>
  </r>
  <r>
    <x v="411"/>
    <s v="Somalia"/>
    <s v="Mogadishu"/>
    <s v="Eastern"/>
    <s v="Public"/>
    <n v="680.68"/>
    <n v="694.29"/>
    <n v="-13.610000000000014"/>
  </r>
  <r>
    <x v="412"/>
    <s v="Lesotho"/>
    <s v="Maseru"/>
    <s v="Southern"/>
    <s v="Commercial"/>
    <n v="716.33"/>
    <n v="680.51"/>
    <n v="35.82000000000005"/>
  </r>
  <r>
    <x v="412"/>
    <s v="Sao Tome and Principe"/>
    <s v="Sao Tome"/>
    <s v="Middle"/>
    <s v="Residential"/>
    <n v="888.09"/>
    <n v="950.26"/>
    <n v="-62.169999999999959"/>
  </r>
  <r>
    <x v="413"/>
    <s v="Benin"/>
    <s v="Porto-Novo"/>
    <s v="Western"/>
    <s v="Residential"/>
    <n v="21.32"/>
    <n v="20.68"/>
    <n v="0.64000000000000057"/>
  </r>
  <r>
    <x v="414"/>
    <s v="Gabon"/>
    <s v="Libreville"/>
    <s v="Middle"/>
    <s v="Commercial"/>
    <n v="677.66"/>
    <n v="711.54"/>
    <n v="-33.879999999999995"/>
  </r>
  <r>
    <x v="415"/>
    <s v="Morocco"/>
    <s v="Rabat"/>
    <s v="Northern"/>
    <s v="Public"/>
    <n v="558.96"/>
    <n v="553.37"/>
    <n v="5.5900000000000318"/>
  </r>
  <r>
    <x v="415"/>
    <s v="Sierra Leone"/>
    <s v="Freetown"/>
    <s v="Western"/>
    <s v="Commercial"/>
    <n v="810.91"/>
    <n v="843.34999999999991"/>
    <n v="-32.439999999999941"/>
  </r>
  <r>
    <x v="415"/>
    <s v="Uganda"/>
    <s v="Kampala"/>
    <s v="Eastern"/>
    <s v="Commercial"/>
    <n v="830.39"/>
    <n v="871.91"/>
    <n v="-41.519999999999982"/>
  </r>
  <r>
    <x v="416"/>
    <s v="Kenya"/>
    <s v="Nairobi"/>
    <s v="Eastern"/>
    <s v="Residential"/>
    <n v="341.84"/>
    <n v="307.65999999999997"/>
    <n v="34.180000000000007"/>
  </r>
  <r>
    <x v="417"/>
    <s v="Cameroon"/>
    <s v="Douala"/>
    <s v="Middle"/>
    <s v="Public"/>
    <n v="275.11"/>
    <n v="286.11"/>
    <n v="-11"/>
  </r>
  <r>
    <x v="418"/>
    <s v="Democratic Republic of the Congo"/>
    <s v="Mbuji-Mayi"/>
    <s v="Middle"/>
    <s v="Residential"/>
    <n v="322.89"/>
    <n v="316.43"/>
    <n v="6.4599999999999795"/>
  </r>
  <r>
    <x v="418"/>
    <s v="United Republic of Tanzania"/>
    <s v="Dar es Salaam"/>
    <s v="Eastern"/>
    <s v="Residential"/>
    <n v="98.4"/>
    <n v="94.460000000000008"/>
    <n v="3.9399999999999977"/>
  </r>
  <r>
    <x v="418"/>
    <s v="Zimbabwe"/>
    <s v="Harare"/>
    <s v="Eastern"/>
    <s v="Commercial"/>
    <n v="954.5"/>
    <n v="992.68"/>
    <n v="-38.17999999999995"/>
  </r>
  <r>
    <x v="419"/>
    <s v="Guinea-Bissau"/>
    <s v="Bissau"/>
    <s v="Western"/>
    <s v="Public"/>
    <n v="223.93"/>
    <n v="219.45000000000002"/>
    <n v="4.4799999999999898"/>
  </r>
  <r>
    <x v="420"/>
    <s v="South Africa"/>
    <s v="Pretoria"/>
    <s v="Southern"/>
    <s v="Public"/>
    <n v="771.25"/>
    <n v="786.68"/>
    <n v="-15.42999999999995"/>
  </r>
  <r>
    <x v="421"/>
    <s v="Gabon"/>
    <s v="Libreville"/>
    <s v="Middle"/>
    <s v="Commercial"/>
    <n v="594.69000000000005"/>
    <n v="553.06000000000006"/>
    <n v="41.629999999999995"/>
  </r>
  <r>
    <x v="421"/>
    <s v="Namibia"/>
    <s v="Windhoek"/>
    <s v="Southern"/>
    <s v="Residential"/>
    <n v="850.46"/>
    <n v="909.99"/>
    <n v="-59.529999999999973"/>
  </r>
  <r>
    <x v="422"/>
    <s v="Sudan"/>
    <s v="Khartoum"/>
    <s v="Northern"/>
    <s v="Public"/>
    <n v="434.22"/>
    <n v="399.48"/>
    <n v="34.740000000000009"/>
  </r>
  <r>
    <x v="423"/>
    <s v="Ghana"/>
    <s v="Accra"/>
    <s v="Western"/>
    <s v="Residential"/>
    <n v="792.14"/>
    <n v="847.59"/>
    <n v="-55.450000000000045"/>
  </r>
  <r>
    <x v="424"/>
    <s v="Western Sahara"/>
    <s v="Dakhla"/>
    <s v="Northern"/>
    <s v="Public"/>
    <n v="440.26"/>
    <n v="427.05"/>
    <n v="13.20999999999998"/>
  </r>
  <r>
    <x v="425"/>
    <s v="Mauritania"/>
    <s v="Nouakchott"/>
    <s v="Western"/>
    <s v="Commercial"/>
    <n v="356.89"/>
    <n v="374.72999999999996"/>
    <n v="-17.839999999999975"/>
  </r>
  <r>
    <x v="426"/>
    <s v="Sierra Leone"/>
    <s v="Freetown"/>
    <s v="Western"/>
    <s v="Commercial"/>
    <n v="34.82"/>
    <n v="35.520000000000003"/>
    <n v="-0.70000000000000284"/>
  </r>
  <r>
    <x v="427"/>
    <s v="Democratic Republic of the Congo"/>
    <s v="Lubumbashi"/>
    <s v="Middle"/>
    <s v="Public"/>
    <n v="788.56"/>
    <n v="796.44999999999993"/>
    <n v="-7.8899999999999864"/>
  </r>
  <r>
    <x v="427"/>
    <s v="Rwanda"/>
    <s v="Kigali"/>
    <s v="Eastern"/>
    <s v="Commercial"/>
    <n v="744.47"/>
    <n v="737.03"/>
    <n v="7.4400000000000546"/>
  </r>
  <r>
    <x v="428"/>
    <s v="Botswana"/>
    <s v="Gaborone"/>
    <s v="Southern"/>
    <s v="Public"/>
    <n v="800.32"/>
    <n v="848.34"/>
    <n v="-48.019999999999982"/>
  </r>
  <r>
    <x v="429"/>
    <s v="Angola"/>
    <s v="Luanda"/>
    <s v="Middle"/>
    <s v="Public"/>
    <n v="39.799999999999997"/>
    <n v="42.98"/>
    <n v="-3.1799999999999997"/>
  </r>
  <r>
    <x v="429"/>
    <s v="Djibouti"/>
    <s v="Djibouti"/>
    <s v="Eastern"/>
    <s v="Public"/>
    <n v="306.88"/>
    <n v="331.43"/>
    <n v="-24.550000000000011"/>
  </r>
  <r>
    <x v="429"/>
    <s v="Kenya"/>
    <s v="Nairobi"/>
    <s v="Eastern"/>
    <s v="Residential"/>
    <n v="846.55"/>
    <n v="838.07999999999993"/>
    <n v="8.4700000000000273"/>
  </r>
  <r>
    <x v="430"/>
    <s v="Burundi"/>
    <s v="Bujumbura"/>
    <s v="Eastern"/>
    <s v="Residential"/>
    <n v="785.12"/>
    <n v="745.86"/>
    <n v="39.259999999999991"/>
  </r>
  <r>
    <x v="431"/>
    <s v="Ghana"/>
    <s v="Accra"/>
    <s v="Western"/>
    <s v="Commercial"/>
    <n v="527.38"/>
    <n v="553.75"/>
    <n v="-26.370000000000005"/>
  </r>
  <r>
    <x v="431"/>
    <s v="Guinea"/>
    <s v="Conakry"/>
    <s v="Western"/>
    <s v="Public"/>
    <n v="314.44"/>
    <n v="286.14"/>
    <n v="28.300000000000011"/>
  </r>
  <r>
    <x v="432"/>
    <s v="Guinea"/>
    <s v="Conakry"/>
    <s v="Western"/>
    <s v="Public"/>
    <n v="949.91"/>
    <n v="997.41"/>
    <n v="-47.5"/>
  </r>
  <r>
    <x v="432"/>
    <s v="Mozambique"/>
    <s v="Maputo"/>
    <s v="Eastern"/>
    <s v="Public"/>
    <n v="783.49"/>
    <n v="783.49"/>
    <n v="0"/>
  </r>
  <r>
    <x v="432"/>
    <s v="Senegal"/>
    <s v="Dakar"/>
    <s v="Western"/>
    <s v="Public"/>
    <n v="252.82"/>
    <n v="230.07"/>
    <n v="22.75"/>
  </r>
  <r>
    <x v="433"/>
    <s v="Equatorial Guinea"/>
    <s v="Malabo"/>
    <s v="Middle"/>
    <s v="Commercial"/>
    <n v="497.89"/>
    <n v="487.93"/>
    <n v="9.9599999999999795"/>
  </r>
  <r>
    <x v="434"/>
    <s v="Democratic Republic of the Congo"/>
    <s v="Lubumbashi"/>
    <s v="Middle"/>
    <s v="Commercial"/>
    <n v="119.01"/>
    <n v="116.63000000000001"/>
    <n v="2.3799999999999955"/>
  </r>
  <r>
    <x v="435"/>
    <s v="Niger"/>
    <s v="Niamey"/>
    <s v="Western"/>
    <s v="Commercial"/>
    <n v="389.73"/>
    <n v="405.32"/>
    <n v="-15.589999999999975"/>
  </r>
  <r>
    <x v="436"/>
    <s v="Cote d'Ivoire"/>
    <s v="Abidjan"/>
    <s v="Western"/>
    <s v="Public"/>
    <n v="510.55"/>
    <n v="479.92"/>
    <n v="30.629999999999995"/>
  </r>
  <r>
    <x v="437"/>
    <s v="Democratic Republic of the Congo"/>
    <s v="Kinshasa"/>
    <s v="Middle"/>
    <s v="Residential"/>
    <n v="678.29"/>
    <n v="705.42"/>
    <n v="-27.129999999999995"/>
  </r>
  <r>
    <x v="437"/>
    <s v="Sudan"/>
    <s v="Khartoum"/>
    <s v="Northern"/>
    <s v="Residential"/>
    <n v="504.53"/>
    <n v="504.53"/>
    <n v="0"/>
  </r>
  <r>
    <x v="438"/>
    <s v="Guinea-Bissau"/>
    <s v="Bissau"/>
    <s v="Western"/>
    <s v="Commercial"/>
    <n v="544.96"/>
    <n v="561.31000000000006"/>
    <n v="-16.350000000000023"/>
  </r>
  <r>
    <x v="439"/>
    <s v="Zambia"/>
    <s v="Lusaka"/>
    <s v="Eastern"/>
    <s v="Residential"/>
    <n v="820.85"/>
    <n v="763.39"/>
    <n v="57.460000000000036"/>
  </r>
  <r>
    <x v="440"/>
    <s v="Egypt"/>
    <s v="Cairo"/>
    <s v="Northern"/>
    <s v="Commercial"/>
    <n v="892.07"/>
    <n v="918.83"/>
    <n v="-26.759999999999991"/>
  </r>
  <r>
    <x v="441"/>
    <s v="Mauritius"/>
    <s v="Port Louis"/>
    <s v="Eastern"/>
    <s v="Public"/>
    <n v="25.6"/>
    <n v="23.810000000000002"/>
    <n v="1.7899999999999991"/>
  </r>
  <r>
    <x v="441"/>
    <s v="South Africa"/>
    <s v="Cape Town"/>
    <s v="Southern"/>
    <s v="Residential"/>
    <n v="407.34"/>
    <n v="366.60999999999996"/>
    <n v="40.730000000000018"/>
  </r>
  <r>
    <x v="442"/>
    <s v="Sudan"/>
    <s v="Khartoum"/>
    <s v="Northern"/>
    <s v="Public"/>
    <n v="211.45"/>
    <n v="213.56"/>
    <n v="-2.1100000000000136"/>
  </r>
  <r>
    <x v="443"/>
    <s v="Rwanda"/>
    <s v="Kigali"/>
    <s v="Eastern"/>
    <s v="Commercial"/>
    <n v="362.13"/>
    <n v="358.51"/>
    <n v="3.6200000000000045"/>
  </r>
  <r>
    <x v="444"/>
    <s v="Nigeria"/>
    <s v="Abuja"/>
    <s v="Western"/>
    <s v="Residential"/>
    <n v="860.98"/>
    <n v="817.93000000000006"/>
    <n v="43.049999999999955"/>
  </r>
  <r>
    <x v="445"/>
    <s v="Zambia"/>
    <s v="Lusaka"/>
    <s v="Eastern"/>
    <s v="Public"/>
    <n v="933.98"/>
    <n v="896.62"/>
    <n v="37.360000000000014"/>
  </r>
  <r>
    <x v="446"/>
    <s v="Nigeria"/>
    <s v="Lagos"/>
    <s v="Western"/>
    <s v="Public"/>
    <n v="528.27"/>
    <n v="570.53"/>
    <n v="-42.259999999999991"/>
  </r>
  <r>
    <x v="447"/>
    <s v="Chad"/>
    <s v="N'Djamena"/>
    <s v="Middle"/>
    <s v="Residential"/>
    <n v="472.81"/>
    <n v="430.26"/>
    <n v="42.550000000000011"/>
  </r>
  <r>
    <x v="447"/>
    <s v="Malawi"/>
    <s v="Lilongwe"/>
    <s v="Eastern"/>
    <s v="Commercial"/>
    <n v="317.87"/>
    <n v="286.08"/>
    <n v="31.79000000000002"/>
  </r>
  <r>
    <x v="448"/>
    <s v="Liberia"/>
    <s v="Monrovia"/>
    <s v="Western"/>
    <s v="Commercial"/>
    <n v="515.28"/>
    <n v="525.58999999999992"/>
    <n v="-10.309999999999945"/>
  </r>
  <r>
    <x v="448"/>
    <s v="Nigeria"/>
    <s v="Ibadan"/>
    <s v="Western"/>
    <s v="Public"/>
    <n v="2.69"/>
    <n v="2.91"/>
    <n v="-0.2200000000000002"/>
  </r>
  <r>
    <x v="449"/>
    <s v="Democratic Republic of the Congo"/>
    <s v="Mbuji-Mayi"/>
    <s v="Middle"/>
    <s v="Commercial"/>
    <n v="475.2"/>
    <n v="498.96"/>
    <n v="-23.759999999999991"/>
  </r>
  <r>
    <x v="450"/>
    <s v="Equatorial Guinea"/>
    <s v="Malabo"/>
    <s v="Middle"/>
    <s v="Residential"/>
    <n v="649.16"/>
    <n v="616.69999999999993"/>
    <n v="32.460000000000036"/>
  </r>
  <r>
    <x v="451"/>
    <s v="Cote d'Ivoire"/>
    <s v="Abidjan"/>
    <s v="Western"/>
    <s v="Public"/>
    <n v="54.12"/>
    <n v="49.79"/>
    <n v="4.3299999999999983"/>
  </r>
  <r>
    <x v="452"/>
    <s v="Angola"/>
    <s v="Luanda"/>
    <s v="Middle"/>
    <s v="Commercial"/>
    <n v="9.16"/>
    <n v="9.25"/>
    <n v="-8.9999999999999858E-2"/>
  </r>
  <r>
    <x v="453"/>
    <s v="Cameroon"/>
    <s v="Yaoundé"/>
    <s v="Middle"/>
    <s v="Commercial"/>
    <n v="586.1"/>
    <n v="562.66"/>
    <n v="23.440000000000055"/>
  </r>
  <r>
    <x v="453"/>
    <s v="Nigeria"/>
    <s v="Abuja"/>
    <s v="Western"/>
    <s v="Public"/>
    <n v="717.28"/>
    <n v="674.24"/>
    <n v="43.039999999999964"/>
  </r>
  <r>
    <x v="453"/>
    <s v="South Africa"/>
    <s v="Durban"/>
    <s v="Southern"/>
    <s v="Residential"/>
    <n v="953.06"/>
    <n v="876.81999999999994"/>
    <n v="76.240000000000009"/>
  </r>
  <r>
    <x v="454"/>
    <s v="Lesotho"/>
    <s v="Maseru"/>
    <s v="Southern"/>
    <s v="Residential"/>
    <n v="704.69"/>
    <n v="634.22"/>
    <n v="70.470000000000027"/>
  </r>
  <r>
    <x v="455"/>
    <s v="South Africa"/>
    <s v="Johannesburg"/>
    <s v="Southern"/>
    <s v="Residential"/>
    <n v="808.04"/>
    <n v="856.52"/>
    <n v="-48.480000000000018"/>
  </r>
  <r>
    <x v="456"/>
    <s v="Burundi"/>
    <s v="Bujumbura"/>
    <s v="Eastern"/>
    <s v="Residential"/>
    <n v="861.38"/>
    <n v="852.77"/>
    <n v="8.6100000000000136"/>
  </r>
  <r>
    <x v="457"/>
    <s v="Central African Republic"/>
    <s v="Bangui"/>
    <s v="Middle"/>
    <s v="Public"/>
    <n v="168.78"/>
    <n v="178.91"/>
    <n v="-10.129999999999995"/>
  </r>
  <r>
    <x v="457"/>
    <s v="Sao Tome and Principe"/>
    <s v="Sao Tome"/>
    <s v="Middle"/>
    <s v="Commercial"/>
    <n v="898.29"/>
    <n v="844.39"/>
    <n v="53.899999999999977"/>
  </r>
  <r>
    <x v="458"/>
    <s v="Democratic Republic of the Congo"/>
    <s v="Kinshasa"/>
    <s v="Middle"/>
    <s v="Commercial"/>
    <n v="91.24"/>
    <n v="98.539999999999992"/>
    <n v="-7.2999999999999972"/>
  </r>
  <r>
    <x v="459"/>
    <s v="Ghana"/>
    <s v="Kumasi"/>
    <s v="Western"/>
    <s v="Residential"/>
    <n v="220.89"/>
    <n v="220.89"/>
    <n v="0"/>
  </r>
  <r>
    <x v="459"/>
    <s v="Morocco"/>
    <s v="Rabat"/>
    <s v="Northern"/>
    <s v="Commercial"/>
    <n v="150.54"/>
    <n v="162.57999999999998"/>
    <n v="-12.039999999999992"/>
  </r>
  <r>
    <x v="460"/>
    <s v="Congo"/>
    <s v="Brazzaville"/>
    <s v="Middle"/>
    <s v="Commercial"/>
    <n v="146.09"/>
    <n v="134.4"/>
    <n v="11.689999999999998"/>
  </r>
  <r>
    <x v="461"/>
    <s v="Mali"/>
    <s v="Bamako"/>
    <s v="Western"/>
    <s v="Commercial"/>
    <n v="77.849999999999994"/>
    <n v="84.08"/>
    <n v="-6.230000000000004"/>
  </r>
  <r>
    <x v="462"/>
    <s v="South Africa"/>
    <s v="Cape Town"/>
    <s v="Southern"/>
    <s v="Commercial"/>
    <n v="263.38"/>
    <n v="271.27999999999997"/>
    <n v="-7.8999999999999773"/>
  </r>
  <r>
    <x v="462"/>
    <s v="Tunisia"/>
    <s v="Tunis"/>
    <s v="Northern"/>
    <s v="Commercial"/>
    <n v="511.56"/>
    <n v="526.91"/>
    <n v="-15.349999999999966"/>
  </r>
  <r>
    <x v="463"/>
    <s v="Sierra Leone"/>
    <s v="Freetown"/>
    <s v="Western"/>
    <s v="Public"/>
    <n v="400.86"/>
    <n v="404.87"/>
    <n v="-4.0099999999999909"/>
  </r>
  <r>
    <x v="464"/>
    <s v="Burkina Faso"/>
    <s v="Ouagadougou"/>
    <s v="Western"/>
    <s v="Public"/>
    <n v="977.29"/>
    <n v="1035.93"/>
    <n v="-58.6400000000001"/>
  </r>
  <r>
    <x v="464"/>
    <s v="Madagascar"/>
    <s v="Antananarivo"/>
    <s v="Eastern"/>
    <s v="Commercial"/>
    <n v="946.35"/>
    <n v="861.18000000000006"/>
    <n v="85.169999999999959"/>
  </r>
  <r>
    <x v="465"/>
    <s v="Seychelles"/>
    <s v="Victoria"/>
    <s v="Eastern"/>
    <s v="Residential"/>
    <n v="52.28"/>
    <n v="49.14"/>
    <n v="3.1400000000000006"/>
  </r>
  <r>
    <x v="465"/>
    <s v="Swaziland"/>
    <s v="Mbabane"/>
    <s v="Southern"/>
    <s v="Residential"/>
    <n v="401.44"/>
    <n v="425.53"/>
    <n v="-24.089999999999975"/>
  </r>
  <r>
    <x v="465"/>
    <s v="Western Sahara"/>
    <s v="Dakhla"/>
    <s v="Northern"/>
    <s v="Public"/>
    <n v="74.45"/>
    <n v="80.41"/>
    <n v="-5.9599999999999937"/>
  </r>
  <r>
    <x v="466"/>
    <s v="Cameroon"/>
    <s v="Yaoundé"/>
    <s v="Middle"/>
    <s v="Commercial"/>
    <n v="840.76"/>
    <n v="849.17"/>
    <n v="-8.4099999999999682"/>
  </r>
  <r>
    <x v="466"/>
    <s v="Togo"/>
    <s v="Lome"/>
    <s v="Western"/>
    <s v="Public"/>
    <n v="875.44"/>
    <n v="919.21"/>
    <n v="-43.769999999999982"/>
  </r>
  <r>
    <x v="467"/>
    <s v="Benin"/>
    <s v="Porto-Novo"/>
    <s v="Western"/>
    <s v="Residential"/>
    <n v="501.03"/>
    <n v="480.98999999999995"/>
    <n v="20.04000000000002"/>
  </r>
  <r>
    <x v="467"/>
    <s v="Cote d'Ivoire"/>
    <s v="Yamoussoukro"/>
    <s v="Western"/>
    <s v="Residential"/>
    <n v="743.91"/>
    <n v="669.52"/>
    <n v="74.389999999999986"/>
  </r>
  <r>
    <x v="468"/>
    <s v="Kenya"/>
    <s v="Nairobi"/>
    <s v="Eastern"/>
    <s v="Commercial"/>
    <n v="759.18"/>
    <n v="774.3599999999999"/>
    <n v="-15.17999999999995"/>
  </r>
  <r>
    <x v="469"/>
    <s v="Togo"/>
    <s v="Lome"/>
    <s v="Western"/>
    <s v="Commercial"/>
    <n v="660.33"/>
    <n v="680.14"/>
    <n v="-19.809999999999945"/>
  </r>
  <r>
    <x v="470"/>
    <s v="Benin"/>
    <s v="Cotonou"/>
    <s v="Western"/>
    <s v="Residential"/>
    <n v="518.9"/>
    <n v="482.58"/>
    <n v="36.319999999999993"/>
  </r>
  <r>
    <x v="470"/>
    <s v="Ethiopia"/>
    <s v="Addis Ababa"/>
    <s v="Eastern"/>
    <s v="Commercial"/>
    <n v="624.27"/>
    <n v="574.32999999999993"/>
    <n v="49.940000000000055"/>
  </r>
  <r>
    <x v="470"/>
    <s v="Nigeria"/>
    <s v="Lagos"/>
    <s v="Western"/>
    <s v="Residential"/>
    <n v="83.74"/>
    <n v="82.07"/>
    <n v="1.6700000000000017"/>
  </r>
  <r>
    <x v="470"/>
    <s v="South Sudan"/>
    <s v="Juba"/>
    <s v="Eastern"/>
    <s v="Public"/>
    <n v="142.9"/>
    <n v="140.04"/>
    <n v="2.8600000000000136"/>
  </r>
  <r>
    <x v="471"/>
    <s v="Ghana"/>
    <s v="Kumasi"/>
    <s v="Western"/>
    <s v="Residential"/>
    <n v="251.91"/>
    <n v="231.76"/>
    <n v="20.150000000000006"/>
  </r>
  <r>
    <x v="471"/>
    <s v="United Republic of Tanzania"/>
    <s v="Dar es Salaam"/>
    <s v="Eastern"/>
    <s v="Public"/>
    <n v="846.06"/>
    <n v="786.83999999999992"/>
    <n v="59.220000000000027"/>
  </r>
  <r>
    <x v="472"/>
    <s v="Botswana"/>
    <s v="Gaborone"/>
    <s v="Southern"/>
    <s v="Residential"/>
    <n v="93.74"/>
    <n v="91.86999999999999"/>
    <n v="1.8700000000000045"/>
  </r>
  <r>
    <x v="472"/>
    <s v="Western Sahara"/>
    <s v="Dakhla"/>
    <s v="Northern"/>
    <s v="Residential"/>
    <n v="759.65"/>
    <n v="744.45999999999992"/>
    <n v="15.190000000000055"/>
  </r>
  <r>
    <x v="473"/>
    <s v="Eritrea"/>
    <s v="Asmara"/>
    <s v="Eastern"/>
    <s v="Commercial"/>
    <n v="126.3"/>
    <n v="123.77"/>
    <n v="2.5300000000000011"/>
  </r>
  <r>
    <x v="473"/>
    <s v="Libya"/>
    <s v="Tripoli"/>
    <s v="Northern"/>
    <s v="Public"/>
    <n v="434.16"/>
    <n v="416.79"/>
    <n v="17.370000000000005"/>
  </r>
  <r>
    <x v="473"/>
    <s v="Namibia"/>
    <s v="Windhoek"/>
    <s v="Southern"/>
    <s v="Residential"/>
    <n v="88.06"/>
    <n v="80.13"/>
    <n v="7.9300000000000068"/>
  </r>
  <r>
    <x v="474"/>
    <s v="Malawi"/>
    <s v="Lilongwe"/>
    <s v="Eastern"/>
    <s v="Public"/>
    <n v="891.98"/>
    <n v="847.38"/>
    <n v="44.600000000000023"/>
  </r>
  <r>
    <x v="474"/>
    <s v="South Africa"/>
    <s v="Durban"/>
    <s v="Southern"/>
    <s v="Commercial"/>
    <n v="521.94000000000005"/>
    <n v="563.70000000000005"/>
    <n v="-41.759999999999991"/>
  </r>
  <r>
    <x v="475"/>
    <s v="Sao Tome and Principe"/>
    <s v="Sao Tome"/>
    <s v="Middle"/>
    <s v="Commercial"/>
    <n v="982.56"/>
    <n v="1051.3399999999999"/>
    <n v="-68.779999999999973"/>
  </r>
  <r>
    <x v="476"/>
    <s v="Democratic Republic of the Congo"/>
    <s v="Lubumbashi"/>
    <s v="Middle"/>
    <s v="Commercial"/>
    <n v="158.63999999999999"/>
    <n v="142.77999999999997"/>
    <n v="15.860000000000014"/>
  </r>
  <r>
    <x v="477"/>
    <s v="South Africa"/>
    <s v="Johannesburg"/>
    <s v="Southern"/>
    <s v="Commercial"/>
    <n v="317.39999999999998"/>
    <n v="311.04999999999995"/>
    <n v="6.3500000000000227"/>
  </r>
  <r>
    <x v="478"/>
    <s v="Nigeria"/>
    <s v="Kano"/>
    <s v="Western"/>
    <s v="Public"/>
    <n v="51.79"/>
    <n v="51.269999999999996"/>
    <n v="0.52000000000000313"/>
  </r>
  <r>
    <x v="479"/>
    <s v="Seychelles"/>
    <s v="Victoria"/>
    <s v="Eastern"/>
    <s v="Commercial"/>
    <n v="439.66"/>
    <n v="461.64000000000004"/>
    <n v="-21.980000000000018"/>
  </r>
  <r>
    <x v="480"/>
    <s v="Angola"/>
    <s v="Luanda"/>
    <s v="Middle"/>
    <s v="Commercial"/>
    <n v="693.91"/>
    <n v="659.20999999999992"/>
    <n v="34.700000000000045"/>
  </r>
  <r>
    <x v="480"/>
    <s v="Lesotho"/>
    <s v="Maseru"/>
    <s v="Southern"/>
    <s v="Commercial"/>
    <n v="53.57"/>
    <n v="57.86"/>
    <n v="-4.2899999999999991"/>
  </r>
  <r>
    <x v="481"/>
    <s v="Djibouti"/>
    <s v="Djibouti"/>
    <s v="Eastern"/>
    <s v="Residential"/>
    <n v="952.85"/>
    <n v="981.44"/>
    <n v="-28.590000000000032"/>
  </r>
  <r>
    <x v="482"/>
    <s v="Sudan"/>
    <s v="Khartoum"/>
    <s v="Northern"/>
    <s v="Residential"/>
    <n v="822.41"/>
    <n v="855.31"/>
    <n v="-32.899999999999977"/>
  </r>
  <r>
    <x v="482"/>
    <s v="Zimbabwe"/>
    <s v="Harare"/>
    <s v="Eastern"/>
    <s v="Commercial"/>
    <n v="225.21"/>
    <n v="231.97"/>
    <n v="-6.7599999999999909"/>
  </r>
  <r>
    <x v="483"/>
    <s v="Eritrea"/>
    <s v="Asmara"/>
    <s v="Eastern"/>
    <s v="Residential"/>
    <n v="199.16"/>
    <n v="195.18"/>
    <n v="3.9799999999999898"/>
  </r>
  <r>
    <x v="484"/>
    <s v="Somalia"/>
    <s v="Mogadishu"/>
    <s v="Eastern"/>
    <s v="Public"/>
    <n v="118.6"/>
    <n v="122.16"/>
    <n v="-3.5600000000000023"/>
  </r>
  <r>
    <x v="484"/>
    <s v="South Africa"/>
    <s v="Pretoria"/>
    <s v="Southern"/>
    <s v="Commercial"/>
    <n v="503.52"/>
    <n v="523.66"/>
    <n v="-20.139999999999986"/>
  </r>
  <r>
    <x v="485"/>
    <s v="Benin"/>
    <s v="Cotonou"/>
    <s v="Western"/>
    <s v="Residential"/>
    <n v="853.01"/>
    <n v="818.89"/>
    <n v="34.120000000000005"/>
  </r>
  <r>
    <x v="486"/>
    <s v="Cameroon"/>
    <s v="Douala"/>
    <s v="Middle"/>
    <s v="Residential"/>
    <n v="977.32"/>
    <n v="918.68000000000006"/>
    <n v="58.639999999999986"/>
  </r>
  <r>
    <x v="486"/>
    <s v="Nigeria"/>
    <s v="Ibadan"/>
    <s v="Western"/>
    <s v="Commercial"/>
    <n v="724.95"/>
    <n v="724.95"/>
    <n v="0"/>
  </r>
  <r>
    <x v="487"/>
    <s v="Senegal"/>
    <s v="Dakar"/>
    <s v="Western"/>
    <s v="Public"/>
    <n v="109.84"/>
    <n v="107.64"/>
    <n v="2.2000000000000028"/>
  </r>
  <r>
    <x v="488"/>
    <s v="Algeria"/>
    <s v="Algiers"/>
    <s v="Northern"/>
    <s v="Residential"/>
    <n v="206.71"/>
    <n v="198.44"/>
    <n v="8.2700000000000102"/>
  </r>
  <r>
    <x v="489"/>
    <s v="Libya"/>
    <s v="Tripoli"/>
    <s v="Northern"/>
    <s v="Residential"/>
    <n v="807.85"/>
    <n v="775.54"/>
    <n v="32.310000000000059"/>
  </r>
  <r>
    <x v="489"/>
    <s v="Malawi"/>
    <s v="Blantyre"/>
    <s v="Eastern"/>
    <s v="Public"/>
    <n v="670.13"/>
    <n v="623.22"/>
    <n v="46.909999999999968"/>
  </r>
  <r>
    <x v="489"/>
    <s v="Senegal"/>
    <s v="Dakar"/>
    <s v="Western"/>
    <s v="Commercial"/>
    <n v="893.17"/>
    <n v="839.57999999999993"/>
    <n v="53.590000000000032"/>
  </r>
  <r>
    <x v="490"/>
    <s v="Madagascar"/>
    <s v="Antananarivo"/>
    <s v="Eastern"/>
    <s v="Commercial"/>
    <n v="192.61"/>
    <n v="173.35000000000002"/>
    <n v="19.259999999999991"/>
  </r>
  <r>
    <x v="491"/>
    <s v="South Sudan"/>
    <s v="Juba"/>
    <s v="Eastern"/>
    <s v="Public"/>
    <n v="945.8"/>
    <n v="964.71999999999991"/>
    <n v="-18.919999999999959"/>
  </r>
  <r>
    <x v="492"/>
    <s v="Malawi"/>
    <s v="Lilongwe"/>
    <s v="Eastern"/>
    <s v="Residential"/>
    <n v="130.69"/>
    <n v="122.85"/>
    <n v="7.8400000000000034"/>
  </r>
  <r>
    <x v="493"/>
    <s v="Niger"/>
    <s v="Niamey"/>
    <s v="Western"/>
    <s v="Residential"/>
    <n v="346.72"/>
    <n v="364.06"/>
    <n v="-17.339999999999975"/>
  </r>
  <r>
    <x v="494"/>
    <s v="Egypt"/>
    <s v="Cairo"/>
    <s v="Northern"/>
    <s v="Residential"/>
    <n v="485.04"/>
    <n v="523.84"/>
    <n v="-38.800000000000011"/>
  </r>
  <r>
    <x v="494"/>
    <s v="Sudan"/>
    <s v="Khartoum"/>
    <s v="Northern"/>
    <s v="Residential"/>
    <n v="493.02"/>
    <n v="512.74"/>
    <n v="-19.720000000000027"/>
  </r>
  <r>
    <x v="495"/>
    <s v="Burundi"/>
    <s v="Bujumbura"/>
    <s v="Eastern"/>
    <s v="Public"/>
    <n v="865.69"/>
    <n v="813.75"/>
    <n v="51.940000000000055"/>
  </r>
  <r>
    <x v="496"/>
    <s v="Zambia"/>
    <s v="Lusaka"/>
    <s v="Eastern"/>
    <s v="Public"/>
    <n v="12.31"/>
    <n v="12.68"/>
    <n v="-0.36999999999999922"/>
  </r>
  <r>
    <x v="497"/>
    <s v="Cote d'Ivoire"/>
    <s v="Abidjan"/>
    <s v="Western"/>
    <s v="Commercial"/>
    <n v="896.76"/>
    <n v="887.79"/>
    <n v="8.9700000000000273"/>
  </r>
  <r>
    <x v="498"/>
    <s v="Mali"/>
    <s v="Bamako"/>
    <s v="Western"/>
    <s v="Commercial"/>
    <n v="572.27"/>
    <n v="583.72"/>
    <n v="-11.450000000000045"/>
  </r>
  <r>
    <x v="499"/>
    <s v="Mauritania"/>
    <s v="Nouakchott"/>
    <s v="Western"/>
    <s v="Residential"/>
    <n v="784.94"/>
    <n v="706.45"/>
    <n v="78.490000000000009"/>
  </r>
  <r>
    <x v="500"/>
    <s v="Guinea-Bissau"/>
    <s v="Bissau"/>
    <s v="Western"/>
    <s v="Commercial"/>
    <n v="547.67999999999995"/>
    <n v="586.02"/>
    <n v="-38.340000000000032"/>
  </r>
  <r>
    <x v="501"/>
    <s v="Democratic Republic of the Congo"/>
    <s v="Mbuji-Mayi"/>
    <s v="Middle"/>
    <s v="Commercial"/>
    <n v="430.15"/>
    <n v="460.26"/>
    <n v="-30.110000000000014"/>
  </r>
  <r>
    <x v="502"/>
    <s v="Cote d'Ivoire"/>
    <s v="Yamoussoukro"/>
    <s v="Western"/>
    <s v="Commercial"/>
    <n v="749.12"/>
    <n v="756.61"/>
    <n v="-7.4900000000000091"/>
  </r>
  <r>
    <x v="502"/>
    <s v="Swaziland"/>
    <s v="Mbabane"/>
    <s v="Southern"/>
    <s v="Residential"/>
    <n v="787.3"/>
    <n v="771.55"/>
    <n v="15.75"/>
  </r>
  <r>
    <x v="503"/>
    <s v="Ethiopia"/>
    <s v="Addis Ababa"/>
    <s v="Eastern"/>
    <s v="Commercial"/>
    <n v="743.67"/>
    <n v="713.92"/>
    <n v="29.75"/>
  </r>
  <r>
    <x v="504"/>
    <s v="Equatorial Guinea"/>
    <s v="Malabo"/>
    <s v="Middle"/>
    <s v="Residential"/>
    <n v="800.51"/>
    <n v="768.49"/>
    <n v="32.019999999999982"/>
  </r>
  <r>
    <x v="504"/>
    <s v="Mauritius"/>
    <s v="Port Louis"/>
    <s v="Eastern"/>
    <s v="Public"/>
    <n v="15.99"/>
    <n v="16.79"/>
    <n v="-0.79999999999999893"/>
  </r>
  <r>
    <x v="505"/>
    <s v="Benin"/>
    <s v="Porto-Novo"/>
    <s v="Western"/>
    <s v="Commercial"/>
    <n v="517.70000000000005"/>
    <n v="517.70000000000005"/>
    <n v="0"/>
  </r>
  <r>
    <x v="505"/>
    <s v="Botswana"/>
    <s v="Gaborone"/>
    <s v="Southern"/>
    <s v="Residential"/>
    <n v="137.27000000000001"/>
    <n v="140.02000000000001"/>
    <n v="-2.75"/>
  </r>
  <r>
    <x v="506"/>
    <s v="Mozambique"/>
    <s v="Maputo"/>
    <s v="Eastern"/>
    <s v="Commercial"/>
    <n v="937.98"/>
    <n v="937.98"/>
    <n v="0"/>
  </r>
  <r>
    <x v="507"/>
    <s v="Nigeria"/>
    <s v="Abuja"/>
    <s v="Western"/>
    <s v="Public"/>
    <n v="38.299999999999997"/>
    <n v="37.15"/>
    <n v="1.1499999999999986"/>
  </r>
  <r>
    <x v="507"/>
    <s v="Uganda"/>
    <s v="Kampala"/>
    <s v="Eastern"/>
    <s v="Residential"/>
    <n v="6.87"/>
    <n v="6.73"/>
    <n v="0.13999999999999968"/>
  </r>
  <r>
    <x v="508"/>
    <s v="Gabon"/>
    <s v="Libreville"/>
    <s v="Middle"/>
    <s v="Public"/>
    <n v="771.44"/>
    <n v="694.30000000000007"/>
    <n v="77.139999999999986"/>
  </r>
  <r>
    <x v="508"/>
    <s v="Somalia"/>
    <s v="Mogadishu"/>
    <s v="Eastern"/>
    <s v="Commercial"/>
    <n v="443.2"/>
    <n v="421.03999999999996"/>
    <n v="22.160000000000025"/>
  </r>
  <r>
    <x v="509"/>
    <s v="Central African Republic"/>
    <s v="Bangui"/>
    <s v="Middle"/>
    <s v="Residential"/>
    <n v="461.66"/>
    <n v="420.11"/>
    <n v="41.550000000000011"/>
  </r>
  <r>
    <x v="509"/>
    <s v="Chad"/>
    <s v="N'Djamena"/>
    <s v="Middle"/>
    <s v="Public"/>
    <n v="163.34"/>
    <n v="174.77"/>
    <n v="-11.430000000000007"/>
  </r>
  <r>
    <x v="510"/>
    <s v="Ghana"/>
    <s v="Accra"/>
    <s v="Western"/>
    <s v="Commercial"/>
    <n v="535.35"/>
    <n v="562.12"/>
    <n v="-26.769999999999982"/>
  </r>
  <r>
    <x v="511"/>
    <s v="Algeria"/>
    <s v="Algiers"/>
    <s v="Northern"/>
    <s v="Residential"/>
    <n v="377.49"/>
    <n v="351.07"/>
    <n v="26.420000000000016"/>
  </r>
  <r>
    <x v="512"/>
    <s v="Nigeria"/>
    <s v="Lagos"/>
    <s v="Western"/>
    <s v="Public"/>
    <n v="423.18"/>
    <n v="452.8"/>
    <n v="-29.620000000000005"/>
  </r>
  <r>
    <x v="512"/>
    <s v="Tunisia"/>
    <s v="Tunis"/>
    <s v="Northern"/>
    <s v="Commercial"/>
    <n v="728.79"/>
    <n v="655.91"/>
    <n v="72.88"/>
  </r>
  <r>
    <x v="513"/>
    <s v="Sudan"/>
    <s v="Khartoum"/>
    <s v="Northern"/>
    <s v="Public"/>
    <n v="277.22000000000003"/>
    <n v="271.68"/>
    <n v="5.5400000000000205"/>
  </r>
  <r>
    <x v="514"/>
    <s v="Guinea"/>
    <s v="Conakry"/>
    <s v="Western"/>
    <s v="Public"/>
    <n v="350.47"/>
    <n v="322.43"/>
    <n v="28.04000000000002"/>
  </r>
  <r>
    <x v="514"/>
    <s v="United Republic of Tanzania"/>
    <s v="Dar es Salaam"/>
    <s v="Eastern"/>
    <s v="Commercial"/>
    <n v="505.64"/>
    <n v="525.87"/>
    <n v="-20.230000000000018"/>
  </r>
  <r>
    <x v="515"/>
    <s v="Rwanda"/>
    <s v="Kigali"/>
    <s v="Eastern"/>
    <s v="Public"/>
    <n v="472.24"/>
    <n v="510.02"/>
    <n v="-37.779999999999973"/>
  </r>
  <r>
    <x v="516"/>
    <s v="Malawi"/>
    <s v="Blantyre"/>
    <s v="Eastern"/>
    <s v="Residential"/>
    <n v="692.45"/>
    <n v="685.53000000000009"/>
    <n v="6.9199999999999591"/>
  </r>
  <r>
    <x v="517"/>
    <s v="Nigeria"/>
    <s v="Kano"/>
    <s v="Western"/>
    <s v="Residential"/>
    <n v="550.57000000000005"/>
    <n v="545.06000000000006"/>
    <n v="5.5099999999999909"/>
  </r>
  <r>
    <x v="518"/>
    <s v="Liberia"/>
    <s v="Monrovia"/>
    <s v="Western"/>
    <s v="Residential"/>
    <n v="306.95999999999998"/>
    <n v="297.75"/>
    <n v="9.2099999999999795"/>
  </r>
  <r>
    <x v="519"/>
    <s v="Burkina Faso"/>
    <s v="Ouagadougou"/>
    <s v="Western"/>
    <s v="Commercial"/>
    <n v="5.47"/>
    <n v="4.92"/>
    <n v="0.54999999999999982"/>
  </r>
  <r>
    <x v="519"/>
    <s v="Congo"/>
    <s v="Brazzaville"/>
    <s v="Middle"/>
    <s v="Commercial"/>
    <n v="498.92"/>
    <n v="503.91"/>
    <n v="-4.99000000000000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C097C-4D03-4681-AC32-383BD2E81F9D}" name="数据透视表7" cacheId="2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I13:M66" firstHeaderRow="0" firstDataRow="1" firstDataCol="1" rowPageCount="1" colPageCount="1"/>
  <pivotFields count="11">
    <pivotField numFmtId="177" showAll="0">
      <items count="5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t="default"/>
      </items>
    </pivotField>
    <pivotField axis="axisRow" showAll="0">
      <items count="53">
        <item x="18"/>
        <item x="39"/>
        <item x="13"/>
        <item x="26"/>
        <item x="29"/>
        <item x="51"/>
        <item x="9"/>
        <item x="31"/>
        <item x="5"/>
        <item x="34"/>
        <item x="0"/>
        <item x="28"/>
        <item x="45"/>
        <item x="49"/>
        <item x="15"/>
        <item x="19"/>
        <item x="4"/>
        <item x="32"/>
        <item x="25"/>
        <item x="42"/>
        <item x="23"/>
        <item x="46"/>
        <item x="27"/>
        <item x="47"/>
        <item x="20"/>
        <item x="1"/>
        <item x="6"/>
        <item x="40"/>
        <item x="50"/>
        <item x="7"/>
        <item x="48"/>
        <item x="35"/>
        <item x="36"/>
        <item x="21"/>
        <item x="10"/>
        <item x="2"/>
        <item x="8"/>
        <item x="11"/>
        <item x="37"/>
        <item x="14"/>
        <item x="30"/>
        <item x="12"/>
        <item x="43"/>
        <item x="17"/>
        <item x="38"/>
        <item x="22"/>
        <item x="33"/>
        <item x="41"/>
        <item x="24"/>
        <item x="16"/>
        <item x="44"/>
        <item x="3"/>
        <item t="default"/>
      </items>
    </pivotField>
    <pivotField showAll="0"/>
    <pivotField showAll="0"/>
    <pivotField showAll="0"/>
    <pivotField dataField="1" numFmtId="178" showAll="0"/>
    <pivotField numFmtId="178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Page" showAll="0">
      <items count="6">
        <item sd="0" x="0"/>
        <item x="1"/>
        <item x="2"/>
        <item x="3"/>
        <item sd="0" x="4"/>
        <item t="default"/>
      </items>
    </pivotField>
    <pivotField dataField="1" dragToRow="0" dragToCol="0" dragToPage="0" showAll="0" defaultSubtotal="0"/>
  </pivotFields>
  <rowFields count="1">
    <field x="1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9" item="1" hier="-1"/>
  </pageFields>
  <dataFields count="4">
    <dataField name="收入" fld="5" baseField="9" baseItem="1"/>
    <dataField name="求和项:利润" fld="10" baseField="0" baseItem="0" numFmtId="178"/>
    <dataField name="利润排序" fld="10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利润占比" fld="10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A8EB4-F35A-4D0E-89CB-2E1443C596AC}" name="数据透视表5" cacheId="2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B13:E26" firstHeaderRow="0" firstDataRow="1" firstDataCol="1"/>
  <pivotFields count="11">
    <pivotField numFmtId="177" showAll="0">
      <items count="5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t="default"/>
      </items>
    </pivotField>
    <pivotField axis="axisRow" showAll="0" measureFilter="1">
      <items count="53">
        <item x="18"/>
        <item x="39"/>
        <item x="13"/>
        <item x="26"/>
        <item x="29"/>
        <item x="51"/>
        <item x="9"/>
        <item x="31"/>
        <item x="5"/>
        <item x="34"/>
        <item x="0"/>
        <item x="28"/>
        <item x="45"/>
        <item x="49"/>
        <item x="15"/>
        <item x="19"/>
        <item x="4"/>
        <item x="32"/>
        <item x="25"/>
        <item x="42"/>
        <item x="23"/>
        <item x="46"/>
        <item x="27"/>
        <item x="47"/>
        <item x="20"/>
        <item x="1"/>
        <item x="6"/>
        <item x="40"/>
        <item x="50"/>
        <item x="7"/>
        <item x="48"/>
        <item x="35"/>
        <item x="36"/>
        <item x="21"/>
        <item x="10"/>
        <item x="2"/>
        <item x="8"/>
        <item x="11"/>
        <item x="37"/>
        <item x="14"/>
        <item x="30"/>
        <item x="12"/>
        <item x="43"/>
        <item x="17"/>
        <item x="38"/>
        <item x="22"/>
        <item x="33"/>
        <item x="41"/>
        <item x="24"/>
        <item x="16"/>
        <item x="44"/>
        <item x="3"/>
        <item t="default"/>
      </items>
    </pivotField>
    <pivotField showAll="0"/>
    <pivotField showAll="0"/>
    <pivotField showAll="0"/>
    <pivotField dataField="1" numFmtId="178" showAll="0"/>
    <pivotField numFmtId="178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  <pivotField dragToRow="0" dragToCol="0" dragToPage="0" showAll="0" defaultSubtotal="0"/>
  </pivotFields>
  <rowFields count="2">
    <field x="9"/>
    <field x="1"/>
  </rowFields>
  <rowItems count="13">
    <i>
      <x v="1"/>
    </i>
    <i r="1">
      <x v="11"/>
    </i>
    <i r="1">
      <x v="34"/>
    </i>
    <i r="1">
      <x v="41"/>
    </i>
    <i>
      <x v="2"/>
    </i>
    <i r="1">
      <x v="11"/>
    </i>
    <i r="1">
      <x v="34"/>
    </i>
    <i r="1">
      <x v="41"/>
    </i>
    <i>
      <x v="3"/>
    </i>
    <i r="1">
      <x v="10"/>
    </i>
    <i r="1">
      <x v="34"/>
    </i>
    <i r="1">
      <x v="4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收入" fld="5" baseField="9" baseItem="1"/>
    <dataField name="收入排序" fld="5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收入占比" fld="5" showDataAs="percentOfTotal" baseField="1" baseItem="0" numFmtId="1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D4CFF-94EB-4394-A91A-AF03A3D6D408}" name="数据透视表8" cacheId="3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B17:M57" firstHeaderRow="0" firstDataRow="1" firstDataCol="1"/>
  <pivotFields count="11">
    <pivotField numFmtId="177" showAll="0">
      <items count="6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t="default"/>
      </items>
    </pivotField>
    <pivotField showAll="0"/>
    <pivotField showAll="0"/>
    <pivotField showAll="0"/>
    <pivotField showAll="0"/>
    <pivotField numFmtId="178" showAll="0"/>
    <pivotField numFmtId="178" showAll="0"/>
    <pivotField dataField="1" numFmtId="178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6">
        <item sd="0" x="0"/>
        <item x="1"/>
        <item x="2"/>
        <item x="3"/>
        <item x="4"/>
        <item t="default"/>
      </items>
    </pivotField>
  </pivotFields>
  <rowFields count="2">
    <field x="10"/>
    <field x="8"/>
  </rowFields>
  <rowItems count="4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求和项:Profit" fld="7" baseField="0" baseItem="0"/>
    <dataField name="利润占比" fld="7" showDataAs="percentOfTotal" baseField="10" baseItem="1" numFmtId="10"/>
    <dataField name="月利润占比年" fld="7" baseField="10" baseItem="1" numFmtId="10">
      <extLst>
        <ext xmlns:x14="http://schemas.microsoft.com/office/spreadsheetml/2009/9/main" uri="{E15A36E0-9728-4e99-A89B-3F7291B0FE68}">
          <x14:dataField pivotShowAs="percentOfParent"/>
        </ext>
      </extLst>
    </dataField>
    <dataField name="同比2013增长量" fld="7" showDataAs="difference" baseField="10" baseItem="1"/>
    <dataField name="同比2013增长率" fld="7" showDataAs="percentDiff" baseField="10" baseItem="1" numFmtId="10"/>
    <dataField name="同比上一年增长量" fld="7" showDataAs="difference" baseField="10" baseItem="1048828"/>
    <dataField name="同比上一年增长率" fld="7" showDataAs="percentDiff" baseField="10" baseItem="1048828" numFmtId="10"/>
    <dataField name="环比上月增长量" fld="7" showDataAs="difference" baseField="8" baseItem="1048828"/>
    <dataField name="环比1月增长量" fld="7" showDataAs="difference" baseField="8" baseItem="1"/>
    <dataField name="月累计值" fld="7" showDataAs="runTotal" baseField="8" baseItem="1"/>
    <dataField name="月累计百分比" fld="7" baseField="8" baseItem="1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D161" totalsRowShown="0">
  <autoFilter ref="A1:D161" xr:uid="{00000000-0009-0000-0100-000002000000}"/>
  <sortState xmlns:xlrd2="http://schemas.microsoft.com/office/spreadsheetml/2017/richdata2" ref="A2:D161">
    <sortCondition ref="A1:A161"/>
  </sortState>
  <tableColumns count="4">
    <tableColumn id="1" xr3:uid="{00000000-0010-0000-0100-000001000000}" name="Date" dataDxfId="12"/>
    <tableColumn id="2" xr3:uid="{00000000-0010-0000-0100-000002000000}" name="Salesperson"/>
    <tableColumn id="3" xr3:uid="{00000000-0010-0000-0100-000003000000}" name="Contracts Sold"/>
    <tableColumn id="4" xr3:uid="{00000000-0010-0000-0100-000004000000}" name="Close Rat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B777C8-7984-4F27-BE3F-6DC8745D1868}" name="表4" displayName="表4" ref="A1:H792" totalsRowShown="0" headerRowDxfId="0" tableBorderDxfId="9">
  <autoFilter ref="A1:H792" xr:uid="{A3B777C8-7984-4F27-BE3F-6DC8745D1868}"/>
  <tableColumns count="8">
    <tableColumn id="1" xr3:uid="{10182A78-AEC2-4E0B-9EE7-93AE087D7A1B}" name="Date" dataDxfId="8"/>
    <tableColumn id="2" xr3:uid="{CFBB227E-5125-4A0C-86F6-65AD2CF622A7}" name="Country" dataDxfId="7"/>
    <tableColumn id="3" xr3:uid="{950CCC1D-A2CC-4B44-8C4A-580333263ABB}" name="City" dataDxfId="6"/>
    <tableColumn id="4" xr3:uid="{46DA1281-FB95-4C57-9616-598EA6448D8B}" name="Region" dataDxfId="5"/>
    <tableColumn id="5" xr3:uid="{6A9A7982-26A7-42FB-B37C-108A43A20291}" name="Segment" dataDxfId="4"/>
    <tableColumn id="6" xr3:uid="{5BF4FC31-2093-45BD-94AA-E4AD4AB9650A}" name="Sales" dataDxfId="3" dataCellStyle="货币"/>
    <tableColumn id="7" xr3:uid="{88C43FD1-9003-4185-9AB3-5FAACB5DEB86}" name="Cost" dataDxfId="2"/>
    <tableColumn id="8" xr3:uid="{40F11B56-CA7D-4472-976B-3EA9BFBFA61A}" name="Profit" dataDxfId="1">
      <calculatedColumnFormula>'SalesData 2'!$F2-'SalesData 2'!$G2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62"/>
  <sheetViews>
    <sheetView workbookViewId="0">
      <selection activeCell="G12" sqref="G12"/>
    </sheetView>
  </sheetViews>
  <sheetFormatPr defaultRowHeight="13.8" x14ac:dyDescent="0.25"/>
  <cols>
    <col min="1" max="1" width="7.5546875" customWidth="1"/>
    <col min="2" max="2" width="22" customWidth="1"/>
    <col min="3" max="3" width="15.44140625" customWidth="1"/>
    <col min="4" max="4" width="11.88671875" customWidth="1"/>
    <col min="7" max="7" width="11.44140625" bestFit="1" customWidth="1"/>
  </cols>
  <sheetData>
    <row r="1" spans="1:8" x14ac:dyDescent="0.25">
      <c r="A1" t="s">
        <v>123</v>
      </c>
      <c r="B1" t="s">
        <v>131</v>
      </c>
      <c r="C1" t="s">
        <v>132</v>
      </c>
      <c r="D1" t="s">
        <v>133</v>
      </c>
    </row>
    <row r="2" spans="1:8" x14ac:dyDescent="0.25">
      <c r="A2" s="1">
        <v>41275</v>
      </c>
      <c r="B2" t="s">
        <v>141</v>
      </c>
      <c r="C2">
        <v>13</v>
      </c>
      <c r="D2" s="2">
        <v>0.55000000000000004</v>
      </c>
    </row>
    <row r="3" spans="1:8" x14ac:dyDescent="0.25">
      <c r="A3" s="1">
        <v>41275</v>
      </c>
      <c r="B3" t="s">
        <v>134</v>
      </c>
      <c r="C3">
        <v>11</v>
      </c>
      <c r="D3" s="2">
        <v>0.3</v>
      </c>
      <c r="H3" s="2"/>
    </row>
    <row r="4" spans="1:8" x14ac:dyDescent="0.25">
      <c r="A4" s="1">
        <v>41275</v>
      </c>
      <c r="B4" t="s">
        <v>142</v>
      </c>
      <c r="C4">
        <v>9</v>
      </c>
      <c r="D4" s="2">
        <v>0.36</v>
      </c>
    </row>
    <row r="5" spans="1:8" x14ac:dyDescent="0.25">
      <c r="A5" s="1">
        <v>41275</v>
      </c>
      <c r="B5" t="s">
        <v>140</v>
      </c>
      <c r="C5">
        <v>11</v>
      </c>
      <c r="D5" s="2">
        <v>0.22</v>
      </c>
    </row>
    <row r="6" spans="1:8" x14ac:dyDescent="0.25">
      <c r="A6" s="1">
        <v>41275</v>
      </c>
      <c r="B6" t="s">
        <v>138</v>
      </c>
      <c r="C6">
        <v>14</v>
      </c>
      <c r="D6" s="2">
        <v>0.33</v>
      </c>
    </row>
    <row r="7" spans="1:8" x14ac:dyDescent="0.25">
      <c r="A7" s="1">
        <v>41275</v>
      </c>
      <c r="B7" t="s">
        <v>136</v>
      </c>
      <c r="C7">
        <v>3</v>
      </c>
      <c r="D7" s="2">
        <v>0.2</v>
      </c>
    </row>
    <row r="8" spans="1:8" x14ac:dyDescent="0.25">
      <c r="A8" s="1">
        <v>41275</v>
      </c>
      <c r="B8" t="s">
        <v>143</v>
      </c>
      <c r="C8">
        <v>14</v>
      </c>
      <c r="D8" s="2">
        <v>0.35</v>
      </c>
    </row>
    <row r="9" spans="1:8" x14ac:dyDescent="0.25">
      <c r="A9" s="1">
        <v>41275</v>
      </c>
      <c r="B9" t="s">
        <v>135</v>
      </c>
      <c r="C9">
        <v>7</v>
      </c>
      <c r="D9" s="2">
        <v>0.45</v>
      </c>
    </row>
    <row r="10" spans="1:8" x14ac:dyDescent="0.25">
      <c r="A10" s="1">
        <v>41275</v>
      </c>
      <c r="B10" t="s">
        <v>139</v>
      </c>
      <c r="C10">
        <v>2</v>
      </c>
      <c r="D10" s="2">
        <v>0.13</v>
      </c>
    </row>
    <row r="11" spans="1:8" x14ac:dyDescent="0.25">
      <c r="A11" s="1">
        <v>41275</v>
      </c>
      <c r="B11" t="s">
        <v>137</v>
      </c>
      <c r="C11">
        <v>15</v>
      </c>
      <c r="D11" s="2">
        <v>0.48</v>
      </c>
    </row>
    <row r="12" spans="1:8" x14ac:dyDescent="0.25">
      <c r="A12" s="1">
        <v>41365</v>
      </c>
      <c r="B12" t="s">
        <v>141</v>
      </c>
      <c r="C12">
        <v>11</v>
      </c>
      <c r="D12" s="2">
        <v>0.48333333333333328</v>
      </c>
    </row>
    <row r="13" spans="1:8" x14ac:dyDescent="0.25">
      <c r="A13" s="1">
        <v>41365</v>
      </c>
      <c r="B13" t="s">
        <v>134</v>
      </c>
      <c r="C13">
        <v>12</v>
      </c>
      <c r="D13" s="2">
        <v>0.3</v>
      </c>
    </row>
    <row r="14" spans="1:8" x14ac:dyDescent="0.25">
      <c r="A14" s="1">
        <v>41365</v>
      </c>
      <c r="B14" t="s">
        <v>142</v>
      </c>
      <c r="C14">
        <v>10</v>
      </c>
      <c r="D14" s="2">
        <v>0.33</v>
      </c>
    </row>
    <row r="15" spans="1:8" x14ac:dyDescent="0.25">
      <c r="A15" s="1">
        <v>41365</v>
      </c>
      <c r="B15" t="s">
        <v>140</v>
      </c>
      <c r="C15">
        <v>9</v>
      </c>
      <c r="D15" s="2">
        <v>0.24</v>
      </c>
    </row>
    <row r="16" spans="1:8" x14ac:dyDescent="0.25">
      <c r="A16" s="1">
        <v>41365</v>
      </c>
      <c r="B16" t="s">
        <v>138</v>
      </c>
      <c r="C16">
        <v>14</v>
      </c>
      <c r="D16" s="2">
        <v>0.33</v>
      </c>
    </row>
    <row r="17" spans="1:4" x14ac:dyDescent="0.25">
      <c r="A17" s="1">
        <v>41365</v>
      </c>
      <c r="B17" t="s">
        <v>136</v>
      </c>
      <c r="C17">
        <v>3</v>
      </c>
      <c r="D17" s="2">
        <v>0.25</v>
      </c>
    </row>
    <row r="18" spans="1:4" x14ac:dyDescent="0.25">
      <c r="A18" s="1">
        <v>41365</v>
      </c>
      <c r="B18" t="s">
        <v>143</v>
      </c>
      <c r="C18">
        <v>13</v>
      </c>
      <c r="D18" s="2">
        <v>0.33999999999999997</v>
      </c>
    </row>
    <row r="19" spans="1:4" x14ac:dyDescent="0.25">
      <c r="A19" s="1">
        <v>41365</v>
      </c>
      <c r="B19" t="s">
        <v>135</v>
      </c>
      <c r="C19">
        <v>7</v>
      </c>
      <c r="D19" s="2">
        <v>0.44</v>
      </c>
    </row>
    <row r="20" spans="1:4" x14ac:dyDescent="0.25">
      <c r="A20" s="1">
        <v>41365</v>
      </c>
      <c r="B20" t="s">
        <v>139</v>
      </c>
      <c r="C20">
        <v>3</v>
      </c>
      <c r="D20" s="2">
        <v>0.13</v>
      </c>
    </row>
    <row r="21" spans="1:4" x14ac:dyDescent="0.25">
      <c r="A21" s="1">
        <v>41365</v>
      </c>
      <c r="B21" t="s">
        <v>137</v>
      </c>
      <c r="C21">
        <v>14</v>
      </c>
      <c r="D21" s="2">
        <v>0.46</v>
      </c>
    </row>
    <row r="22" spans="1:4" x14ac:dyDescent="0.25">
      <c r="A22" s="1">
        <v>41456</v>
      </c>
      <c r="B22" t="s">
        <v>141</v>
      </c>
      <c r="C22">
        <v>11</v>
      </c>
      <c r="D22" s="2">
        <v>0.48333333333333328</v>
      </c>
    </row>
    <row r="23" spans="1:4" x14ac:dyDescent="0.25">
      <c r="A23" s="1">
        <v>41456</v>
      </c>
      <c r="B23" t="s">
        <v>134</v>
      </c>
      <c r="C23">
        <v>11</v>
      </c>
      <c r="D23" s="2">
        <v>0.32</v>
      </c>
    </row>
    <row r="24" spans="1:4" x14ac:dyDescent="0.25">
      <c r="A24" s="1">
        <v>41456</v>
      </c>
      <c r="B24" t="s">
        <v>142</v>
      </c>
      <c r="C24">
        <v>9</v>
      </c>
      <c r="D24" s="2">
        <v>0.32</v>
      </c>
    </row>
    <row r="25" spans="1:4" x14ac:dyDescent="0.25">
      <c r="A25" s="1">
        <v>41456</v>
      </c>
      <c r="B25" t="s">
        <v>140</v>
      </c>
      <c r="C25">
        <v>7</v>
      </c>
      <c r="D25" s="2">
        <v>0.26</v>
      </c>
    </row>
    <row r="26" spans="1:4" x14ac:dyDescent="0.25">
      <c r="A26" s="1">
        <v>41456</v>
      </c>
      <c r="B26" t="s">
        <v>138</v>
      </c>
      <c r="C26">
        <v>14</v>
      </c>
      <c r="D26" s="2">
        <v>0.31</v>
      </c>
    </row>
    <row r="27" spans="1:4" x14ac:dyDescent="0.25">
      <c r="A27" s="1">
        <v>41456</v>
      </c>
      <c r="B27" t="s">
        <v>136</v>
      </c>
      <c r="C27">
        <v>4</v>
      </c>
      <c r="D27" s="2">
        <v>0.28000000000000003</v>
      </c>
    </row>
    <row r="28" spans="1:4" x14ac:dyDescent="0.25">
      <c r="A28" s="1">
        <v>41456</v>
      </c>
      <c r="B28" t="s">
        <v>143</v>
      </c>
      <c r="C28">
        <v>12</v>
      </c>
      <c r="D28" s="2">
        <v>0.32999999999999996</v>
      </c>
    </row>
    <row r="29" spans="1:4" x14ac:dyDescent="0.25">
      <c r="A29" s="1">
        <v>41456</v>
      </c>
      <c r="B29" t="s">
        <v>135</v>
      </c>
      <c r="C29">
        <v>8</v>
      </c>
      <c r="D29" s="2">
        <v>0.48</v>
      </c>
    </row>
    <row r="30" spans="1:4" x14ac:dyDescent="0.25">
      <c r="A30" s="1">
        <v>41456</v>
      </c>
      <c r="B30" t="s">
        <v>139</v>
      </c>
      <c r="C30">
        <v>4</v>
      </c>
      <c r="D30" s="2">
        <v>0.13</v>
      </c>
    </row>
    <row r="31" spans="1:4" x14ac:dyDescent="0.25">
      <c r="A31" s="1">
        <v>41456</v>
      </c>
      <c r="B31" t="s">
        <v>137</v>
      </c>
      <c r="C31">
        <v>16</v>
      </c>
      <c r="D31" s="2">
        <v>0.4</v>
      </c>
    </row>
    <row r="32" spans="1:4" x14ac:dyDescent="0.25">
      <c r="A32" s="1">
        <v>41548</v>
      </c>
      <c r="B32" t="s">
        <v>141</v>
      </c>
      <c r="C32">
        <v>12</v>
      </c>
      <c r="D32" s="2">
        <v>0.55000000000000004</v>
      </c>
    </row>
    <row r="33" spans="1:4" x14ac:dyDescent="0.25">
      <c r="A33" s="1">
        <v>41548</v>
      </c>
      <c r="B33" t="s">
        <v>134</v>
      </c>
      <c r="C33">
        <v>11</v>
      </c>
      <c r="D33" s="2">
        <v>0.34</v>
      </c>
    </row>
    <row r="34" spans="1:4" x14ac:dyDescent="0.25">
      <c r="A34" s="1">
        <v>41548</v>
      </c>
      <c r="B34" t="s">
        <v>142</v>
      </c>
      <c r="C34">
        <v>9</v>
      </c>
      <c r="D34" s="2">
        <v>0.3</v>
      </c>
    </row>
    <row r="35" spans="1:4" x14ac:dyDescent="0.25">
      <c r="A35" s="1">
        <v>41548</v>
      </c>
      <c r="B35" t="s">
        <v>140</v>
      </c>
      <c r="C35">
        <v>13</v>
      </c>
      <c r="D35" s="2">
        <v>0.23</v>
      </c>
    </row>
    <row r="36" spans="1:4" x14ac:dyDescent="0.25">
      <c r="A36" s="1">
        <v>41548</v>
      </c>
      <c r="B36" t="s">
        <v>138</v>
      </c>
      <c r="C36">
        <v>12</v>
      </c>
      <c r="D36" s="2">
        <v>0.3</v>
      </c>
    </row>
    <row r="37" spans="1:4" x14ac:dyDescent="0.25">
      <c r="A37" s="1">
        <v>41548</v>
      </c>
      <c r="B37" t="s">
        <v>136</v>
      </c>
      <c r="C37">
        <v>5</v>
      </c>
      <c r="D37" s="2">
        <v>0.28999999999999998</v>
      </c>
    </row>
    <row r="38" spans="1:4" x14ac:dyDescent="0.25">
      <c r="A38" s="1">
        <v>41548</v>
      </c>
      <c r="B38" t="s">
        <v>143</v>
      </c>
      <c r="C38">
        <v>10</v>
      </c>
      <c r="D38" s="2">
        <v>0.30999999999999994</v>
      </c>
    </row>
    <row r="39" spans="1:4" x14ac:dyDescent="0.25">
      <c r="A39" s="1">
        <v>41548</v>
      </c>
      <c r="B39" t="s">
        <v>135</v>
      </c>
      <c r="C39">
        <v>9</v>
      </c>
      <c r="D39" s="2">
        <v>0.42</v>
      </c>
    </row>
    <row r="40" spans="1:4" x14ac:dyDescent="0.25">
      <c r="A40" s="1">
        <v>41548</v>
      </c>
      <c r="B40" t="s">
        <v>139</v>
      </c>
      <c r="C40">
        <v>4</v>
      </c>
      <c r="D40" s="2">
        <v>0.16</v>
      </c>
    </row>
    <row r="41" spans="1:4" x14ac:dyDescent="0.25">
      <c r="A41" s="1">
        <v>41548</v>
      </c>
      <c r="B41" t="s">
        <v>137</v>
      </c>
      <c r="C41">
        <v>13</v>
      </c>
      <c r="D41" s="2">
        <v>0.36</v>
      </c>
    </row>
    <row r="42" spans="1:4" x14ac:dyDescent="0.25">
      <c r="A42" s="1">
        <v>41640</v>
      </c>
      <c r="B42" t="s">
        <v>141</v>
      </c>
      <c r="C42">
        <v>11</v>
      </c>
      <c r="D42" s="2">
        <v>0.41666666666666663</v>
      </c>
    </row>
    <row r="43" spans="1:4" x14ac:dyDescent="0.25">
      <c r="A43" s="1">
        <v>41640</v>
      </c>
      <c r="B43" t="s">
        <v>134</v>
      </c>
      <c r="C43">
        <v>14</v>
      </c>
      <c r="D43" s="2">
        <v>0.36</v>
      </c>
    </row>
    <row r="44" spans="1:4" x14ac:dyDescent="0.25">
      <c r="A44" s="1">
        <v>41640</v>
      </c>
      <c r="B44" t="s">
        <v>142</v>
      </c>
      <c r="C44">
        <v>11</v>
      </c>
      <c r="D44" s="2">
        <v>0.3</v>
      </c>
    </row>
    <row r="45" spans="1:4" x14ac:dyDescent="0.25">
      <c r="A45" s="1">
        <v>41640</v>
      </c>
      <c r="B45" t="s">
        <v>140</v>
      </c>
      <c r="C45">
        <v>14</v>
      </c>
      <c r="D45" s="2">
        <v>0.25</v>
      </c>
    </row>
    <row r="46" spans="1:4" x14ac:dyDescent="0.25">
      <c r="A46" s="1">
        <v>41640</v>
      </c>
      <c r="B46" t="s">
        <v>138</v>
      </c>
      <c r="C46">
        <v>13</v>
      </c>
      <c r="D46" s="2">
        <v>0.28000000000000003</v>
      </c>
    </row>
    <row r="47" spans="1:4" x14ac:dyDescent="0.25">
      <c r="A47" s="1">
        <v>41640</v>
      </c>
      <c r="B47" t="s">
        <v>136</v>
      </c>
      <c r="C47">
        <v>7</v>
      </c>
      <c r="D47" s="2">
        <v>0.3</v>
      </c>
    </row>
    <row r="48" spans="1:4" x14ac:dyDescent="0.25">
      <c r="A48" s="1">
        <v>41640</v>
      </c>
      <c r="B48" t="s">
        <v>143</v>
      </c>
      <c r="C48">
        <v>9</v>
      </c>
      <c r="D48" s="2">
        <v>0.28999999999999992</v>
      </c>
    </row>
    <row r="49" spans="1:4" x14ac:dyDescent="0.25">
      <c r="A49" s="1">
        <v>41640</v>
      </c>
      <c r="B49" t="s">
        <v>135</v>
      </c>
      <c r="C49">
        <v>6</v>
      </c>
      <c r="D49" s="2">
        <v>0.51</v>
      </c>
    </row>
    <row r="50" spans="1:4" x14ac:dyDescent="0.25">
      <c r="A50" s="1">
        <v>41640</v>
      </c>
      <c r="B50" t="s">
        <v>139</v>
      </c>
      <c r="C50">
        <v>4</v>
      </c>
      <c r="D50" s="2">
        <v>0.13999999999999999</v>
      </c>
    </row>
    <row r="51" spans="1:4" x14ac:dyDescent="0.25">
      <c r="A51" s="1">
        <v>41640</v>
      </c>
      <c r="B51" t="s">
        <v>137</v>
      </c>
      <c r="C51">
        <v>11</v>
      </c>
      <c r="D51" s="2">
        <v>0.32</v>
      </c>
    </row>
    <row r="52" spans="1:4" x14ac:dyDescent="0.25">
      <c r="A52" s="1">
        <v>41730</v>
      </c>
      <c r="B52" t="s">
        <v>141</v>
      </c>
      <c r="C52">
        <v>12</v>
      </c>
      <c r="D52" s="2">
        <v>0.55000000000000004</v>
      </c>
    </row>
    <row r="53" spans="1:4" x14ac:dyDescent="0.25">
      <c r="A53" s="1">
        <v>41730</v>
      </c>
      <c r="B53" t="s">
        <v>134</v>
      </c>
      <c r="C53">
        <v>12</v>
      </c>
      <c r="D53" s="2">
        <v>0.37</v>
      </c>
    </row>
    <row r="54" spans="1:4" x14ac:dyDescent="0.25">
      <c r="A54" s="1">
        <v>41730</v>
      </c>
      <c r="B54" t="s">
        <v>142</v>
      </c>
      <c r="C54">
        <v>10</v>
      </c>
      <c r="D54" s="2">
        <v>0.28000000000000003</v>
      </c>
    </row>
    <row r="55" spans="1:4" x14ac:dyDescent="0.25">
      <c r="A55" s="1">
        <v>41730</v>
      </c>
      <c r="B55" t="s">
        <v>140</v>
      </c>
      <c r="C55">
        <v>8</v>
      </c>
      <c r="D55" s="2">
        <v>0.27</v>
      </c>
    </row>
    <row r="56" spans="1:4" x14ac:dyDescent="0.25">
      <c r="A56" s="1">
        <v>41730</v>
      </c>
      <c r="B56" t="s">
        <v>138</v>
      </c>
      <c r="C56">
        <v>11</v>
      </c>
      <c r="D56" s="2">
        <v>0.25</v>
      </c>
    </row>
    <row r="57" spans="1:4" x14ac:dyDescent="0.25">
      <c r="A57" s="1">
        <v>41730</v>
      </c>
      <c r="B57" t="s">
        <v>136</v>
      </c>
      <c r="C57">
        <v>7</v>
      </c>
      <c r="D57" s="2">
        <v>0.31</v>
      </c>
    </row>
    <row r="58" spans="1:4" x14ac:dyDescent="0.25">
      <c r="A58" s="1">
        <v>41730</v>
      </c>
      <c r="B58" t="s">
        <v>143</v>
      </c>
      <c r="C58">
        <v>8</v>
      </c>
      <c r="D58" s="2">
        <v>0.27999999999999992</v>
      </c>
    </row>
    <row r="59" spans="1:4" x14ac:dyDescent="0.25">
      <c r="A59" s="1">
        <v>41730</v>
      </c>
      <c r="B59" t="s">
        <v>135</v>
      </c>
      <c r="C59">
        <v>8</v>
      </c>
      <c r="D59" s="2">
        <v>0.53</v>
      </c>
    </row>
    <row r="60" spans="1:4" x14ac:dyDescent="0.25">
      <c r="A60" s="1">
        <v>41730</v>
      </c>
      <c r="B60" t="s">
        <v>139</v>
      </c>
      <c r="C60">
        <v>4</v>
      </c>
      <c r="D60" s="2">
        <v>0.16999999999999998</v>
      </c>
    </row>
    <row r="61" spans="1:4" x14ac:dyDescent="0.25">
      <c r="A61" s="1">
        <v>41730</v>
      </c>
      <c r="B61" t="s">
        <v>137</v>
      </c>
      <c r="C61">
        <v>10</v>
      </c>
      <c r="D61" s="2">
        <v>0.34</v>
      </c>
    </row>
    <row r="62" spans="1:4" x14ac:dyDescent="0.25">
      <c r="A62" s="1">
        <v>41821</v>
      </c>
      <c r="B62" t="s">
        <v>141</v>
      </c>
      <c r="C62">
        <v>11</v>
      </c>
      <c r="D62" s="2">
        <v>0.48333333333333328</v>
      </c>
    </row>
    <row r="63" spans="1:4" x14ac:dyDescent="0.25">
      <c r="A63" s="1">
        <v>41821</v>
      </c>
      <c r="B63" t="s">
        <v>134</v>
      </c>
      <c r="C63">
        <v>13</v>
      </c>
      <c r="D63" s="2">
        <v>0.33</v>
      </c>
    </row>
    <row r="64" spans="1:4" x14ac:dyDescent="0.25">
      <c r="A64" s="1">
        <v>41821</v>
      </c>
      <c r="B64" t="s">
        <v>142</v>
      </c>
      <c r="C64">
        <v>11</v>
      </c>
      <c r="D64" s="2">
        <v>0.28999999999999998</v>
      </c>
    </row>
    <row r="65" spans="1:4" x14ac:dyDescent="0.25">
      <c r="A65" s="1">
        <v>41821</v>
      </c>
      <c r="B65" t="s">
        <v>140</v>
      </c>
      <c r="C65">
        <v>9</v>
      </c>
      <c r="D65" s="2">
        <v>0.28000000000000003</v>
      </c>
    </row>
    <row r="66" spans="1:4" x14ac:dyDescent="0.25">
      <c r="A66" s="1">
        <v>41821</v>
      </c>
      <c r="B66" t="s">
        <v>138</v>
      </c>
      <c r="C66">
        <v>10</v>
      </c>
      <c r="D66" s="2">
        <v>0.2</v>
      </c>
    </row>
    <row r="67" spans="1:4" x14ac:dyDescent="0.25">
      <c r="A67" s="1">
        <v>41821</v>
      </c>
      <c r="B67" t="s">
        <v>136</v>
      </c>
      <c r="C67">
        <v>7</v>
      </c>
      <c r="D67" s="2">
        <v>0.32</v>
      </c>
    </row>
    <row r="68" spans="1:4" x14ac:dyDescent="0.25">
      <c r="A68" s="1">
        <v>41821</v>
      </c>
      <c r="B68" t="s">
        <v>143</v>
      </c>
      <c r="C68">
        <v>8</v>
      </c>
      <c r="D68" s="2">
        <v>0.26999999999999991</v>
      </c>
    </row>
    <row r="69" spans="1:4" x14ac:dyDescent="0.25">
      <c r="A69" s="1">
        <v>41821</v>
      </c>
      <c r="B69" t="s">
        <v>135</v>
      </c>
      <c r="C69">
        <v>9</v>
      </c>
      <c r="D69" s="2">
        <v>0.57999999999999996</v>
      </c>
    </row>
    <row r="70" spans="1:4" x14ac:dyDescent="0.25">
      <c r="A70" s="1">
        <v>41821</v>
      </c>
      <c r="B70" t="s">
        <v>139</v>
      </c>
      <c r="C70">
        <v>5</v>
      </c>
      <c r="D70" s="2">
        <v>0.16</v>
      </c>
    </row>
    <row r="71" spans="1:4" x14ac:dyDescent="0.25">
      <c r="A71" s="1">
        <v>41821</v>
      </c>
      <c r="B71" t="s">
        <v>137</v>
      </c>
      <c r="C71">
        <v>8</v>
      </c>
      <c r="D71" s="2">
        <v>0.3</v>
      </c>
    </row>
    <row r="72" spans="1:4" x14ac:dyDescent="0.25">
      <c r="A72" s="1">
        <v>41913</v>
      </c>
      <c r="B72" t="s">
        <v>141</v>
      </c>
      <c r="C72">
        <v>13</v>
      </c>
      <c r="D72" s="2">
        <v>0.48333333333333328</v>
      </c>
    </row>
    <row r="73" spans="1:4" x14ac:dyDescent="0.25">
      <c r="A73" s="1">
        <v>41913</v>
      </c>
      <c r="B73" t="s">
        <v>134</v>
      </c>
      <c r="C73">
        <v>13</v>
      </c>
      <c r="D73" s="2">
        <v>0.39</v>
      </c>
    </row>
    <row r="74" spans="1:4" x14ac:dyDescent="0.25">
      <c r="A74" s="1">
        <v>41913</v>
      </c>
      <c r="B74" t="s">
        <v>142</v>
      </c>
      <c r="C74">
        <v>11</v>
      </c>
      <c r="D74" s="2">
        <v>0.27</v>
      </c>
    </row>
    <row r="75" spans="1:4" x14ac:dyDescent="0.25">
      <c r="A75" s="1">
        <v>41913</v>
      </c>
      <c r="B75" t="s">
        <v>140</v>
      </c>
      <c r="C75">
        <v>7</v>
      </c>
      <c r="D75" s="2">
        <v>0.26</v>
      </c>
    </row>
    <row r="76" spans="1:4" x14ac:dyDescent="0.25">
      <c r="A76" s="1">
        <v>41913</v>
      </c>
      <c r="B76" t="s">
        <v>138</v>
      </c>
      <c r="C76">
        <v>9</v>
      </c>
      <c r="D76" s="2">
        <v>0.18</v>
      </c>
    </row>
    <row r="77" spans="1:4" x14ac:dyDescent="0.25">
      <c r="A77" s="1">
        <v>41913</v>
      </c>
      <c r="B77" t="s">
        <v>136</v>
      </c>
      <c r="C77">
        <v>8</v>
      </c>
      <c r="D77" s="2">
        <v>0.33</v>
      </c>
    </row>
    <row r="78" spans="1:4" x14ac:dyDescent="0.25">
      <c r="A78" s="1">
        <v>41913</v>
      </c>
      <c r="B78" t="s">
        <v>143</v>
      </c>
      <c r="C78">
        <v>8</v>
      </c>
      <c r="D78" s="2">
        <v>0.2599999999999999</v>
      </c>
    </row>
    <row r="79" spans="1:4" x14ac:dyDescent="0.25">
      <c r="A79" s="1">
        <v>41913</v>
      </c>
      <c r="B79" t="s">
        <v>135</v>
      </c>
      <c r="C79">
        <v>7</v>
      </c>
      <c r="D79" s="2">
        <v>0.56000000000000005</v>
      </c>
    </row>
    <row r="80" spans="1:4" x14ac:dyDescent="0.25">
      <c r="A80" s="1">
        <v>41913</v>
      </c>
      <c r="B80" t="s">
        <v>139</v>
      </c>
      <c r="C80">
        <v>6</v>
      </c>
      <c r="D80" s="2">
        <v>0.13</v>
      </c>
    </row>
    <row r="81" spans="1:4" x14ac:dyDescent="0.25">
      <c r="A81" s="1">
        <v>41913</v>
      </c>
      <c r="B81" t="s">
        <v>137</v>
      </c>
      <c r="C81">
        <v>6</v>
      </c>
      <c r="D81" s="2">
        <v>0.25</v>
      </c>
    </row>
    <row r="82" spans="1:4" x14ac:dyDescent="0.25">
      <c r="A82" s="1">
        <v>42005</v>
      </c>
      <c r="B82" t="s">
        <v>141</v>
      </c>
      <c r="C82">
        <v>12</v>
      </c>
      <c r="D82" s="2">
        <v>0.41666666666666663</v>
      </c>
    </row>
    <row r="83" spans="1:4" x14ac:dyDescent="0.25">
      <c r="A83" s="1">
        <v>42005</v>
      </c>
      <c r="B83" t="s">
        <v>134</v>
      </c>
      <c r="C83">
        <v>12</v>
      </c>
      <c r="D83" s="2">
        <v>0.4</v>
      </c>
    </row>
    <row r="84" spans="1:4" x14ac:dyDescent="0.25">
      <c r="A84" s="1">
        <v>42005</v>
      </c>
      <c r="B84" t="s">
        <v>142</v>
      </c>
      <c r="C84">
        <v>11</v>
      </c>
      <c r="D84" s="2">
        <v>0.25</v>
      </c>
    </row>
    <row r="85" spans="1:4" x14ac:dyDescent="0.25">
      <c r="A85" s="1">
        <v>42005</v>
      </c>
      <c r="B85" t="s">
        <v>140</v>
      </c>
      <c r="C85">
        <v>11</v>
      </c>
      <c r="D85" s="2">
        <v>0.23</v>
      </c>
    </row>
    <row r="86" spans="1:4" x14ac:dyDescent="0.25">
      <c r="A86" s="1">
        <v>42005</v>
      </c>
      <c r="B86" t="s">
        <v>138</v>
      </c>
      <c r="C86">
        <v>9</v>
      </c>
      <c r="D86" s="2">
        <v>0.11</v>
      </c>
    </row>
    <row r="87" spans="1:4" x14ac:dyDescent="0.25">
      <c r="A87" s="1">
        <v>42005</v>
      </c>
      <c r="B87" t="s">
        <v>136</v>
      </c>
      <c r="C87">
        <v>8</v>
      </c>
      <c r="D87" s="2">
        <v>0.32</v>
      </c>
    </row>
    <row r="88" spans="1:4" x14ac:dyDescent="0.25">
      <c r="A88" s="1">
        <v>42005</v>
      </c>
      <c r="B88" t="s">
        <v>143</v>
      </c>
      <c r="C88">
        <v>8</v>
      </c>
      <c r="D88" s="2">
        <v>0.23999999999999991</v>
      </c>
    </row>
    <row r="89" spans="1:4" x14ac:dyDescent="0.25">
      <c r="A89" s="1">
        <v>42005</v>
      </c>
      <c r="B89" t="s">
        <v>135</v>
      </c>
      <c r="C89">
        <v>6</v>
      </c>
      <c r="D89" s="2">
        <v>0.53</v>
      </c>
    </row>
    <row r="90" spans="1:4" x14ac:dyDescent="0.25">
      <c r="A90" s="1">
        <v>42005</v>
      </c>
      <c r="B90" t="s">
        <v>139</v>
      </c>
      <c r="C90">
        <v>4</v>
      </c>
      <c r="D90" s="2">
        <v>0.13999999999999999</v>
      </c>
    </row>
    <row r="91" spans="1:4" x14ac:dyDescent="0.25">
      <c r="A91" s="1">
        <v>42005</v>
      </c>
      <c r="B91" t="s">
        <v>137</v>
      </c>
      <c r="C91">
        <v>7</v>
      </c>
      <c r="D91" s="2">
        <v>0.27</v>
      </c>
    </row>
    <row r="92" spans="1:4" x14ac:dyDescent="0.25">
      <c r="A92" s="1">
        <v>42095</v>
      </c>
      <c r="B92" t="s">
        <v>141</v>
      </c>
      <c r="C92">
        <v>11</v>
      </c>
      <c r="D92" s="2">
        <v>0.48333333333333328</v>
      </c>
    </row>
    <row r="93" spans="1:4" x14ac:dyDescent="0.25">
      <c r="A93" s="1">
        <v>42095</v>
      </c>
      <c r="B93" t="s">
        <v>134</v>
      </c>
      <c r="C93">
        <v>11</v>
      </c>
      <c r="D93" s="2">
        <v>0.45</v>
      </c>
    </row>
    <row r="94" spans="1:4" x14ac:dyDescent="0.25">
      <c r="A94" s="1">
        <v>42095</v>
      </c>
      <c r="B94" t="s">
        <v>142</v>
      </c>
      <c r="C94">
        <v>11</v>
      </c>
      <c r="D94" s="2">
        <v>0.23</v>
      </c>
    </row>
    <row r="95" spans="1:4" x14ac:dyDescent="0.25">
      <c r="A95" s="1">
        <v>42095</v>
      </c>
      <c r="B95" t="s">
        <v>140</v>
      </c>
      <c r="C95">
        <v>12</v>
      </c>
      <c r="D95" s="2">
        <v>0.24</v>
      </c>
    </row>
    <row r="96" spans="1:4" x14ac:dyDescent="0.25">
      <c r="A96" s="1">
        <v>42095</v>
      </c>
      <c r="B96" t="s">
        <v>138</v>
      </c>
      <c r="C96">
        <v>9</v>
      </c>
      <c r="D96" s="2">
        <v>0.12</v>
      </c>
    </row>
    <row r="97" spans="1:4" x14ac:dyDescent="0.25">
      <c r="A97" s="1">
        <v>42095</v>
      </c>
      <c r="B97" t="s">
        <v>136</v>
      </c>
      <c r="C97">
        <v>9</v>
      </c>
      <c r="D97" s="2">
        <v>0.35</v>
      </c>
    </row>
    <row r="98" spans="1:4" x14ac:dyDescent="0.25">
      <c r="A98" s="1">
        <v>42095</v>
      </c>
      <c r="B98" t="s">
        <v>143</v>
      </c>
      <c r="C98">
        <v>8</v>
      </c>
      <c r="D98" s="2">
        <v>0.2299999999999999</v>
      </c>
    </row>
    <row r="99" spans="1:4" x14ac:dyDescent="0.25">
      <c r="A99" s="1">
        <v>42095</v>
      </c>
      <c r="B99" t="s">
        <v>135</v>
      </c>
      <c r="C99">
        <v>8</v>
      </c>
      <c r="D99" s="2">
        <v>0.46</v>
      </c>
    </row>
    <row r="100" spans="1:4" x14ac:dyDescent="0.25">
      <c r="A100" s="1">
        <v>42095</v>
      </c>
      <c r="B100" t="s">
        <v>139</v>
      </c>
      <c r="C100">
        <v>3</v>
      </c>
      <c r="D100" s="2">
        <v>0.16</v>
      </c>
    </row>
    <row r="101" spans="1:4" x14ac:dyDescent="0.25">
      <c r="A101" s="1">
        <v>42095</v>
      </c>
      <c r="B101" t="s">
        <v>137</v>
      </c>
      <c r="C101">
        <v>9</v>
      </c>
      <c r="D101" s="2">
        <v>0.34</v>
      </c>
    </row>
    <row r="102" spans="1:4" x14ac:dyDescent="0.25">
      <c r="A102" s="1">
        <v>42186</v>
      </c>
      <c r="B102" t="s">
        <v>141</v>
      </c>
      <c r="C102">
        <v>12</v>
      </c>
      <c r="D102" s="2">
        <v>0.55000000000000004</v>
      </c>
    </row>
    <row r="103" spans="1:4" x14ac:dyDescent="0.25">
      <c r="A103" s="1">
        <v>42186</v>
      </c>
      <c r="B103" t="s">
        <v>134</v>
      </c>
      <c r="C103">
        <v>14</v>
      </c>
      <c r="D103" s="2">
        <v>0.4</v>
      </c>
    </row>
    <row r="104" spans="1:4" x14ac:dyDescent="0.25">
      <c r="A104" s="1">
        <v>42186</v>
      </c>
      <c r="B104" t="s">
        <v>142</v>
      </c>
      <c r="C104">
        <v>9</v>
      </c>
      <c r="D104" s="2">
        <v>0.24</v>
      </c>
    </row>
    <row r="105" spans="1:4" x14ac:dyDescent="0.25">
      <c r="A105" s="1">
        <v>42186</v>
      </c>
      <c r="B105" t="s">
        <v>140</v>
      </c>
      <c r="C105">
        <v>9</v>
      </c>
      <c r="D105" s="2">
        <v>0.22</v>
      </c>
    </row>
    <row r="106" spans="1:4" x14ac:dyDescent="0.25">
      <c r="A106" s="1">
        <v>42186</v>
      </c>
      <c r="B106" t="s">
        <v>138</v>
      </c>
      <c r="C106">
        <v>9</v>
      </c>
      <c r="D106" s="2">
        <v>0.13</v>
      </c>
    </row>
    <row r="107" spans="1:4" x14ac:dyDescent="0.25">
      <c r="A107" s="1">
        <v>42186</v>
      </c>
      <c r="B107" t="s">
        <v>136</v>
      </c>
      <c r="C107">
        <v>11</v>
      </c>
      <c r="D107" s="2">
        <v>0.35</v>
      </c>
    </row>
    <row r="108" spans="1:4" x14ac:dyDescent="0.25">
      <c r="A108" s="1">
        <v>42186</v>
      </c>
      <c r="B108" t="s">
        <v>143</v>
      </c>
      <c r="C108">
        <v>8</v>
      </c>
      <c r="D108" s="2">
        <v>0.20999999999999991</v>
      </c>
    </row>
    <row r="109" spans="1:4" x14ac:dyDescent="0.25">
      <c r="A109" s="1">
        <v>42186</v>
      </c>
      <c r="B109" t="s">
        <v>135</v>
      </c>
      <c r="C109">
        <v>8</v>
      </c>
      <c r="D109" s="2">
        <v>0.48</v>
      </c>
    </row>
    <row r="110" spans="1:4" x14ac:dyDescent="0.25">
      <c r="A110" s="1">
        <v>42186</v>
      </c>
      <c r="B110" t="s">
        <v>139</v>
      </c>
      <c r="C110">
        <v>5</v>
      </c>
      <c r="D110" s="2">
        <v>0.13999999999999999</v>
      </c>
    </row>
    <row r="111" spans="1:4" x14ac:dyDescent="0.25">
      <c r="A111" s="1">
        <v>42186</v>
      </c>
      <c r="B111" t="s">
        <v>137</v>
      </c>
      <c r="C111">
        <v>12</v>
      </c>
      <c r="D111" s="2">
        <v>0.35</v>
      </c>
    </row>
    <row r="112" spans="1:4" x14ac:dyDescent="0.25">
      <c r="A112" s="1">
        <v>42278</v>
      </c>
      <c r="B112" t="s">
        <v>141</v>
      </c>
      <c r="C112">
        <v>13</v>
      </c>
      <c r="D112" s="2">
        <v>0.41666666666666663</v>
      </c>
    </row>
    <row r="113" spans="1:4" x14ac:dyDescent="0.25">
      <c r="A113" s="1">
        <v>42278</v>
      </c>
      <c r="B113" t="s">
        <v>134</v>
      </c>
      <c r="C113">
        <v>14</v>
      </c>
      <c r="D113" s="2">
        <v>0.38</v>
      </c>
    </row>
    <row r="114" spans="1:4" x14ac:dyDescent="0.25">
      <c r="A114" s="1">
        <v>42278</v>
      </c>
      <c r="B114" t="s">
        <v>142</v>
      </c>
      <c r="C114">
        <v>9</v>
      </c>
      <c r="D114" s="2">
        <v>0.25</v>
      </c>
    </row>
    <row r="115" spans="1:4" x14ac:dyDescent="0.25">
      <c r="A115" s="1">
        <v>42278</v>
      </c>
      <c r="B115" t="s">
        <v>140</v>
      </c>
      <c r="C115">
        <v>8</v>
      </c>
      <c r="D115" s="2">
        <v>0.2</v>
      </c>
    </row>
    <row r="116" spans="1:4" x14ac:dyDescent="0.25">
      <c r="A116" s="1">
        <v>42278</v>
      </c>
      <c r="B116" t="s">
        <v>138</v>
      </c>
      <c r="C116">
        <v>9</v>
      </c>
      <c r="D116" s="2">
        <v>0.17</v>
      </c>
    </row>
    <row r="117" spans="1:4" x14ac:dyDescent="0.25">
      <c r="A117" s="1">
        <v>42278</v>
      </c>
      <c r="B117" t="s">
        <v>136</v>
      </c>
      <c r="C117">
        <v>11</v>
      </c>
      <c r="D117" s="2">
        <v>0.37</v>
      </c>
    </row>
    <row r="118" spans="1:4" x14ac:dyDescent="0.25">
      <c r="A118" s="1">
        <v>42278</v>
      </c>
      <c r="B118" t="s">
        <v>143</v>
      </c>
      <c r="C118">
        <v>7</v>
      </c>
      <c r="D118" s="2">
        <v>0.1999999999999999</v>
      </c>
    </row>
    <row r="119" spans="1:4" x14ac:dyDescent="0.25">
      <c r="A119" s="1">
        <v>42278</v>
      </c>
      <c r="B119" t="s">
        <v>135</v>
      </c>
      <c r="C119">
        <v>6</v>
      </c>
      <c r="D119" s="2">
        <v>0.45</v>
      </c>
    </row>
    <row r="120" spans="1:4" x14ac:dyDescent="0.25">
      <c r="A120" s="1">
        <v>42278</v>
      </c>
      <c r="B120" t="s">
        <v>139</v>
      </c>
      <c r="C120">
        <v>4</v>
      </c>
      <c r="D120" s="2">
        <v>0.16</v>
      </c>
    </row>
    <row r="121" spans="1:4" x14ac:dyDescent="0.25">
      <c r="A121" s="1">
        <v>42278</v>
      </c>
      <c r="B121" t="s">
        <v>137</v>
      </c>
      <c r="C121">
        <v>13</v>
      </c>
      <c r="D121" s="2">
        <v>0.39</v>
      </c>
    </row>
    <row r="122" spans="1:4" x14ac:dyDescent="0.25">
      <c r="A122" s="1">
        <v>42370</v>
      </c>
      <c r="B122" t="s">
        <v>141</v>
      </c>
      <c r="C122">
        <v>11</v>
      </c>
      <c r="D122" s="2">
        <v>0.41666666666666663</v>
      </c>
    </row>
    <row r="123" spans="1:4" x14ac:dyDescent="0.25">
      <c r="A123" s="1">
        <v>42370</v>
      </c>
      <c r="B123" t="s">
        <v>134</v>
      </c>
      <c r="C123">
        <v>14</v>
      </c>
      <c r="D123" s="2">
        <v>0.42</v>
      </c>
    </row>
    <row r="124" spans="1:4" x14ac:dyDescent="0.25">
      <c r="A124" s="1">
        <v>42370</v>
      </c>
      <c r="B124" t="s">
        <v>142</v>
      </c>
      <c r="C124">
        <v>11</v>
      </c>
      <c r="D124" s="2">
        <v>0.22</v>
      </c>
    </row>
    <row r="125" spans="1:4" x14ac:dyDescent="0.25">
      <c r="A125" s="1">
        <v>42370</v>
      </c>
      <c r="B125" t="s">
        <v>140</v>
      </c>
      <c r="C125">
        <v>8</v>
      </c>
      <c r="D125" s="2">
        <v>0.25</v>
      </c>
    </row>
    <row r="126" spans="1:4" x14ac:dyDescent="0.25">
      <c r="A126" s="1">
        <v>42370</v>
      </c>
      <c r="B126" t="s">
        <v>138</v>
      </c>
      <c r="C126">
        <v>8</v>
      </c>
      <c r="D126" s="2">
        <v>0.22</v>
      </c>
    </row>
    <row r="127" spans="1:4" x14ac:dyDescent="0.25">
      <c r="A127" s="1">
        <v>42370</v>
      </c>
      <c r="B127" t="s">
        <v>136</v>
      </c>
      <c r="C127">
        <v>10</v>
      </c>
      <c r="D127" s="2">
        <v>0.38</v>
      </c>
    </row>
    <row r="128" spans="1:4" x14ac:dyDescent="0.25">
      <c r="A128" s="1">
        <v>42370</v>
      </c>
      <c r="B128" t="s">
        <v>143</v>
      </c>
      <c r="C128">
        <v>5</v>
      </c>
      <c r="D128" s="2">
        <v>0.17999999999999991</v>
      </c>
    </row>
    <row r="129" spans="1:4" x14ac:dyDescent="0.25">
      <c r="A129" s="1">
        <v>42370</v>
      </c>
      <c r="B129" t="s">
        <v>135</v>
      </c>
      <c r="C129">
        <v>7</v>
      </c>
      <c r="D129" s="2">
        <v>0.51</v>
      </c>
    </row>
    <row r="130" spans="1:4" x14ac:dyDescent="0.25">
      <c r="A130" s="1">
        <v>42370</v>
      </c>
      <c r="B130" t="s">
        <v>139</v>
      </c>
      <c r="C130">
        <v>3</v>
      </c>
      <c r="D130" s="2">
        <v>0.13999999999999999</v>
      </c>
    </row>
    <row r="131" spans="1:4" x14ac:dyDescent="0.25">
      <c r="A131" s="1">
        <v>42370</v>
      </c>
      <c r="B131" t="s">
        <v>137</v>
      </c>
      <c r="C131">
        <v>14</v>
      </c>
      <c r="D131" s="2">
        <v>0.41</v>
      </c>
    </row>
    <row r="132" spans="1:4" x14ac:dyDescent="0.25">
      <c r="A132" s="1">
        <v>42461</v>
      </c>
      <c r="B132" t="s">
        <v>141</v>
      </c>
      <c r="C132">
        <v>13</v>
      </c>
      <c r="D132" s="2">
        <v>0.48333333333333328</v>
      </c>
    </row>
    <row r="133" spans="1:4" x14ac:dyDescent="0.25">
      <c r="A133" s="1">
        <v>42461</v>
      </c>
      <c r="B133" t="s">
        <v>134</v>
      </c>
      <c r="C133">
        <v>13</v>
      </c>
      <c r="D133" s="2">
        <v>0.42</v>
      </c>
    </row>
    <row r="134" spans="1:4" x14ac:dyDescent="0.25">
      <c r="A134" s="1">
        <v>42461</v>
      </c>
      <c r="B134" t="s">
        <v>142</v>
      </c>
      <c r="C134">
        <v>10</v>
      </c>
      <c r="D134" s="2">
        <v>0.2</v>
      </c>
    </row>
    <row r="135" spans="1:4" x14ac:dyDescent="0.25">
      <c r="A135" s="1">
        <v>42461</v>
      </c>
      <c r="B135" t="s">
        <v>140</v>
      </c>
      <c r="C135">
        <v>7</v>
      </c>
      <c r="D135" s="2">
        <v>0.26</v>
      </c>
    </row>
    <row r="136" spans="1:4" x14ac:dyDescent="0.25">
      <c r="A136" s="1">
        <v>42461</v>
      </c>
      <c r="B136" t="s">
        <v>138</v>
      </c>
      <c r="C136">
        <v>11</v>
      </c>
      <c r="D136" s="2">
        <v>0.25</v>
      </c>
    </row>
    <row r="137" spans="1:4" x14ac:dyDescent="0.25">
      <c r="A137" s="1">
        <v>42461</v>
      </c>
      <c r="B137" t="s">
        <v>136</v>
      </c>
      <c r="C137">
        <v>10</v>
      </c>
      <c r="D137" s="2">
        <v>0.39</v>
      </c>
    </row>
    <row r="138" spans="1:4" x14ac:dyDescent="0.25">
      <c r="A138" s="1">
        <v>42461</v>
      </c>
      <c r="B138" t="s">
        <v>143</v>
      </c>
      <c r="C138">
        <v>3</v>
      </c>
      <c r="D138" s="2">
        <v>0.1699999999999999</v>
      </c>
    </row>
    <row r="139" spans="1:4" x14ac:dyDescent="0.25">
      <c r="A139" s="1">
        <v>42461</v>
      </c>
      <c r="B139" t="s">
        <v>135</v>
      </c>
      <c r="C139">
        <v>8</v>
      </c>
      <c r="D139" s="2">
        <v>0.49</v>
      </c>
    </row>
    <row r="140" spans="1:4" x14ac:dyDescent="0.25">
      <c r="A140" s="1">
        <v>42461</v>
      </c>
      <c r="B140" t="s">
        <v>139</v>
      </c>
      <c r="C140">
        <v>2</v>
      </c>
      <c r="D140" s="2">
        <v>0.13</v>
      </c>
    </row>
    <row r="141" spans="1:4" x14ac:dyDescent="0.25">
      <c r="A141" s="1">
        <v>42461</v>
      </c>
      <c r="B141" t="s">
        <v>137</v>
      </c>
      <c r="C141">
        <v>15</v>
      </c>
      <c r="D141" s="2">
        <v>0.42</v>
      </c>
    </row>
    <row r="142" spans="1:4" x14ac:dyDescent="0.25">
      <c r="A142" s="1">
        <v>42552</v>
      </c>
      <c r="B142" t="s">
        <v>141</v>
      </c>
      <c r="C142">
        <v>11</v>
      </c>
      <c r="D142" s="2">
        <v>0.48333333333333328</v>
      </c>
    </row>
    <row r="143" spans="1:4" x14ac:dyDescent="0.25">
      <c r="A143" s="1">
        <v>42552</v>
      </c>
      <c r="B143" t="s">
        <v>134</v>
      </c>
      <c r="C143">
        <v>14</v>
      </c>
      <c r="D143" s="2">
        <v>0.44</v>
      </c>
    </row>
    <row r="144" spans="1:4" x14ac:dyDescent="0.25">
      <c r="A144" s="1">
        <v>42552</v>
      </c>
      <c r="B144" t="s">
        <v>142</v>
      </c>
      <c r="C144">
        <v>10</v>
      </c>
      <c r="D144" s="2">
        <v>0.18</v>
      </c>
    </row>
    <row r="145" spans="1:4" x14ac:dyDescent="0.25">
      <c r="A145" s="1">
        <v>42552</v>
      </c>
      <c r="B145" t="s">
        <v>140</v>
      </c>
      <c r="C145">
        <v>6</v>
      </c>
      <c r="D145" s="2">
        <v>0.28000000000000003</v>
      </c>
    </row>
    <row r="146" spans="1:4" x14ac:dyDescent="0.25">
      <c r="A146" s="1">
        <v>42552</v>
      </c>
      <c r="B146" t="s">
        <v>138</v>
      </c>
      <c r="C146">
        <v>8</v>
      </c>
      <c r="D146" s="2">
        <v>0.26</v>
      </c>
    </row>
    <row r="147" spans="1:4" x14ac:dyDescent="0.25">
      <c r="A147" s="1">
        <v>42552</v>
      </c>
      <c r="B147" t="s">
        <v>136</v>
      </c>
      <c r="C147">
        <v>9</v>
      </c>
      <c r="D147" s="2">
        <v>0.37</v>
      </c>
    </row>
    <row r="148" spans="1:4" x14ac:dyDescent="0.25">
      <c r="A148" s="1">
        <v>42552</v>
      </c>
      <c r="B148" t="s">
        <v>143</v>
      </c>
      <c r="C148">
        <v>3</v>
      </c>
      <c r="D148" s="2">
        <v>0.14999999999999991</v>
      </c>
    </row>
    <row r="149" spans="1:4" x14ac:dyDescent="0.25">
      <c r="A149" s="1">
        <v>42552</v>
      </c>
      <c r="B149" t="s">
        <v>135</v>
      </c>
      <c r="C149">
        <v>8</v>
      </c>
      <c r="D149" s="2">
        <v>0.55000000000000004</v>
      </c>
    </row>
    <row r="150" spans="1:4" x14ac:dyDescent="0.25">
      <c r="A150" s="1">
        <v>42552</v>
      </c>
      <c r="B150" t="s">
        <v>139</v>
      </c>
      <c r="C150">
        <v>3</v>
      </c>
      <c r="D150" s="2">
        <v>0.15</v>
      </c>
    </row>
    <row r="151" spans="1:4" x14ac:dyDescent="0.25">
      <c r="A151" s="1">
        <v>42552</v>
      </c>
      <c r="B151" t="s">
        <v>137</v>
      </c>
      <c r="C151">
        <v>16</v>
      </c>
      <c r="D151" s="2">
        <v>0.49</v>
      </c>
    </row>
    <row r="152" spans="1:4" x14ac:dyDescent="0.25">
      <c r="A152" s="1">
        <v>42644</v>
      </c>
      <c r="B152" t="s">
        <v>141</v>
      </c>
      <c r="C152">
        <v>13</v>
      </c>
      <c r="D152" s="2">
        <v>0.41666666666666663</v>
      </c>
    </row>
    <row r="153" spans="1:4" x14ac:dyDescent="0.25">
      <c r="A153" s="1">
        <v>42644</v>
      </c>
      <c r="B153" t="s">
        <v>134</v>
      </c>
      <c r="C153">
        <v>14</v>
      </c>
      <c r="D153" s="2">
        <v>0.43</v>
      </c>
    </row>
    <row r="154" spans="1:4" x14ac:dyDescent="0.25">
      <c r="A154" s="1">
        <v>42644</v>
      </c>
      <c r="B154" t="s">
        <v>142</v>
      </c>
      <c r="C154">
        <v>10</v>
      </c>
      <c r="D154" s="2">
        <v>0.19</v>
      </c>
    </row>
    <row r="155" spans="1:4" x14ac:dyDescent="0.25">
      <c r="A155" s="1">
        <v>42644</v>
      </c>
      <c r="B155" t="s">
        <v>140</v>
      </c>
      <c r="C155">
        <v>12</v>
      </c>
      <c r="D155" s="2">
        <v>0.28999999999999998</v>
      </c>
    </row>
    <row r="156" spans="1:4" x14ac:dyDescent="0.25">
      <c r="A156" s="1">
        <v>42644</v>
      </c>
      <c r="B156" t="s">
        <v>138</v>
      </c>
      <c r="C156">
        <v>9</v>
      </c>
      <c r="D156" s="2">
        <v>0.25</v>
      </c>
    </row>
    <row r="157" spans="1:4" x14ac:dyDescent="0.25">
      <c r="A157" s="1">
        <v>42644</v>
      </c>
      <c r="B157" t="s">
        <v>136</v>
      </c>
      <c r="C157">
        <v>8</v>
      </c>
      <c r="D157" s="2">
        <v>0.35</v>
      </c>
    </row>
    <row r="158" spans="1:4" x14ac:dyDescent="0.25">
      <c r="A158" s="1">
        <v>42644</v>
      </c>
      <c r="B158" t="s">
        <v>143</v>
      </c>
      <c r="C158">
        <v>1</v>
      </c>
      <c r="D158" s="2">
        <v>0.12999999999999992</v>
      </c>
    </row>
    <row r="159" spans="1:4" x14ac:dyDescent="0.25">
      <c r="A159" s="1">
        <v>42644</v>
      </c>
      <c r="B159" t="s">
        <v>135</v>
      </c>
      <c r="C159">
        <v>6</v>
      </c>
      <c r="D159" s="2">
        <v>0.48</v>
      </c>
    </row>
    <row r="160" spans="1:4" x14ac:dyDescent="0.25">
      <c r="A160" s="1">
        <v>42644</v>
      </c>
      <c r="B160" t="s">
        <v>139</v>
      </c>
      <c r="C160">
        <v>4</v>
      </c>
      <c r="D160" s="2">
        <v>0.15</v>
      </c>
    </row>
    <row r="161" spans="1:4" x14ac:dyDescent="0.25">
      <c r="A161" s="1">
        <v>42644</v>
      </c>
      <c r="B161" t="s">
        <v>137</v>
      </c>
      <c r="C161">
        <v>16</v>
      </c>
      <c r="D161" s="2">
        <v>0.51</v>
      </c>
    </row>
    <row r="162" spans="1:4" x14ac:dyDescent="0.25">
      <c r="A162" s="1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G792"/>
  <sheetViews>
    <sheetView workbookViewId="0">
      <selection activeCell="E13" sqref="E13"/>
    </sheetView>
  </sheetViews>
  <sheetFormatPr defaultRowHeight="13.8" x14ac:dyDescent="0.25"/>
  <cols>
    <col min="1" max="1" width="8.5546875" customWidth="1"/>
    <col min="2" max="2" width="29.21875" bestFit="1" customWidth="1"/>
    <col min="3" max="3" width="13.109375" bestFit="1" customWidth="1"/>
    <col min="4" max="4" width="9.44140625" customWidth="1"/>
    <col min="5" max="5" width="18.21875" customWidth="1"/>
    <col min="6" max="6" width="11.77734375" customWidth="1"/>
    <col min="7" max="7" width="9.5546875" bestFit="1" customWidth="1"/>
    <col min="9" max="9" width="12.88671875" bestFit="1" customWidth="1"/>
    <col min="10" max="10" width="12.33203125" bestFit="1" customWidth="1"/>
    <col min="11" max="11" width="12.88671875" bestFit="1" customWidth="1"/>
    <col min="12" max="12" width="12.33203125" bestFit="1" customWidth="1"/>
    <col min="13" max="13" width="17.33203125" bestFit="1" customWidth="1"/>
    <col min="14" max="14" width="16.6640625" bestFit="1" customWidth="1"/>
    <col min="15" max="15" width="12.88671875" bestFit="1" customWidth="1"/>
    <col min="16" max="16" width="12.33203125" bestFit="1" customWidth="1"/>
    <col min="17" max="17" width="12.88671875" bestFit="1" customWidth="1"/>
    <col min="18" max="18" width="12.33203125" bestFit="1" customWidth="1"/>
    <col min="19" max="19" width="12.88671875" bestFit="1" customWidth="1"/>
    <col min="20" max="20" width="12.33203125" bestFit="1" customWidth="1"/>
    <col min="21" max="21" width="12.88671875" bestFit="1" customWidth="1"/>
    <col min="22" max="22" width="12.33203125" bestFit="1" customWidth="1"/>
    <col min="23" max="23" width="20.5546875" bestFit="1" customWidth="1"/>
    <col min="24" max="24" width="20" bestFit="1" customWidth="1"/>
    <col min="25" max="25" width="12.88671875" bestFit="1" customWidth="1"/>
    <col min="26" max="26" width="12.33203125" bestFit="1" customWidth="1"/>
    <col min="27" max="27" width="12.88671875" bestFit="1" customWidth="1"/>
    <col min="28" max="28" width="12.33203125" bestFit="1" customWidth="1"/>
    <col min="29" max="29" width="12.88671875" bestFit="1" customWidth="1"/>
    <col min="30" max="30" width="12.33203125" bestFit="1" customWidth="1"/>
    <col min="31" max="31" width="12.88671875" bestFit="1" customWidth="1"/>
    <col min="32" max="32" width="12.33203125" bestFit="1" customWidth="1"/>
    <col min="33" max="33" width="20.5546875" bestFit="1" customWidth="1"/>
    <col min="34" max="34" width="20" bestFit="1" customWidth="1"/>
    <col min="35" max="35" width="17.33203125" bestFit="1" customWidth="1"/>
    <col min="36" max="36" width="16.6640625" bestFit="1" customWidth="1"/>
  </cols>
  <sheetData>
    <row r="1" spans="1:7" x14ac:dyDescent="0.25">
      <c r="A1" s="4" t="s">
        <v>123</v>
      </c>
      <c r="B1" s="5" t="s">
        <v>52</v>
      </c>
      <c r="C1" s="5" t="s">
        <v>84</v>
      </c>
      <c r="D1" s="5" t="s">
        <v>53</v>
      </c>
      <c r="E1" s="5" t="s">
        <v>127</v>
      </c>
      <c r="F1" s="5" t="s">
        <v>124</v>
      </c>
      <c r="G1" s="6" t="s">
        <v>144</v>
      </c>
    </row>
    <row r="2" spans="1:7" ht="14.4" x14ac:dyDescent="0.25">
      <c r="A2" s="24">
        <v>41275</v>
      </c>
      <c r="B2" s="25" t="s">
        <v>40</v>
      </c>
      <c r="C2" s="9" t="s">
        <v>65</v>
      </c>
      <c r="D2" s="25" t="s">
        <v>122</v>
      </c>
      <c r="E2" s="25" t="s">
        <v>129</v>
      </c>
      <c r="F2" s="26">
        <v>656.96</v>
      </c>
      <c r="G2" s="27">
        <v>650.39</v>
      </c>
    </row>
    <row r="3" spans="1:7" ht="14.4" x14ac:dyDescent="0.25">
      <c r="A3" s="28">
        <v>41275</v>
      </c>
      <c r="B3" s="29" t="s">
        <v>5</v>
      </c>
      <c r="C3" s="14" t="s">
        <v>102</v>
      </c>
      <c r="D3" s="29" t="s">
        <v>118</v>
      </c>
      <c r="E3" s="29" t="s">
        <v>130</v>
      </c>
      <c r="F3" s="30">
        <v>875.94</v>
      </c>
      <c r="G3" s="31">
        <v>946.0200000000001</v>
      </c>
    </row>
    <row r="4" spans="1:7" ht="14.4" x14ac:dyDescent="0.25">
      <c r="A4" s="24">
        <v>41275</v>
      </c>
      <c r="B4" s="25" t="s">
        <v>9</v>
      </c>
      <c r="C4" s="9" t="s">
        <v>95</v>
      </c>
      <c r="D4" s="25" t="s">
        <v>118</v>
      </c>
      <c r="E4" s="25" t="s">
        <v>130</v>
      </c>
      <c r="F4" s="26">
        <v>258.35000000000002</v>
      </c>
      <c r="G4" s="27">
        <v>240.27000000000004</v>
      </c>
    </row>
    <row r="5" spans="1:7" ht="14.4" x14ac:dyDescent="0.25">
      <c r="A5" s="28">
        <v>41275</v>
      </c>
      <c r="B5" s="29" t="s">
        <v>16</v>
      </c>
      <c r="C5" s="17" t="s">
        <v>61</v>
      </c>
      <c r="D5" s="29" t="s">
        <v>118</v>
      </c>
      <c r="E5" s="29" t="s">
        <v>128</v>
      </c>
      <c r="F5" s="30">
        <v>875.62</v>
      </c>
      <c r="G5" s="31">
        <v>910.64</v>
      </c>
    </row>
    <row r="6" spans="1:7" ht="14.4" x14ac:dyDescent="0.25">
      <c r="A6" s="24">
        <v>41276</v>
      </c>
      <c r="B6" s="25" t="s">
        <v>3</v>
      </c>
      <c r="C6" s="9" t="s">
        <v>66</v>
      </c>
      <c r="D6" s="25" t="s">
        <v>118</v>
      </c>
      <c r="E6" s="25" t="s">
        <v>128</v>
      </c>
      <c r="F6" s="26">
        <v>509.93</v>
      </c>
      <c r="G6" s="27">
        <v>499.73</v>
      </c>
    </row>
    <row r="7" spans="1:7" ht="14.4" x14ac:dyDescent="0.25">
      <c r="A7" s="28">
        <v>41277</v>
      </c>
      <c r="B7" s="29" t="s">
        <v>20</v>
      </c>
      <c r="C7" s="14" t="s">
        <v>112</v>
      </c>
      <c r="D7" s="29" t="s">
        <v>119</v>
      </c>
      <c r="E7" s="29" t="s">
        <v>129</v>
      </c>
      <c r="F7" s="30">
        <v>443.13</v>
      </c>
      <c r="G7" s="31">
        <v>438.7</v>
      </c>
    </row>
    <row r="8" spans="1:7" ht="14.4" x14ac:dyDescent="0.25">
      <c r="A8" s="24">
        <v>41277</v>
      </c>
      <c r="B8" s="25" t="s">
        <v>6</v>
      </c>
      <c r="C8" s="9" t="s">
        <v>80</v>
      </c>
      <c r="D8" s="25" t="s">
        <v>118</v>
      </c>
      <c r="E8" s="25" t="s">
        <v>128</v>
      </c>
      <c r="F8" s="26">
        <v>651.78</v>
      </c>
      <c r="G8" s="27">
        <v>632.23</v>
      </c>
    </row>
    <row r="9" spans="1:7" ht="14.4" x14ac:dyDescent="0.25">
      <c r="A9" s="28">
        <v>41277</v>
      </c>
      <c r="B9" s="29" t="s">
        <v>7</v>
      </c>
      <c r="C9" s="14" t="s">
        <v>99</v>
      </c>
      <c r="D9" s="29" t="s">
        <v>118</v>
      </c>
      <c r="E9" s="29" t="s">
        <v>130</v>
      </c>
      <c r="F9" s="30">
        <v>896.64</v>
      </c>
      <c r="G9" s="31">
        <v>959.4</v>
      </c>
    </row>
    <row r="10" spans="1:7" ht="14.4" x14ac:dyDescent="0.25">
      <c r="A10" s="24">
        <v>41278</v>
      </c>
      <c r="B10" s="25" t="s">
        <v>25</v>
      </c>
      <c r="C10" s="9" t="s">
        <v>94</v>
      </c>
      <c r="D10" s="25" t="s">
        <v>119</v>
      </c>
      <c r="E10" s="25" t="s">
        <v>129</v>
      </c>
      <c r="F10" s="26">
        <v>226.92</v>
      </c>
      <c r="G10" s="27">
        <v>213.29999999999998</v>
      </c>
    </row>
    <row r="11" spans="1:7" ht="14.4" x14ac:dyDescent="0.25">
      <c r="A11" s="28">
        <v>41279</v>
      </c>
      <c r="B11" s="29" t="s">
        <v>18</v>
      </c>
      <c r="C11" s="14" t="s">
        <v>64</v>
      </c>
      <c r="D11" s="29" t="s">
        <v>119</v>
      </c>
      <c r="E11" s="29" t="s">
        <v>130</v>
      </c>
      <c r="F11" s="30">
        <v>77.41</v>
      </c>
      <c r="G11" s="31">
        <v>73.539999999999992</v>
      </c>
    </row>
    <row r="12" spans="1:7" ht="14.4" x14ac:dyDescent="0.25">
      <c r="A12" s="24">
        <v>41279</v>
      </c>
      <c r="B12" s="25" t="s">
        <v>40</v>
      </c>
      <c r="C12" s="9" t="s">
        <v>111</v>
      </c>
      <c r="D12" s="25" t="s">
        <v>122</v>
      </c>
      <c r="E12" s="25" t="s">
        <v>130</v>
      </c>
      <c r="F12" s="26">
        <v>263.64999999999998</v>
      </c>
      <c r="G12" s="27">
        <v>253.09999999999997</v>
      </c>
    </row>
    <row r="13" spans="1:7" ht="14.4" x14ac:dyDescent="0.25">
      <c r="A13" s="28">
        <v>41279</v>
      </c>
      <c r="B13" s="29" t="s">
        <v>48</v>
      </c>
      <c r="C13" s="14" t="s">
        <v>71</v>
      </c>
      <c r="D13" s="29" t="s">
        <v>122</v>
      </c>
      <c r="E13" s="29" t="s">
        <v>128</v>
      </c>
      <c r="F13" s="30">
        <v>950.83</v>
      </c>
      <c r="G13" s="31">
        <v>998.37</v>
      </c>
    </row>
    <row r="14" spans="1:7" ht="14.4" x14ac:dyDescent="0.25">
      <c r="A14" s="24">
        <v>41279</v>
      </c>
      <c r="B14" s="25" t="s">
        <v>49</v>
      </c>
      <c r="C14" s="9" t="s">
        <v>72</v>
      </c>
      <c r="D14" s="25" t="s">
        <v>122</v>
      </c>
      <c r="E14" s="25" t="s">
        <v>129</v>
      </c>
      <c r="F14" s="26">
        <v>252.01</v>
      </c>
      <c r="G14" s="27">
        <v>229.32999999999998</v>
      </c>
    </row>
    <row r="15" spans="1:7" ht="14.4" x14ac:dyDescent="0.25">
      <c r="A15" s="28">
        <v>41279</v>
      </c>
      <c r="B15" s="29" t="s">
        <v>36</v>
      </c>
      <c r="C15" s="14" t="s">
        <v>58</v>
      </c>
      <c r="D15" s="29" t="s">
        <v>121</v>
      </c>
      <c r="E15" s="29" t="s">
        <v>128</v>
      </c>
      <c r="F15" s="30">
        <v>173.98</v>
      </c>
      <c r="G15" s="31">
        <v>184.42</v>
      </c>
    </row>
    <row r="16" spans="1:7" ht="14.4" x14ac:dyDescent="0.25">
      <c r="A16" s="24">
        <v>41280</v>
      </c>
      <c r="B16" s="25" t="s">
        <v>38</v>
      </c>
      <c r="C16" s="9" t="s">
        <v>116</v>
      </c>
      <c r="D16" s="25" t="s">
        <v>122</v>
      </c>
      <c r="E16" s="25" t="s">
        <v>128</v>
      </c>
      <c r="F16" s="26">
        <v>384.51</v>
      </c>
      <c r="G16" s="27">
        <v>349.9</v>
      </c>
    </row>
    <row r="17" spans="1:7" ht="14.4" x14ac:dyDescent="0.25">
      <c r="A17" s="28">
        <v>41280</v>
      </c>
      <c r="B17" s="29" t="s">
        <v>50</v>
      </c>
      <c r="C17" s="14" t="s">
        <v>92</v>
      </c>
      <c r="D17" s="29" t="s">
        <v>122</v>
      </c>
      <c r="E17" s="29" t="s">
        <v>128</v>
      </c>
      <c r="F17" s="30">
        <v>301.55</v>
      </c>
      <c r="G17" s="31">
        <v>307.58</v>
      </c>
    </row>
    <row r="18" spans="1:7" ht="14.4" x14ac:dyDescent="0.25">
      <c r="A18" s="24">
        <v>41281</v>
      </c>
      <c r="B18" s="25" t="s">
        <v>23</v>
      </c>
      <c r="C18" s="9" t="s">
        <v>109</v>
      </c>
      <c r="D18" s="25" t="s">
        <v>119</v>
      </c>
      <c r="E18" s="25" t="s">
        <v>129</v>
      </c>
      <c r="F18" s="26">
        <v>876.78</v>
      </c>
      <c r="G18" s="27">
        <v>920.62</v>
      </c>
    </row>
    <row r="19" spans="1:7" ht="14.4" x14ac:dyDescent="0.25">
      <c r="A19" s="28">
        <v>41281</v>
      </c>
      <c r="B19" s="29" t="s">
        <v>32</v>
      </c>
      <c r="C19" s="14" t="s">
        <v>126</v>
      </c>
      <c r="D19" s="29" t="s">
        <v>120</v>
      </c>
      <c r="E19" s="29" t="s">
        <v>128</v>
      </c>
      <c r="F19" s="30">
        <v>235.84</v>
      </c>
      <c r="G19" s="31">
        <v>238.20000000000002</v>
      </c>
    </row>
    <row r="20" spans="1:7" ht="14.4" x14ac:dyDescent="0.25">
      <c r="A20" s="24">
        <v>41282</v>
      </c>
      <c r="B20" s="25" t="s">
        <v>48</v>
      </c>
      <c r="C20" s="9" t="s">
        <v>56</v>
      </c>
      <c r="D20" s="25" t="s">
        <v>122</v>
      </c>
      <c r="E20" s="25" t="s">
        <v>130</v>
      </c>
      <c r="F20" s="26">
        <v>580.54999999999995</v>
      </c>
      <c r="G20" s="27">
        <v>621.18999999999994</v>
      </c>
    </row>
    <row r="21" spans="1:7" ht="14.4" x14ac:dyDescent="0.25">
      <c r="A21" s="28">
        <v>41282</v>
      </c>
      <c r="B21" s="29" t="s">
        <v>30</v>
      </c>
      <c r="C21" s="14" t="s">
        <v>88</v>
      </c>
      <c r="D21" s="29" t="s">
        <v>120</v>
      </c>
      <c r="E21" s="29" t="s">
        <v>128</v>
      </c>
      <c r="F21" s="30">
        <v>218.64</v>
      </c>
      <c r="G21" s="31">
        <v>201.14999999999998</v>
      </c>
    </row>
    <row r="22" spans="1:7" ht="14.4" x14ac:dyDescent="0.25">
      <c r="A22" s="24">
        <v>41283</v>
      </c>
      <c r="B22" s="25" t="s">
        <v>26</v>
      </c>
      <c r="C22" s="9" t="s">
        <v>117</v>
      </c>
      <c r="D22" s="25" t="s">
        <v>120</v>
      </c>
      <c r="E22" s="25" t="s">
        <v>128</v>
      </c>
      <c r="F22" s="26">
        <v>906.3</v>
      </c>
      <c r="G22" s="27">
        <v>897.24</v>
      </c>
    </row>
    <row r="23" spans="1:7" ht="14.4" x14ac:dyDescent="0.25">
      <c r="A23" s="28">
        <v>41284</v>
      </c>
      <c r="B23" s="29" t="s">
        <v>2</v>
      </c>
      <c r="C23" s="14" t="s">
        <v>108</v>
      </c>
      <c r="D23" s="29" t="s">
        <v>118</v>
      </c>
      <c r="E23" s="29" t="s">
        <v>129</v>
      </c>
      <c r="F23" s="30">
        <v>791.98</v>
      </c>
      <c r="G23" s="31">
        <v>784.06000000000006</v>
      </c>
    </row>
    <row r="24" spans="1:7" ht="14.4" x14ac:dyDescent="0.25">
      <c r="A24" s="24">
        <v>41284</v>
      </c>
      <c r="B24" s="25" t="s">
        <v>28</v>
      </c>
      <c r="C24" s="9" t="s">
        <v>103</v>
      </c>
      <c r="D24" s="25" t="s">
        <v>120</v>
      </c>
      <c r="E24" s="25" t="s">
        <v>128</v>
      </c>
      <c r="F24" s="26">
        <v>643.73</v>
      </c>
      <c r="G24" s="27">
        <v>598.67000000000007</v>
      </c>
    </row>
    <row r="25" spans="1:7" ht="14.4" x14ac:dyDescent="0.25">
      <c r="A25" s="28">
        <v>41284</v>
      </c>
      <c r="B25" s="29" t="s">
        <v>47</v>
      </c>
      <c r="C25" s="14" t="s">
        <v>96</v>
      </c>
      <c r="D25" s="29" t="s">
        <v>122</v>
      </c>
      <c r="E25" s="29" t="s">
        <v>128</v>
      </c>
      <c r="F25" s="30">
        <v>3.3</v>
      </c>
      <c r="G25" s="31">
        <v>3.3299999999999996</v>
      </c>
    </row>
    <row r="26" spans="1:7" ht="14.4" x14ac:dyDescent="0.25">
      <c r="A26" s="24">
        <v>41284</v>
      </c>
      <c r="B26" s="25" t="s">
        <v>51</v>
      </c>
      <c r="C26" s="9" t="s">
        <v>86</v>
      </c>
      <c r="D26" s="25" t="s">
        <v>122</v>
      </c>
      <c r="E26" s="25" t="s">
        <v>128</v>
      </c>
      <c r="F26" s="26">
        <v>326.97000000000003</v>
      </c>
      <c r="G26" s="27">
        <v>304.08000000000004</v>
      </c>
    </row>
    <row r="27" spans="1:7" ht="14.4" x14ac:dyDescent="0.25">
      <c r="A27" s="28">
        <v>41286</v>
      </c>
      <c r="B27" s="29" t="s">
        <v>43</v>
      </c>
      <c r="C27" s="14" t="s">
        <v>106</v>
      </c>
      <c r="D27" s="29" t="s">
        <v>122</v>
      </c>
      <c r="E27" s="29" t="s">
        <v>129</v>
      </c>
      <c r="F27" s="30">
        <v>28.16</v>
      </c>
      <c r="G27" s="31">
        <v>27.88</v>
      </c>
    </row>
    <row r="28" spans="1:7" ht="14.4" x14ac:dyDescent="0.25">
      <c r="A28" s="24">
        <v>41286</v>
      </c>
      <c r="B28" s="25" t="s">
        <v>14</v>
      </c>
      <c r="C28" s="9" t="s">
        <v>83</v>
      </c>
      <c r="D28" s="25" t="s">
        <v>118</v>
      </c>
      <c r="E28" s="25" t="s">
        <v>128</v>
      </c>
      <c r="F28" s="26">
        <v>232.27</v>
      </c>
      <c r="G28" s="27">
        <v>234.59</v>
      </c>
    </row>
    <row r="29" spans="1:7" ht="14.4" x14ac:dyDescent="0.25">
      <c r="A29" s="28">
        <v>41287</v>
      </c>
      <c r="B29" s="29" t="s">
        <v>41</v>
      </c>
      <c r="C29" s="14" t="s">
        <v>68</v>
      </c>
      <c r="D29" s="29" t="s">
        <v>122</v>
      </c>
      <c r="E29" s="29" t="s">
        <v>128</v>
      </c>
      <c r="F29" s="30">
        <v>83.11</v>
      </c>
      <c r="G29" s="31">
        <v>74.8</v>
      </c>
    </row>
    <row r="30" spans="1:7" ht="14.4" x14ac:dyDescent="0.25">
      <c r="A30" s="24">
        <v>41288</v>
      </c>
      <c r="B30" s="25" t="s">
        <v>33</v>
      </c>
      <c r="C30" s="9" t="s">
        <v>115</v>
      </c>
      <c r="D30" s="25" t="s">
        <v>121</v>
      </c>
      <c r="E30" s="25" t="s">
        <v>129</v>
      </c>
      <c r="F30" s="26">
        <v>660.12</v>
      </c>
      <c r="G30" s="27">
        <v>660.12</v>
      </c>
    </row>
    <row r="31" spans="1:7" ht="14.4" x14ac:dyDescent="0.25">
      <c r="A31" s="28">
        <v>41288</v>
      </c>
      <c r="B31" s="29" t="s">
        <v>34</v>
      </c>
      <c r="C31" s="14" t="s">
        <v>105</v>
      </c>
      <c r="D31" s="29" t="s">
        <v>121</v>
      </c>
      <c r="E31" s="29" t="s">
        <v>129</v>
      </c>
      <c r="F31" s="30">
        <v>153.27000000000001</v>
      </c>
      <c r="G31" s="31">
        <v>148.67000000000002</v>
      </c>
    </row>
    <row r="32" spans="1:7" ht="14.4" x14ac:dyDescent="0.25">
      <c r="A32" s="24">
        <v>41289</v>
      </c>
      <c r="B32" s="25" t="s">
        <v>22</v>
      </c>
      <c r="C32" s="9" t="s">
        <v>77</v>
      </c>
      <c r="D32" s="25" t="s">
        <v>119</v>
      </c>
      <c r="E32" s="25" t="s">
        <v>130</v>
      </c>
      <c r="F32" s="26">
        <v>40.85</v>
      </c>
      <c r="G32" s="27">
        <v>42.89</v>
      </c>
    </row>
    <row r="33" spans="1:7" ht="14.4" x14ac:dyDescent="0.25">
      <c r="A33" s="28">
        <v>41290</v>
      </c>
      <c r="B33" s="29" t="s">
        <v>38</v>
      </c>
      <c r="C33" s="14" t="s">
        <v>62</v>
      </c>
      <c r="D33" s="29" t="s">
        <v>122</v>
      </c>
      <c r="E33" s="29" t="s">
        <v>128</v>
      </c>
      <c r="F33" s="30">
        <v>897.78</v>
      </c>
      <c r="G33" s="31">
        <v>843.91</v>
      </c>
    </row>
    <row r="34" spans="1:7" ht="14.4" x14ac:dyDescent="0.25">
      <c r="A34" s="24">
        <v>41290</v>
      </c>
      <c r="B34" s="25" t="s">
        <v>39</v>
      </c>
      <c r="C34" s="9" t="s">
        <v>75</v>
      </c>
      <c r="D34" s="25" t="s">
        <v>122</v>
      </c>
      <c r="E34" s="25" t="s">
        <v>130</v>
      </c>
      <c r="F34" s="26">
        <v>462.98</v>
      </c>
      <c r="G34" s="27">
        <v>425.94</v>
      </c>
    </row>
    <row r="35" spans="1:7" ht="14.4" x14ac:dyDescent="0.25">
      <c r="A35" s="28">
        <v>41290</v>
      </c>
      <c r="B35" s="29" t="s">
        <v>11</v>
      </c>
      <c r="C35" s="14" t="s">
        <v>91</v>
      </c>
      <c r="D35" s="29" t="s">
        <v>118</v>
      </c>
      <c r="E35" s="29" t="s">
        <v>130</v>
      </c>
      <c r="F35" s="30">
        <v>977.28</v>
      </c>
      <c r="G35" s="31">
        <v>987.05</v>
      </c>
    </row>
    <row r="36" spans="1:7" ht="14.4" x14ac:dyDescent="0.25">
      <c r="A36" s="24">
        <v>41291</v>
      </c>
      <c r="B36" s="25" t="s">
        <v>18</v>
      </c>
      <c r="C36" s="9" t="s">
        <v>63</v>
      </c>
      <c r="D36" s="25" t="s">
        <v>119</v>
      </c>
      <c r="E36" s="25" t="s">
        <v>130</v>
      </c>
      <c r="F36" s="26">
        <v>918.82</v>
      </c>
      <c r="G36" s="27">
        <v>845.31000000000006</v>
      </c>
    </row>
    <row r="37" spans="1:7" ht="14.4" x14ac:dyDescent="0.25">
      <c r="A37" s="28">
        <v>41291</v>
      </c>
      <c r="B37" s="29" t="s">
        <v>19</v>
      </c>
      <c r="C37" s="14" t="s">
        <v>113</v>
      </c>
      <c r="D37" s="29" t="s">
        <v>119</v>
      </c>
      <c r="E37" s="29" t="s">
        <v>129</v>
      </c>
      <c r="F37" s="30">
        <v>451.45</v>
      </c>
      <c r="G37" s="31">
        <v>415.33</v>
      </c>
    </row>
    <row r="38" spans="1:7" ht="14.4" x14ac:dyDescent="0.25">
      <c r="A38" s="24">
        <v>41291</v>
      </c>
      <c r="B38" s="25" t="s">
        <v>36</v>
      </c>
      <c r="C38" s="9" t="s">
        <v>57</v>
      </c>
      <c r="D38" s="25" t="s">
        <v>121</v>
      </c>
      <c r="E38" s="25" t="s">
        <v>128</v>
      </c>
      <c r="F38" s="26">
        <v>155.86000000000001</v>
      </c>
      <c r="G38" s="27">
        <v>160.54000000000002</v>
      </c>
    </row>
    <row r="39" spans="1:7" ht="14.4" x14ac:dyDescent="0.25">
      <c r="A39" s="28">
        <v>41292</v>
      </c>
      <c r="B39" s="29" t="s">
        <v>24</v>
      </c>
      <c r="C39" s="14" t="s">
        <v>107</v>
      </c>
      <c r="D39" s="29" t="s">
        <v>119</v>
      </c>
      <c r="E39" s="29" t="s">
        <v>129</v>
      </c>
      <c r="F39" s="30">
        <v>984.2</v>
      </c>
      <c r="G39" s="31">
        <v>954.67000000000007</v>
      </c>
    </row>
    <row r="40" spans="1:7" ht="14.4" x14ac:dyDescent="0.25">
      <c r="A40" s="24">
        <v>41292</v>
      </c>
      <c r="B40" s="25" t="s">
        <v>31</v>
      </c>
      <c r="C40" s="9" t="s">
        <v>85</v>
      </c>
      <c r="D40" s="25" t="s">
        <v>120</v>
      </c>
      <c r="E40" s="25" t="s">
        <v>129</v>
      </c>
      <c r="F40" s="26">
        <v>60.05</v>
      </c>
      <c r="G40" s="27">
        <v>60.65</v>
      </c>
    </row>
    <row r="41" spans="1:7" ht="14.4" x14ac:dyDescent="0.25">
      <c r="A41" s="28">
        <v>41293</v>
      </c>
      <c r="B41" s="29" t="s">
        <v>21</v>
      </c>
      <c r="C41" s="14" t="s">
        <v>79</v>
      </c>
      <c r="D41" s="29" t="s">
        <v>119</v>
      </c>
      <c r="E41" s="29" t="s">
        <v>129</v>
      </c>
      <c r="F41" s="30">
        <v>306.10000000000002</v>
      </c>
      <c r="G41" s="31">
        <v>306.10000000000002</v>
      </c>
    </row>
    <row r="42" spans="1:7" ht="14.4" x14ac:dyDescent="0.25">
      <c r="A42" s="24">
        <v>41293</v>
      </c>
      <c r="B42" s="25" t="s">
        <v>8</v>
      </c>
      <c r="C42" s="9" t="s">
        <v>54</v>
      </c>
      <c r="D42" s="25" t="s">
        <v>118</v>
      </c>
      <c r="E42" s="25" t="s">
        <v>128</v>
      </c>
      <c r="F42" s="26">
        <v>122.4</v>
      </c>
      <c r="G42" s="27">
        <v>112.61000000000001</v>
      </c>
    </row>
    <row r="43" spans="1:7" ht="14.4" x14ac:dyDescent="0.25">
      <c r="A43" s="28">
        <v>41293</v>
      </c>
      <c r="B43" s="29" t="s">
        <v>35</v>
      </c>
      <c r="C43" s="14" t="s">
        <v>97</v>
      </c>
      <c r="D43" s="29" t="s">
        <v>121</v>
      </c>
      <c r="E43" s="29" t="s">
        <v>128</v>
      </c>
      <c r="F43" s="30">
        <v>598.62</v>
      </c>
      <c r="G43" s="31">
        <v>568.69000000000005</v>
      </c>
    </row>
    <row r="44" spans="1:7" ht="14.4" x14ac:dyDescent="0.25">
      <c r="A44" s="24">
        <v>41293</v>
      </c>
      <c r="B44" s="25" t="s">
        <v>10</v>
      </c>
      <c r="C44" s="9" t="s">
        <v>93</v>
      </c>
      <c r="D44" s="25" t="s">
        <v>118</v>
      </c>
      <c r="E44" s="25" t="s">
        <v>128</v>
      </c>
      <c r="F44" s="26">
        <v>90.78</v>
      </c>
      <c r="G44" s="27">
        <v>95.320000000000007</v>
      </c>
    </row>
    <row r="45" spans="1:7" ht="14.4" x14ac:dyDescent="0.25">
      <c r="A45" s="28">
        <v>41293</v>
      </c>
      <c r="B45" s="29" t="s">
        <v>37</v>
      </c>
      <c r="C45" s="14" t="s">
        <v>87</v>
      </c>
      <c r="D45" s="29" t="s">
        <v>121</v>
      </c>
      <c r="E45" s="29" t="s">
        <v>128</v>
      </c>
      <c r="F45" s="30">
        <v>864.78</v>
      </c>
      <c r="G45" s="31">
        <v>933.96</v>
      </c>
    </row>
    <row r="46" spans="1:7" ht="14.4" x14ac:dyDescent="0.25">
      <c r="A46" s="24">
        <v>41294</v>
      </c>
      <c r="B46" s="25" t="s">
        <v>17</v>
      </c>
      <c r="C46" s="9" t="s">
        <v>74</v>
      </c>
      <c r="D46" s="25" t="s">
        <v>119</v>
      </c>
      <c r="E46" s="25" t="s">
        <v>128</v>
      </c>
      <c r="F46" s="26">
        <v>93.2</v>
      </c>
      <c r="G46" s="27">
        <v>85.740000000000009</v>
      </c>
    </row>
    <row r="47" spans="1:7" ht="14.4" x14ac:dyDescent="0.25">
      <c r="A47" s="28">
        <v>41296</v>
      </c>
      <c r="B47" s="29" t="s">
        <v>6</v>
      </c>
      <c r="C47" s="14" t="s">
        <v>81</v>
      </c>
      <c r="D47" s="29" t="s">
        <v>118</v>
      </c>
      <c r="E47" s="29" t="s">
        <v>128</v>
      </c>
      <c r="F47" s="30">
        <v>841</v>
      </c>
      <c r="G47" s="31">
        <v>832.59</v>
      </c>
    </row>
    <row r="48" spans="1:7" ht="14.4" x14ac:dyDescent="0.25">
      <c r="A48" s="24">
        <v>41296</v>
      </c>
      <c r="B48" s="25" t="s">
        <v>36</v>
      </c>
      <c r="C48" s="9" t="s">
        <v>59</v>
      </c>
      <c r="D48" s="25" t="s">
        <v>121</v>
      </c>
      <c r="E48" s="25" t="s">
        <v>129</v>
      </c>
      <c r="F48" s="26">
        <v>290.43</v>
      </c>
      <c r="G48" s="27">
        <v>310.76</v>
      </c>
    </row>
    <row r="49" spans="1:7" ht="14.4" x14ac:dyDescent="0.25">
      <c r="A49" s="28">
        <v>41296</v>
      </c>
      <c r="B49" s="29" t="s">
        <v>36</v>
      </c>
      <c r="C49" s="14" t="s">
        <v>90</v>
      </c>
      <c r="D49" s="29" t="s">
        <v>121</v>
      </c>
      <c r="E49" s="29" t="s">
        <v>128</v>
      </c>
      <c r="F49" s="30">
        <v>818.99</v>
      </c>
      <c r="G49" s="31">
        <v>810.8</v>
      </c>
    </row>
    <row r="50" spans="1:7" ht="14.4" x14ac:dyDescent="0.25">
      <c r="A50" s="24">
        <v>41297</v>
      </c>
      <c r="B50" s="25" t="s">
        <v>45</v>
      </c>
      <c r="C50" s="9" t="s">
        <v>101</v>
      </c>
      <c r="D50" s="25" t="s">
        <v>122</v>
      </c>
      <c r="E50" s="25" t="s">
        <v>128</v>
      </c>
      <c r="F50" s="26">
        <v>847.01</v>
      </c>
      <c r="G50" s="27">
        <v>804.66</v>
      </c>
    </row>
    <row r="51" spans="1:7" ht="14.4" x14ac:dyDescent="0.25">
      <c r="A51" s="28">
        <v>41297</v>
      </c>
      <c r="B51" s="29" t="s">
        <v>13</v>
      </c>
      <c r="C51" s="14" t="s">
        <v>73</v>
      </c>
      <c r="D51" s="29" t="s">
        <v>118</v>
      </c>
      <c r="E51" s="29" t="s">
        <v>130</v>
      </c>
      <c r="F51" s="30">
        <v>649.29</v>
      </c>
      <c r="G51" s="31">
        <v>701.23</v>
      </c>
    </row>
    <row r="52" spans="1:7" ht="14.4" x14ac:dyDescent="0.25">
      <c r="A52" s="24">
        <v>41298</v>
      </c>
      <c r="B52" s="25" t="s">
        <v>41</v>
      </c>
      <c r="C52" s="9" t="s">
        <v>67</v>
      </c>
      <c r="D52" s="25" t="s">
        <v>122</v>
      </c>
      <c r="E52" s="25" t="s">
        <v>129</v>
      </c>
      <c r="F52" s="26">
        <v>209.95</v>
      </c>
      <c r="G52" s="27">
        <v>201.54999999999998</v>
      </c>
    </row>
    <row r="53" spans="1:7" ht="14.4" x14ac:dyDescent="0.25">
      <c r="A53" s="28">
        <v>41298</v>
      </c>
      <c r="B53" s="29" t="s">
        <v>42</v>
      </c>
      <c r="C53" s="14" t="s">
        <v>69</v>
      </c>
      <c r="D53" s="29" t="s">
        <v>122</v>
      </c>
      <c r="E53" s="29" t="s">
        <v>130</v>
      </c>
      <c r="F53" s="30">
        <v>188.89</v>
      </c>
      <c r="G53" s="31">
        <v>175.67</v>
      </c>
    </row>
    <row r="54" spans="1:7" ht="14.4" x14ac:dyDescent="0.25">
      <c r="A54" s="24">
        <v>41298</v>
      </c>
      <c r="B54" s="25" t="s">
        <v>48</v>
      </c>
      <c r="C54" s="9" t="s">
        <v>82</v>
      </c>
      <c r="D54" s="25" t="s">
        <v>122</v>
      </c>
      <c r="E54" s="25" t="s">
        <v>129</v>
      </c>
      <c r="F54" s="26">
        <v>723.84</v>
      </c>
      <c r="G54" s="27">
        <v>716.6</v>
      </c>
    </row>
    <row r="55" spans="1:7" ht="14.4" x14ac:dyDescent="0.25">
      <c r="A55" s="28">
        <v>41298</v>
      </c>
      <c r="B55" s="29" t="s">
        <v>48</v>
      </c>
      <c r="C55" s="14" t="s">
        <v>55</v>
      </c>
      <c r="D55" s="29" t="s">
        <v>122</v>
      </c>
      <c r="E55" s="29" t="s">
        <v>128</v>
      </c>
      <c r="F55" s="30">
        <v>315.60000000000002</v>
      </c>
      <c r="G55" s="31">
        <v>309.29000000000002</v>
      </c>
    </row>
    <row r="56" spans="1:7" ht="14.4" x14ac:dyDescent="0.25">
      <c r="A56" s="24">
        <v>41298</v>
      </c>
      <c r="B56" s="25" t="s">
        <v>30</v>
      </c>
      <c r="C56" s="9" t="s">
        <v>88</v>
      </c>
      <c r="D56" s="25" t="s">
        <v>120</v>
      </c>
      <c r="E56" s="25" t="s">
        <v>130</v>
      </c>
      <c r="F56" s="26">
        <v>120.67</v>
      </c>
      <c r="G56" s="27">
        <v>118.26</v>
      </c>
    </row>
    <row r="57" spans="1:7" ht="14.4" x14ac:dyDescent="0.25">
      <c r="A57" s="28">
        <v>41299</v>
      </c>
      <c r="B57" s="29" t="s">
        <v>22</v>
      </c>
      <c r="C57" s="14" t="s">
        <v>78</v>
      </c>
      <c r="D57" s="29" t="s">
        <v>119</v>
      </c>
      <c r="E57" s="29" t="s">
        <v>130</v>
      </c>
      <c r="F57" s="30">
        <v>863.54</v>
      </c>
      <c r="G57" s="31">
        <v>863.54</v>
      </c>
    </row>
    <row r="58" spans="1:7" ht="14.4" x14ac:dyDescent="0.25">
      <c r="A58" s="24">
        <v>41299</v>
      </c>
      <c r="B58" s="25" t="s">
        <v>12</v>
      </c>
      <c r="C58" s="9" t="s">
        <v>89</v>
      </c>
      <c r="D58" s="25" t="s">
        <v>118</v>
      </c>
      <c r="E58" s="25" t="s">
        <v>130</v>
      </c>
      <c r="F58" s="26">
        <v>359.89</v>
      </c>
      <c r="G58" s="27">
        <v>381.47999999999996</v>
      </c>
    </row>
    <row r="59" spans="1:7" ht="14.4" x14ac:dyDescent="0.25">
      <c r="A59" s="28">
        <v>41299</v>
      </c>
      <c r="B59" s="29" t="s">
        <v>15</v>
      </c>
      <c r="C59" s="14" t="s">
        <v>60</v>
      </c>
      <c r="D59" s="29" t="s">
        <v>118</v>
      </c>
      <c r="E59" s="29" t="s">
        <v>129</v>
      </c>
      <c r="F59" s="30">
        <v>222.26</v>
      </c>
      <c r="G59" s="31">
        <v>202.26</v>
      </c>
    </row>
    <row r="60" spans="1:7" ht="14.4" x14ac:dyDescent="0.25">
      <c r="A60" s="24">
        <v>41300</v>
      </c>
      <c r="B60" s="25" t="s">
        <v>1</v>
      </c>
      <c r="C60" s="9" t="s">
        <v>1</v>
      </c>
      <c r="D60" s="25" t="s">
        <v>118</v>
      </c>
      <c r="E60" s="25" t="s">
        <v>129</v>
      </c>
      <c r="F60" s="26">
        <v>885.22</v>
      </c>
      <c r="G60" s="27">
        <v>911.78</v>
      </c>
    </row>
    <row r="61" spans="1:7" ht="14.4" x14ac:dyDescent="0.25">
      <c r="A61" s="28">
        <v>41300</v>
      </c>
      <c r="B61" s="29" t="s">
        <v>4</v>
      </c>
      <c r="C61" s="14" t="s">
        <v>70</v>
      </c>
      <c r="D61" s="29" t="s">
        <v>118</v>
      </c>
      <c r="E61" s="29" t="s">
        <v>128</v>
      </c>
      <c r="F61" s="30">
        <v>992.58</v>
      </c>
      <c r="G61" s="31">
        <v>942.95</v>
      </c>
    </row>
    <row r="62" spans="1:7" ht="14.4" x14ac:dyDescent="0.25">
      <c r="A62" s="24">
        <v>41301</v>
      </c>
      <c r="B62" s="25" t="s">
        <v>22</v>
      </c>
      <c r="C62" s="9" t="s">
        <v>76</v>
      </c>
      <c r="D62" s="25" t="s">
        <v>119</v>
      </c>
      <c r="E62" s="25" t="s">
        <v>129</v>
      </c>
      <c r="F62" s="26">
        <v>366.62</v>
      </c>
      <c r="G62" s="27">
        <v>340.96</v>
      </c>
    </row>
    <row r="63" spans="1:7" ht="14.4" x14ac:dyDescent="0.25">
      <c r="A63" s="28">
        <v>41301</v>
      </c>
      <c r="B63" s="29" t="s">
        <v>44</v>
      </c>
      <c r="C63" s="14" t="s">
        <v>104</v>
      </c>
      <c r="D63" s="29" t="s">
        <v>122</v>
      </c>
      <c r="E63" s="29" t="s">
        <v>128</v>
      </c>
      <c r="F63" s="30">
        <v>936.97</v>
      </c>
      <c r="G63" s="31">
        <v>1002.5600000000001</v>
      </c>
    </row>
    <row r="64" spans="1:7" ht="14.4" x14ac:dyDescent="0.25">
      <c r="A64" s="24">
        <v>41301</v>
      </c>
      <c r="B64" s="25" t="s">
        <v>29</v>
      </c>
      <c r="C64" s="9" t="s">
        <v>98</v>
      </c>
      <c r="D64" s="25" t="s">
        <v>120</v>
      </c>
      <c r="E64" s="25" t="s">
        <v>130</v>
      </c>
      <c r="F64" s="26">
        <v>832.54</v>
      </c>
      <c r="G64" s="27">
        <v>774.26</v>
      </c>
    </row>
    <row r="65" spans="1:7" ht="14.4" x14ac:dyDescent="0.25">
      <c r="A65" s="28">
        <v>41302</v>
      </c>
      <c r="B65" s="29" t="s">
        <v>27</v>
      </c>
      <c r="C65" s="14" t="s">
        <v>110</v>
      </c>
      <c r="D65" s="29" t="s">
        <v>120</v>
      </c>
      <c r="E65" s="29" t="s">
        <v>128</v>
      </c>
      <c r="F65" s="30">
        <v>761.05</v>
      </c>
      <c r="G65" s="31">
        <v>700.17</v>
      </c>
    </row>
    <row r="66" spans="1:7" ht="14.4" x14ac:dyDescent="0.25">
      <c r="A66" s="24">
        <v>41302</v>
      </c>
      <c r="B66" s="25" t="s">
        <v>46</v>
      </c>
      <c r="C66" s="9" t="s">
        <v>100</v>
      </c>
      <c r="D66" s="25" t="s">
        <v>122</v>
      </c>
      <c r="E66" s="25" t="s">
        <v>130</v>
      </c>
      <c r="F66" s="26">
        <v>211.03</v>
      </c>
      <c r="G66" s="27">
        <v>198.37</v>
      </c>
    </row>
    <row r="67" spans="1:7" ht="14.4" x14ac:dyDescent="0.25">
      <c r="A67" s="28">
        <v>41307</v>
      </c>
      <c r="B67" s="29" t="s">
        <v>39</v>
      </c>
      <c r="C67" s="14" t="s">
        <v>75</v>
      </c>
      <c r="D67" s="29" t="s">
        <v>122</v>
      </c>
      <c r="E67" s="29" t="s">
        <v>128</v>
      </c>
      <c r="F67" s="30">
        <v>638.38</v>
      </c>
      <c r="G67" s="31">
        <v>644.76</v>
      </c>
    </row>
    <row r="68" spans="1:7" ht="14.4" x14ac:dyDescent="0.25">
      <c r="A68" s="24">
        <v>41310</v>
      </c>
      <c r="B68" s="25" t="s">
        <v>8</v>
      </c>
      <c r="C68" s="9" t="s">
        <v>54</v>
      </c>
      <c r="D68" s="25" t="s">
        <v>118</v>
      </c>
      <c r="E68" s="25" t="s">
        <v>130</v>
      </c>
      <c r="F68" s="26">
        <v>357.17</v>
      </c>
      <c r="G68" s="27">
        <v>325.02000000000004</v>
      </c>
    </row>
    <row r="69" spans="1:7" ht="14.4" x14ac:dyDescent="0.25">
      <c r="A69" s="28">
        <v>41317</v>
      </c>
      <c r="B69" s="29" t="s">
        <v>41</v>
      </c>
      <c r="C69" s="14" t="s">
        <v>68</v>
      </c>
      <c r="D69" s="29" t="s">
        <v>122</v>
      </c>
      <c r="E69" s="29" t="s">
        <v>129</v>
      </c>
      <c r="F69" s="30">
        <v>392.84</v>
      </c>
      <c r="G69" s="31">
        <v>408.54999999999995</v>
      </c>
    </row>
    <row r="70" spans="1:7" ht="14.4" x14ac:dyDescent="0.25">
      <c r="A70" s="24">
        <v>41318</v>
      </c>
      <c r="B70" s="25" t="s">
        <v>41</v>
      </c>
      <c r="C70" s="9" t="s">
        <v>67</v>
      </c>
      <c r="D70" s="25" t="s">
        <v>122</v>
      </c>
      <c r="E70" s="25" t="s">
        <v>128</v>
      </c>
      <c r="F70" s="26">
        <v>67.290000000000006</v>
      </c>
      <c r="G70" s="27">
        <v>61.230000000000004</v>
      </c>
    </row>
    <row r="71" spans="1:7" ht="14.4" x14ac:dyDescent="0.25">
      <c r="A71" s="28">
        <v>41320</v>
      </c>
      <c r="B71" s="29" t="s">
        <v>42</v>
      </c>
      <c r="C71" s="14" t="s">
        <v>69</v>
      </c>
      <c r="D71" s="29" t="s">
        <v>122</v>
      </c>
      <c r="E71" s="29" t="s">
        <v>130</v>
      </c>
      <c r="F71" s="30">
        <v>825.78</v>
      </c>
      <c r="G71" s="31">
        <v>792.75</v>
      </c>
    </row>
    <row r="72" spans="1:7" ht="14.4" x14ac:dyDescent="0.25">
      <c r="A72" s="24">
        <v>41323</v>
      </c>
      <c r="B72" s="25" t="s">
        <v>26</v>
      </c>
      <c r="C72" s="9" t="s">
        <v>117</v>
      </c>
      <c r="D72" s="25" t="s">
        <v>120</v>
      </c>
      <c r="E72" s="25" t="s">
        <v>128</v>
      </c>
      <c r="F72" s="26">
        <v>385.71</v>
      </c>
      <c r="G72" s="27">
        <v>416.57</v>
      </c>
    </row>
    <row r="73" spans="1:7" ht="14.4" x14ac:dyDescent="0.25">
      <c r="A73" s="28">
        <v>41323</v>
      </c>
      <c r="B73" s="29" t="s">
        <v>40</v>
      </c>
      <c r="C73" s="14" t="s">
        <v>111</v>
      </c>
      <c r="D73" s="29" t="s">
        <v>122</v>
      </c>
      <c r="E73" s="29" t="s">
        <v>129</v>
      </c>
      <c r="F73" s="30">
        <v>436.3</v>
      </c>
      <c r="G73" s="31">
        <v>453.75</v>
      </c>
    </row>
    <row r="74" spans="1:7" ht="14.4" x14ac:dyDescent="0.25">
      <c r="A74" s="24">
        <v>41323</v>
      </c>
      <c r="B74" s="25" t="s">
        <v>14</v>
      </c>
      <c r="C74" s="9" t="s">
        <v>83</v>
      </c>
      <c r="D74" s="25" t="s">
        <v>118</v>
      </c>
      <c r="E74" s="25" t="s">
        <v>129</v>
      </c>
      <c r="F74" s="26">
        <v>401.85</v>
      </c>
      <c r="G74" s="27">
        <v>397.83000000000004</v>
      </c>
    </row>
    <row r="75" spans="1:7" ht="14.4" x14ac:dyDescent="0.25">
      <c r="A75" s="28">
        <v>41324</v>
      </c>
      <c r="B75" s="29" t="s">
        <v>22</v>
      </c>
      <c r="C75" s="14" t="s">
        <v>78</v>
      </c>
      <c r="D75" s="29" t="s">
        <v>119</v>
      </c>
      <c r="E75" s="29" t="s">
        <v>128</v>
      </c>
      <c r="F75" s="30">
        <v>246.28</v>
      </c>
      <c r="G75" s="31">
        <v>233.97</v>
      </c>
    </row>
    <row r="76" spans="1:7" ht="14.4" x14ac:dyDescent="0.25">
      <c r="A76" s="24">
        <v>41325</v>
      </c>
      <c r="B76" s="25" t="s">
        <v>23</v>
      </c>
      <c r="C76" s="9" t="s">
        <v>109</v>
      </c>
      <c r="D76" s="25" t="s">
        <v>119</v>
      </c>
      <c r="E76" s="25" t="s">
        <v>128</v>
      </c>
      <c r="F76" s="26">
        <v>996.56</v>
      </c>
      <c r="G76" s="27">
        <v>986.58999999999992</v>
      </c>
    </row>
    <row r="77" spans="1:7" ht="14.4" x14ac:dyDescent="0.25">
      <c r="A77" s="28">
        <v>41326</v>
      </c>
      <c r="B77" s="29" t="s">
        <v>30</v>
      </c>
      <c r="C77" s="14" t="s">
        <v>88</v>
      </c>
      <c r="D77" s="29" t="s">
        <v>120</v>
      </c>
      <c r="E77" s="29" t="s">
        <v>130</v>
      </c>
      <c r="F77" s="30">
        <v>99.2</v>
      </c>
      <c r="G77" s="31">
        <v>91.26</v>
      </c>
    </row>
    <row r="78" spans="1:7" ht="14.4" x14ac:dyDescent="0.25">
      <c r="A78" s="24">
        <v>41330</v>
      </c>
      <c r="B78" s="25" t="s">
        <v>49</v>
      </c>
      <c r="C78" s="9" t="s">
        <v>72</v>
      </c>
      <c r="D78" s="25" t="s">
        <v>122</v>
      </c>
      <c r="E78" s="25" t="s">
        <v>128</v>
      </c>
      <c r="F78" s="26">
        <v>193.94</v>
      </c>
      <c r="G78" s="27">
        <v>205.57999999999998</v>
      </c>
    </row>
    <row r="79" spans="1:7" ht="14.4" x14ac:dyDescent="0.25">
      <c r="A79" s="28">
        <v>41331</v>
      </c>
      <c r="B79" s="29" t="s">
        <v>48</v>
      </c>
      <c r="C79" s="14" t="s">
        <v>71</v>
      </c>
      <c r="D79" s="29" t="s">
        <v>122</v>
      </c>
      <c r="E79" s="29" t="s">
        <v>128</v>
      </c>
      <c r="F79" s="30">
        <v>316.67</v>
      </c>
      <c r="G79" s="31">
        <v>329.34000000000003</v>
      </c>
    </row>
    <row r="80" spans="1:7" ht="14.4" x14ac:dyDescent="0.25">
      <c r="A80" s="24">
        <v>41332</v>
      </c>
      <c r="B80" s="25" t="s">
        <v>13</v>
      </c>
      <c r="C80" s="9" t="s">
        <v>73</v>
      </c>
      <c r="D80" s="25" t="s">
        <v>118</v>
      </c>
      <c r="E80" s="25" t="s">
        <v>128</v>
      </c>
      <c r="F80" s="26">
        <v>983.55</v>
      </c>
      <c r="G80" s="27">
        <v>963.88</v>
      </c>
    </row>
    <row r="81" spans="1:7" ht="14.4" x14ac:dyDescent="0.25">
      <c r="A81" s="28">
        <v>41333</v>
      </c>
      <c r="B81" s="29" t="s">
        <v>2</v>
      </c>
      <c r="C81" s="14" t="s">
        <v>108</v>
      </c>
      <c r="D81" s="29" t="s">
        <v>118</v>
      </c>
      <c r="E81" s="29" t="s">
        <v>130</v>
      </c>
      <c r="F81" s="30">
        <v>196.57</v>
      </c>
      <c r="G81" s="31">
        <v>182.81</v>
      </c>
    </row>
    <row r="82" spans="1:7" ht="14.4" x14ac:dyDescent="0.25">
      <c r="A82" s="24">
        <v>41333</v>
      </c>
      <c r="B82" s="25" t="s">
        <v>28</v>
      </c>
      <c r="C82" s="9" t="s">
        <v>103</v>
      </c>
      <c r="D82" s="25" t="s">
        <v>120</v>
      </c>
      <c r="E82" s="25" t="s">
        <v>129</v>
      </c>
      <c r="F82" s="26">
        <v>258.25</v>
      </c>
      <c r="G82" s="27">
        <v>273.75</v>
      </c>
    </row>
    <row r="83" spans="1:7" ht="14.4" x14ac:dyDescent="0.25">
      <c r="A83" s="28">
        <v>41335</v>
      </c>
      <c r="B83" s="29" t="s">
        <v>0</v>
      </c>
      <c r="C83" s="14" t="s">
        <v>114</v>
      </c>
      <c r="D83" s="29" t="s">
        <v>118</v>
      </c>
      <c r="E83" s="29" t="s">
        <v>130</v>
      </c>
      <c r="F83" s="30">
        <v>428.05</v>
      </c>
      <c r="G83" s="31">
        <v>432.33</v>
      </c>
    </row>
    <row r="84" spans="1:7" ht="14.4" x14ac:dyDescent="0.25">
      <c r="A84" s="24">
        <v>41336</v>
      </c>
      <c r="B84" s="25" t="s">
        <v>24</v>
      </c>
      <c r="C84" s="9" t="s">
        <v>107</v>
      </c>
      <c r="D84" s="25" t="s">
        <v>119</v>
      </c>
      <c r="E84" s="25" t="s">
        <v>130</v>
      </c>
      <c r="F84" s="26">
        <v>952.76</v>
      </c>
      <c r="G84" s="27">
        <v>914.65</v>
      </c>
    </row>
    <row r="85" spans="1:7" ht="14.4" x14ac:dyDescent="0.25">
      <c r="A85" s="28">
        <v>41336</v>
      </c>
      <c r="B85" s="29" t="s">
        <v>16</v>
      </c>
      <c r="C85" s="14" t="s">
        <v>61</v>
      </c>
      <c r="D85" s="29" t="s">
        <v>118</v>
      </c>
      <c r="E85" s="29" t="s">
        <v>128</v>
      </c>
      <c r="F85" s="30">
        <v>391.72</v>
      </c>
      <c r="G85" s="31">
        <v>395.64000000000004</v>
      </c>
    </row>
    <row r="86" spans="1:7" ht="14.4" x14ac:dyDescent="0.25">
      <c r="A86" s="24">
        <v>41338</v>
      </c>
      <c r="B86" s="25" t="s">
        <v>19</v>
      </c>
      <c r="C86" s="9" t="s">
        <v>113</v>
      </c>
      <c r="D86" s="25" t="s">
        <v>119</v>
      </c>
      <c r="E86" s="25" t="s">
        <v>128</v>
      </c>
      <c r="F86" s="26">
        <v>363.3</v>
      </c>
      <c r="G86" s="27">
        <v>356.03000000000003</v>
      </c>
    </row>
    <row r="87" spans="1:7" ht="14.4" x14ac:dyDescent="0.25">
      <c r="A87" s="28">
        <v>41339</v>
      </c>
      <c r="B87" s="29" t="s">
        <v>12</v>
      </c>
      <c r="C87" s="14" t="s">
        <v>89</v>
      </c>
      <c r="D87" s="29" t="s">
        <v>118</v>
      </c>
      <c r="E87" s="29" t="s">
        <v>130</v>
      </c>
      <c r="F87" s="30">
        <v>165.99</v>
      </c>
      <c r="G87" s="31">
        <v>177.61</v>
      </c>
    </row>
    <row r="88" spans="1:7" ht="14.4" x14ac:dyDescent="0.25">
      <c r="A88" s="24">
        <v>41340</v>
      </c>
      <c r="B88" s="25" t="s">
        <v>25</v>
      </c>
      <c r="C88" s="9" t="s">
        <v>94</v>
      </c>
      <c r="D88" s="25" t="s">
        <v>119</v>
      </c>
      <c r="E88" s="25" t="s">
        <v>130</v>
      </c>
      <c r="F88" s="26">
        <v>921.82</v>
      </c>
      <c r="G88" s="27">
        <v>866.51</v>
      </c>
    </row>
    <row r="89" spans="1:7" ht="14.4" x14ac:dyDescent="0.25">
      <c r="A89" s="28">
        <v>41343</v>
      </c>
      <c r="B89" s="29" t="s">
        <v>40</v>
      </c>
      <c r="C89" s="14" t="s">
        <v>65</v>
      </c>
      <c r="D89" s="29" t="s">
        <v>122</v>
      </c>
      <c r="E89" s="29" t="s">
        <v>130</v>
      </c>
      <c r="F89" s="30">
        <v>597.21</v>
      </c>
      <c r="G89" s="31">
        <v>597.21</v>
      </c>
    </row>
    <row r="90" spans="1:7" ht="14.4" x14ac:dyDescent="0.25">
      <c r="A90" s="24">
        <v>41343</v>
      </c>
      <c r="B90" s="25" t="s">
        <v>36</v>
      </c>
      <c r="C90" s="9" t="s">
        <v>59</v>
      </c>
      <c r="D90" s="25" t="s">
        <v>121</v>
      </c>
      <c r="E90" s="25" t="s">
        <v>128</v>
      </c>
      <c r="F90" s="26">
        <v>397.52</v>
      </c>
      <c r="G90" s="27">
        <v>405.46999999999997</v>
      </c>
    </row>
    <row r="91" spans="1:7" ht="14.4" x14ac:dyDescent="0.25">
      <c r="A91" s="28">
        <v>41345</v>
      </c>
      <c r="B91" s="29" t="s">
        <v>7</v>
      </c>
      <c r="C91" s="14" t="s">
        <v>99</v>
      </c>
      <c r="D91" s="29" t="s">
        <v>118</v>
      </c>
      <c r="E91" s="29" t="s">
        <v>130</v>
      </c>
      <c r="F91" s="30">
        <v>488.55</v>
      </c>
      <c r="G91" s="31">
        <v>488.55</v>
      </c>
    </row>
    <row r="92" spans="1:7" ht="14.4" x14ac:dyDescent="0.25">
      <c r="A92" s="24">
        <v>41345</v>
      </c>
      <c r="B92" s="25" t="s">
        <v>51</v>
      </c>
      <c r="C92" s="9" t="s">
        <v>86</v>
      </c>
      <c r="D92" s="25" t="s">
        <v>122</v>
      </c>
      <c r="E92" s="25" t="s">
        <v>130</v>
      </c>
      <c r="F92" s="26">
        <v>155.31</v>
      </c>
      <c r="G92" s="27">
        <v>150.65</v>
      </c>
    </row>
    <row r="93" spans="1:7" ht="14.4" x14ac:dyDescent="0.25">
      <c r="A93" s="28">
        <v>41350</v>
      </c>
      <c r="B93" s="29" t="s">
        <v>9</v>
      </c>
      <c r="C93" s="14" t="s">
        <v>95</v>
      </c>
      <c r="D93" s="29" t="s">
        <v>118</v>
      </c>
      <c r="E93" s="29" t="s">
        <v>129</v>
      </c>
      <c r="F93" s="30">
        <v>322.83999999999997</v>
      </c>
      <c r="G93" s="31">
        <v>332.53</v>
      </c>
    </row>
    <row r="94" spans="1:7" ht="14.4" x14ac:dyDescent="0.25">
      <c r="A94" s="24">
        <v>41351</v>
      </c>
      <c r="B94" s="25" t="s">
        <v>5</v>
      </c>
      <c r="C94" s="9" t="s">
        <v>102</v>
      </c>
      <c r="D94" s="25" t="s">
        <v>118</v>
      </c>
      <c r="E94" s="25" t="s">
        <v>129</v>
      </c>
      <c r="F94" s="26">
        <v>157.77000000000001</v>
      </c>
      <c r="G94" s="27">
        <v>162.5</v>
      </c>
    </row>
    <row r="95" spans="1:7" ht="14.4" x14ac:dyDescent="0.25">
      <c r="A95" s="28">
        <v>41351</v>
      </c>
      <c r="B95" s="29" t="s">
        <v>48</v>
      </c>
      <c r="C95" s="14" t="s">
        <v>55</v>
      </c>
      <c r="D95" s="29" t="s">
        <v>122</v>
      </c>
      <c r="E95" s="29" t="s">
        <v>128</v>
      </c>
      <c r="F95" s="30">
        <v>966.47</v>
      </c>
      <c r="G95" s="31">
        <v>879.49</v>
      </c>
    </row>
    <row r="96" spans="1:7" ht="14.4" x14ac:dyDescent="0.25">
      <c r="A96" s="24">
        <v>41353</v>
      </c>
      <c r="B96" s="25" t="s">
        <v>27</v>
      </c>
      <c r="C96" s="9" t="s">
        <v>110</v>
      </c>
      <c r="D96" s="25" t="s">
        <v>120</v>
      </c>
      <c r="E96" s="25" t="s">
        <v>128</v>
      </c>
      <c r="F96" s="26">
        <v>444.69</v>
      </c>
      <c r="G96" s="27">
        <v>431.35</v>
      </c>
    </row>
    <row r="97" spans="1:7" ht="14.4" x14ac:dyDescent="0.25">
      <c r="A97" s="28">
        <v>41355</v>
      </c>
      <c r="B97" s="29" t="s">
        <v>44</v>
      </c>
      <c r="C97" s="14" t="s">
        <v>104</v>
      </c>
      <c r="D97" s="29" t="s">
        <v>122</v>
      </c>
      <c r="E97" s="29" t="s">
        <v>129</v>
      </c>
      <c r="F97" s="30">
        <v>301.63</v>
      </c>
      <c r="G97" s="31">
        <v>310.68</v>
      </c>
    </row>
    <row r="98" spans="1:7" ht="14.4" x14ac:dyDescent="0.25">
      <c r="A98" s="24">
        <v>41358</v>
      </c>
      <c r="B98" s="25" t="s">
        <v>18</v>
      </c>
      <c r="C98" s="9" t="s">
        <v>64</v>
      </c>
      <c r="D98" s="25" t="s">
        <v>119</v>
      </c>
      <c r="E98" s="25" t="s">
        <v>130</v>
      </c>
      <c r="F98" s="26">
        <v>736.79</v>
      </c>
      <c r="G98" s="27">
        <v>714.68999999999994</v>
      </c>
    </row>
    <row r="99" spans="1:7" ht="14.4" x14ac:dyDescent="0.25">
      <c r="A99" s="28">
        <v>41359</v>
      </c>
      <c r="B99" s="29" t="s">
        <v>35</v>
      </c>
      <c r="C99" s="14" t="s">
        <v>97</v>
      </c>
      <c r="D99" s="29" t="s">
        <v>121</v>
      </c>
      <c r="E99" s="29" t="s">
        <v>128</v>
      </c>
      <c r="F99" s="30">
        <v>69.7</v>
      </c>
      <c r="G99" s="31">
        <v>62.730000000000004</v>
      </c>
    </row>
    <row r="100" spans="1:7" ht="14.4" x14ac:dyDescent="0.25">
      <c r="A100" s="24">
        <v>41368</v>
      </c>
      <c r="B100" s="25" t="s">
        <v>32</v>
      </c>
      <c r="C100" s="9" t="s">
        <v>126</v>
      </c>
      <c r="D100" s="25" t="s">
        <v>120</v>
      </c>
      <c r="E100" s="25" t="s">
        <v>130</v>
      </c>
      <c r="F100" s="26">
        <v>761.86</v>
      </c>
      <c r="G100" s="27">
        <v>716.15</v>
      </c>
    </row>
    <row r="101" spans="1:7" ht="14.4" x14ac:dyDescent="0.25">
      <c r="A101" s="28">
        <v>41373</v>
      </c>
      <c r="B101" s="29" t="s">
        <v>38</v>
      </c>
      <c r="C101" s="14" t="s">
        <v>116</v>
      </c>
      <c r="D101" s="29" t="s">
        <v>122</v>
      </c>
      <c r="E101" s="29" t="s">
        <v>129</v>
      </c>
      <c r="F101" s="30">
        <v>989.86</v>
      </c>
      <c r="G101" s="31">
        <v>920.57</v>
      </c>
    </row>
    <row r="102" spans="1:7" ht="14.4" x14ac:dyDescent="0.25">
      <c r="A102" s="24">
        <v>41373</v>
      </c>
      <c r="B102" s="25" t="s">
        <v>6</v>
      </c>
      <c r="C102" s="9" t="s">
        <v>81</v>
      </c>
      <c r="D102" s="25" t="s">
        <v>118</v>
      </c>
      <c r="E102" s="25" t="s">
        <v>128</v>
      </c>
      <c r="F102" s="26">
        <v>809.98</v>
      </c>
      <c r="G102" s="27">
        <v>769.48</v>
      </c>
    </row>
    <row r="103" spans="1:7" ht="14.4" x14ac:dyDescent="0.25">
      <c r="A103" s="28">
        <v>41377</v>
      </c>
      <c r="B103" s="29" t="s">
        <v>30</v>
      </c>
      <c r="C103" s="14" t="s">
        <v>88</v>
      </c>
      <c r="D103" s="29" t="s">
        <v>120</v>
      </c>
      <c r="E103" s="29" t="s">
        <v>128</v>
      </c>
      <c r="F103" s="30">
        <v>580.98</v>
      </c>
      <c r="G103" s="31">
        <v>557.74</v>
      </c>
    </row>
    <row r="104" spans="1:7" ht="14.4" x14ac:dyDescent="0.25">
      <c r="A104" s="24">
        <v>41385</v>
      </c>
      <c r="B104" s="25" t="s">
        <v>43</v>
      </c>
      <c r="C104" s="9" t="s">
        <v>106</v>
      </c>
      <c r="D104" s="25" t="s">
        <v>122</v>
      </c>
      <c r="E104" s="25" t="s">
        <v>128</v>
      </c>
      <c r="F104" s="26">
        <v>559.51</v>
      </c>
      <c r="G104" s="27">
        <v>537.13</v>
      </c>
    </row>
    <row r="105" spans="1:7" ht="14.4" x14ac:dyDescent="0.25">
      <c r="A105" s="28">
        <v>41387</v>
      </c>
      <c r="B105" s="29" t="s">
        <v>36</v>
      </c>
      <c r="C105" s="14" t="s">
        <v>90</v>
      </c>
      <c r="D105" s="29" t="s">
        <v>121</v>
      </c>
      <c r="E105" s="29" t="s">
        <v>129</v>
      </c>
      <c r="F105" s="30">
        <v>1.3900000000000001</v>
      </c>
      <c r="G105" s="31">
        <v>1.4500000000000002</v>
      </c>
    </row>
    <row r="106" spans="1:7" ht="14.4" x14ac:dyDescent="0.25">
      <c r="A106" s="24">
        <v>41388</v>
      </c>
      <c r="B106" s="25" t="s">
        <v>22</v>
      </c>
      <c r="C106" s="9" t="s">
        <v>77</v>
      </c>
      <c r="D106" s="25" t="s">
        <v>119</v>
      </c>
      <c r="E106" s="25" t="s">
        <v>130</v>
      </c>
      <c r="F106" s="26">
        <v>447.06</v>
      </c>
      <c r="G106" s="27">
        <v>473.88</v>
      </c>
    </row>
    <row r="107" spans="1:7" ht="14.4" x14ac:dyDescent="0.25">
      <c r="A107" s="28">
        <v>41388</v>
      </c>
      <c r="B107" s="29" t="s">
        <v>47</v>
      </c>
      <c r="C107" s="14" t="s">
        <v>96</v>
      </c>
      <c r="D107" s="29" t="s">
        <v>122</v>
      </c>
      <c r="E107" s="29" t="s">
        <v>129</v>
      </c>
      <c r="F107" s="30">
        <v>59.99</v>
      </c>
      <c r="G107" s="31">
        <v>64.790000000000006</v>
      </c>
    </row>
    <row r="108" spans="1:7" ht="14.4" x14ac:dyDescent="0.25">
      <c r="A108" s="24">
        <v>41389</v>
      </c>
      <c r="B108" s="25" t="s">
        <v>31</v>
      </c>
      <c r="C108" s="9" t="s">
        <v>85</v>
      </c>
      <c r="D108" s="25" t="s">
        <v>120</v>
      </c>
      <c r="E108" s="25" t="s">
        <v>129</v>
      </c>
      <c r="F108" s="26">
        <v>772.52</v>
      </c>
      <c r="G108" s="27">
        <v>818.87</v>
      </c>
    </row>
    <row r="109" spans="1:7" ht="14.4" x14ac:dyDescent="0.25">
      <c r="A109" s="28">
        <v>41390</v>
      </c>
      <c r="B109" s="29" t="s">
        <v>48</v>
      </c>
      <c r="C109" s="14" t="s">
        <v>56</v>
      </c>
      <c r="D109" s="29" t="s">
        <v>122</v>
      </c>
      <c r="E109" s="29" t="s">
        <v>129</v>
      </c>
      <c r="F109" s="30">
        <v>626.23</v>
      </c>
      <c r="G109" s="31">
        <v>657.54</v>
      </c>
    </row>
    <row r="110" spans="1:7" ht="14.4" x14ac:dyDescent="0.25">
      <c r="A110" s="24">
        <v>41391</v>
      </c>
      <c r="B110" s="25" t="s">
        <v>38</v>
      </c>
      <c r="C110" s="9" t="s">
        <v>62</v>
      </c>
      <c r="D110" s="25" t="s">
        <v>122</v>
      </c>
      <c r="E110" s="25" t="s">
        <v>129</v>
      </c>
      <c r="F110" s="26">
        <v>435.48</v>
      </c>
      <c r="G110" s="27">
        <v>426.77000000000004</v>
      </c>
    </row>
    <row r="111" spans="1:7" ht="14.4" x14ac:dyDescent="0.25">
      <c r="A111" s="28">
        <v>41396</v>
      </c>
      <c r="B111" s="29" t="s">
        <v>3</v>
      </c>
      <c r="C111" s="14" t="s">
        <v>66</v>
      </c>
      <c r="D111" s="29" t="s">
        <v>118</v>
      </c>
      <c r="E111" s="29" t="s">
        <v>129</v>
      </c>
      <c r="F111" s="30">
        <v>600.36</v>
      </c>
      <c r="G111" s="31">
        <v>594.36</v>
      </c>
    </row>
    <row r="112" spans="1:7" ht="14.4" x14ac:dyDescent="0.25">
      <c r="A112" s="24">
        <v>41398</v>
      </c>
      <c r="B112" s="25" t="s">
        <v>21</v>
      </c>
      <c r="C112" s="9" t="s">
        <v>79</v>
      </c>
      <c r="D112" s="25" t="s">
        <v>119</v>
      </c>
      <c r="E112" s="25" t="s">
        <v>128</v>
      </c>
      <c r="F112" s="26">
        <v>949.63</v>
      </c>
      <c r="G112" s="27">
        <v>997.11</v>
      </c>
    </row>
    <row r="113" spans="1:7" ht="14.4" x14ac:dyDescent="0.25">
      <c r="A113" s="28">
        <v>41398</v>
      </c>
      <c r="B113" s="29" t="s">
        <v>42</v>
      </c>
      <c r="C113" s="14" t="s">
        <v>69</v>
      </c>
      <c r="D113" s="29" t="s">
        <v>122</v>
      </c>
      <c r="E113" s="29" t="s">
        <v>130</v>
      </c>
      <c r="F113" s="30">
        <v>10.69</v>
      </c>
      <c r="G113" s="31">
        <v>11.44</v>
      </c>
    </row>
    <row r="114" spans="1:7" ht="14.4" x14ac:dyDescent="0.25">
      <c r="A114" s="24">
        <v>41398</v>
      </c>
      <c r="B114" s="25" t="s">
        <v>31</v>
      </c>
      <c r="C114" s="9" t="s">
        <v>85</v>
      </c>
      <c r="D114" s="25" t="s">
        <v>120</v>
      </c>
      <c r="E114" s="25" t="s">
        <v>129</v>
      </c>
      <c r="F114" s="26">
        <v>875.36</v>
      </c>
      <c r="G114" s="27">
        <v>831.59</v>
      </c>
    </row>
    <row r="115" spans="1:7" ht="14.4" x14ac:dyDescent="0.25">
      <c r="A115" s="28">
        <v>41401</v>
      </c>
      <c r="B115" s="29" t="s">
        <v>38</v>
      </c>
      <c r="C115" s="14" t="s">
        <v>116</v>
      </c>
      <c r="D115" s="29" t="s">
        <v>122</v>
      </c>
      <c r="E115" s="29" t="s">
        <v>130</v>
      </c>
      <c r="F115" s="30">
        <v>986.77</v>
      </c>
      <c r="G115" s="31">
        <v>1016.37</v>
      </c>
    </row>
    <row r="116" spans="1:7" ht="14.4" x14ac:dyDescent="0.25">
      <c r="A116" s="24">
        <v>41401</v>
      </c>
      <c r="B116" s="25" t="s">
        <v>18</v>
      </c>
      <c r="C116" s="9" t="s">
        <v>63</v>
      </c>
      <c r="D116" s="25" t="s">
        <v>119</v>
      </c>
      <c r="E116" s="25" t="s">
        <v>130</v>
      </c>
      <c r="F116" s="26">
        <v>678.52</v>
      </c>
      <c r="G116" s="27">
        <v>705.66</v>
      </c>
    </row>
    <row r="117" spans="1:7" ht="14.4" x14ac:dyDescent="0.25">
      <c r="A117" s="28">
        <v>41401</v>
      </c>
      <c r="B117" s="29" t="s">
        <v>43</v>
      </c>
      <c r="C117" s="14" t="s">
        <v>106</v>
      </c>
      <c r="D117" s="29" t="s">
        <v>122</v>
      </c>
      <c r="E117" s="29" t="s">
        <v>128</v>
      </c>
      <c r="F117" s="30">
        <v>782.81</v>
      </c>
      <c r="G117" s="31">
        <v>728.01</v>
      </c>
    </row>
    <row r="118" spans="1:7" ht="14.4" x14ac:dyDescent="0.25">
      <c r="A118" s="24">
        <v>41403</v>
      </c>
      <c r="B118" s="25" t="s">
        <v>24</v>
      </c>
      <c r="C118" s="9" t="s">
        <v>107</v>
      </c>
      <c r="D118" s="25" t="s">
        <v>119</v>
      </c>
      <c r="E118" s="25" t="s">
        <v>128</v>
      </c>
      <c r="F118" s="26">
        <v>914.72</v>
      </c>
      <c r="G118" s="27">
        <v>914.72</v>
      </c>
    </row>
    <row r="119" spans="1:7" ht="14.4" x14ac:dyDescent="0.25">
      <c r="A119" s="28">
        <v>41404</v>
      </c>
      <c r="B119" s="29" t="s">
        <v>33</v>
      </c>
      <c r="C119" s="14" t="s">
        <v>115</v>
      </c>
      <c r="D119" s="29" t="s">
        <v>121</v>
      </c>
      <c r="E119" s="29" t="s">
        <v>129</v>
      </c>
      <c r="F119" s="30">
        <v>953.86</v>
      </c>
      <c r="G119" s="31">
        <v>858.47</v>
      </c>
    </row>
    <row r="120" spans="1:7" ht="14.4" x14ac:dyDescent="0.25">
      <c r="A120" s="24">
        <v>41404</v>
      </c>
      <c r="B120" s="25" t="s">
        <v>34</v>
      </c>
      <c r="C120" s="9" t="s">
        <v>105</v>
      </c>
      <c r="D120" s="25" t="s">
        <v>121</v>
      </c>
      <c r="E120" s="25" t="s">
        <v>130</v>
      </c>
      <c r="F120" s="26">
        <v>484.25</v>
      </c>
      <c r="G120" s="27">
        <v>450.35</v>
      </c>
    </row>
    <row r="121" spans="1:7" ht="14.4" x14ac:dyDescent="0.25">
      <c r="A121" s="28">
        <v>41405</v>
      </c>
      <c r="B121" s="29" t="s">
        <v>30</v>
      </c>
      <c r="C121" s="14" t="s">
        <v>88</v>
      </c>
      <c r="D121" s="29" t="s">
        <v>120</v>
      </c>
      <c r="E121" s="29" t="s">
        <v>128</v>
      </c>
      <c r="F121" s="30">
        <v>921.68</v>
      </c>
      <c r="G121" s="31">
        <v>884.81</v>
      </c>
    </row>
    <row r="122" spans="1:7" ht="14.4" x14ac:dyDescent="0.25">
      <c r="A122" s="24">
        <v>41406</v>
      </c>
      <c r="B122" s="25" t="s">
        <v>15</v>
      </c>
      <c r="C122" s="9" t="s">
        <v>60</v>
      </c>
      <c r="D122" s="25" t="s">
        <v>118</v>
      </c>
      <c r="E122" s="25" t="s">
        <v>130</v>
      </c>
      <c r="F122" s="26">
        <v>751.73</v>
      </c>
      <c r="G122" s="27">
        <v>766.76</v>
      </c>
    </row>
    <row r="123" spans="1:7" ht="14.4" x14ac:dyDescent="0.25">
      <c r="A123" s="28">
        <v>41407</v>
      </c>
      <c r="B123" s="29" t="s">
        <v>18</v>
      </c>
      <c r="C123" s="14" t="s">
        <v>64</v>
      </c>
      <c r="D123" s="29" t="s">
        <v>119</v>
      </c>
      <c r="E123" s="29" t="s">
        <v>130</v>
      </c>
      <c r="F123" s="30">
        <v>865.75</v>
      </c>
      <c r="G123" s="31">
        <v>917.7</v>
      </c>
    </row>
    <row r="124" spans="1:7" ht="14.4" x14ac:dyDescent="0.25">
      <c r="A124" s="24">
        <v>41408</v>
      </c>
      <c r="B124" s="25" t="s">
        <v>11</v>
      </c>
      <c r="C124" s="9" t="s">
        <v>91</v>
      </c>
      <c r="D124" s="25" t="s">
        <v>118</v>
      </c>
      <c r="E124" s="25" t="s">
        <v>129</v>
      </c>
      <c r="F124" s="26">
        <v>673.55</v>
      </c>
      <c r="G124" s="27">
        <v>687.02</v>
      </c>
    </row>
    <row r="125" spans="1:7" ht="14.4" x14ac:dyDescent="0.25">
      <c r="A125" s="28">
        <v>41409</v>
      </c>
      <c r="B125" s="29" t="s">
        <v>2</v>
      </c>
      <c r="C125" s="14" t="s">
        <v>108</v>
      </c>
      <c r="D125" s="29" t="s">
        <v>118</v>
      </c>
      <c r="E125" s="29" t="s">
        <v>128</v>
      </c>
      <c r="F125" s="30">
        <v>857.28</v>
      </c>
      <c r="G125" s="31">
        <v>891.56999999999994</v>
      </c>
    </row>
    <row r="126" spans="1:7" ht="14.4" x14ac:dyDescent="0.25">
      <c r="A126" s="24">
        <v>41412</v>
      </c>
      <c r="B126" s="25" t="s">
        <v>27</v>
      </c>
      <c r="C126" s="9" t="s">
        <v>110</v>
      </c>
      <c r="D126" s="25" t="s">
        <v>120</v>
      </c>
      <c r="E126" s="25" t="s">
        <v>129</v>
      </c>
      <c r="F126" s="26">
        <v>510.23</v>
      </c>
      <c r="G126" s="27">
        <v>489.82</v>
      </c>
    </row>
    <row r="127" spans="1:7" ht="14.4" x14ac:dyDescent="0.25">
      <c r="A127" s="28">
        <v>41416</v>
      </c>
      <c r="B127" s="29" t="s">
        <v>17</v>
      </c>
      <c r="C127" s="14" t="s">
        <v>74</v>
      </c>
      <c r="D127" s="29" t="s">
        <v>119</v>
      </c>
      <c r="E127" s="29" t="s">
        <v>128</v>
      </c>
      <c r="F127" s="30">
        <v>688.25</v>
      </c>
      <c r="G127" s="31">
        <v>619.41999999999996</v>
      </c>
    </row>
    <row r="128" spans="1:7" ht="14.4" x14ac:dyDescent="0.25">
      <c r="A128" s="24">
        <v>41417</v>
      </c>
      <c r="B128" s="25" t="s">
        <v>46</v>
      </c>
      <c r="C128" s="9" t="s">
        <v>100</v>
      </c>
      <c r="D128" s="25" t="s">
        <v>122</v>
      </c>
      <c r="E128" s="25" t="s">
        <v>130</v>
      </c>
      <c r="F128" s="26">
        <v>42.63</v>
      </c>
      <c r="G128" s="27">
        <v>39.650000000000006</v>
      </c>
    </row>
    <row r="129" spans="1:7" ht="14.4" x14ac:dyDescent="0.25">
      <c r="A129" s="28">
        <v>41417</v>
      </c>
      <c r="B129" s="29" t="s">
        <v>29</v>
      </c>
      <c r="C129" s="14" t="s">
        <v>98</v>
      </c>
      <c r="D129" s="29" t="s">
        <v>120</v>
      </c>
      <c r="E129" s="29" t="s">
        <v>129</v>
      </c>
      <c r="F129" s="30">
        <v>703.93</v>
      </c>
      <c r="G129" s="31">
        <v>739.13</v>
      </c>
    </row>
    <row r="130" spans="1:7" ht="14.4" x14ac:dyDescent="0.25">
      <c r="A130" s="24">
        <v>41417</v>
      </c>
      <c r="B130" s="25" t="s">
        <v>37</v>
      </c>
      <c r="C130" s="9" t="s">
        <v>87</v>
      </c>
      <c r="D130" s="25" t="s">
        <v>121</v>
      </c>
      <c r="E130" s="25" t="s">
        <v>130</v>
      </c>
      <c r="F130" s="26">
        <v>760.7</v>
      </c>
      <c r="G130" s="27">
        <v>730.2700000000001</v>
      </c>
    </row>
    <row r="131" spans="1:7" ht="14.4" x14ac:dyDescent="0.25">
      <c r="A131" s="28">
        <v>41418</v>
      </c>
      <c r="B131" s="29" t="s">
        <v>22</v>
      </c>
      <c r="C131" s="14" t="s">
        <v>76</v>
      </c>
      <c r="D131" s="29" t="s">
        <v>119</v>
      </c>
      <c r="E131" s="29" t="s">
        <v>129</v>
      </c>
      <c r="F131" s="30">
        <v>335.87</v>
      </c>
      <c r="G131" s="31">
        <v>305.64</v>
      </c>
    </row>
    <row r="132" spans="1:7" ht="14.4" x14ac:dyDescent="0.25">
      <c r="A132" s="24">
        <v>41426</v>
      </c>
      <c r="B132" s="25" t="s">
        <v>51</v>
      </c>
      <c r="C132" s="9" t="s">
        <v>86</v>
      </c>
      <c r="D132" s="25" t="s">
        <v>122</v>
      </c>
      <c r="E132" s="25" t="s">
        <v>129</v>
      </c>
      <c r="F132" s="26">
        <v>572.05999999999995</v>
      </c>
      <c r="G132" s="27">
        <v>554.9</v>
      </c>
    </row>
    <row r="133" spans="1:7" ht="14.4" x14ac:dyDescent="0.25">
      <c r="A133" s="28">
        <v>41427</v>
      </c>
      <c r="B133" s="29" t="s">
        <v>0</v>
      </c>
      <c r="C133" s="14" t="s">
        <v>114</v>
      </c>
      <c r="D133" s="29" t="s">
        <v>118</v>
      </c>
      <c r="E133" s="29" t="s">
        <v>130</v>
      </c>
      <c r="F133" s="30">
        <v>542.67999999999995</v>
      </c>
      <c r="G133" s="31">
        <v>542.67999999999995</v>
      </c>
    </row>
    <row r="134" spans="1:7" ht="14.4" x14ac:dyDescent="0.25">
      <c r="A134" s="24">
        <v>41427</v>
      </c>
      <c r="B134" s="25" t="s">
        <v>21</v>
      </c>
      <c r="C134" s="9" t="s">
        <v>79</v>
      </c>
      <c r="D134" s="25" t="s">
        <v>119</v>
      </c>
      <c r="E134" s="25" t="s">
        <v>128</v>
      </c>
      <c r="F134" s="26">
        <v>725.91</v>
      </c>
      <c r="G134" s="27">
        <v>667.83999999999992</v>
      </c>
    </row>
    <row r="135" spans="1:7" ht="14.4" x14ac:dyDescent="0.25">
      <c r="A135" s="28">
        <v>41428</v>
      </c>
      <c r="B135" s="29" t="s">
        <v>45</v>
      </c>
      <c r="C135" s="14" t="s">
        <v>101</v>
      </c>
      <c r="D135" s="29" t="s">
        <v>122</v>
      </c>
      <c r="E135" s="29" t="s">
        <v>130</v>
      </c>
      <c r="F135" s="30">
        <v>242.34</v>
      </c>
      <c r="G135" s="31">
        <v>259.3</v>
      </c>
    </row>
    <row r="136" spans="1:7" ht="14.4" x14ac:dyDescent="0.25">
      <c r="A136" s="24">
        <v>41429</v>
      </c>
      <c r="B136" s="25" t="s">
        <v>18</v>
      </c>
      <c r="C136" s="9" t="s">
        <v>63</v>
      </c>
      <c r="D136" s="25" t="s">
        <v>119</v>
      </c>
      <c r="E136" s="25" t="s">
        <v>129</v>
      </c>
      <c r="F136" s="26">
        <v>52.91</v>
      </c>
      <c r="G136" s="27">
        <v>50.79</v>
      </c>
    </row>
    <row r="137" spans="1:7" ht="14.4" x14ac:dyDescent="0.25">
      <c r="A137" s="28">
        <v>41429</v>
      </c>
      <c r="B137" s="29" t="s">
        <v>1</v>
      </c>
      <c r="C137" s="14" t="s">
        <v>1</v>
      </c>
      <c r="D137" s="29" t="s">
        <v>118</v>
      </c>
      <c r="E137" s="29" t="s">
        <v>128</v>
      </c>
      <c r="F137" s="30">
        <v>724.69</v>
      </c>
      <c r="G137" s="31">
        <v>731.94</v>
      </c>
    </row>
    <row r="138" spans="1:7" ht="14.4" x14ac:dyDescent="0.25">
      <c r="A138" s="24">
        <v>41429</v>
      </c>
      <c r="B138" s="25" t="s">
        <v>8</v>
      </c>
      <c r="C138" s="9" t="s">
        <v>54</v>
      </c>
      <c r="D138" s="25" t="s">
        <v>118</v>
      </c>
      <c r="E138" s="25" t="s">
        <v>128</v>
      </c>
      <c r="F138" s="26">
        <v>986.39</v>
      </c>
      <c r="G138" s="27">
        <v>1006.12</v>
      </c>
    </row>
    <row r="139" spans="1:7" ht="14.4" x14ac:dyDescent="0.25">
      <c r="A139" s="28">
        <v>41431</v>
      </c>
      <c r="B139" s="29" t="s">
        <v>36</v>
      </c>
      <c r="C139" s="14" t="s">
        <v>90</v>
      </c>
      <c r="D139" s="29" t="s">
        <v>121</v>
      </c>
      <c r="E139" s="29" t="s">
        <v>129</v>
      </c>
      <c r="F139" s="30">
        <v>793.52</v>
      </c>
      <c r="G139" s="31">
        <v>753.84</v>
      </c>
    </row>
    <row r="140" spans="1:7" ht="14.4" x14ac:dyDescent="0.25">
      <c r="A140" s="24">
        <v>41432</v>
      </c>
      <c r="B140" s="25" t="s">
        <v>50</v>
      </c>
      <c r="C140" s="9" t="s">
        <v>92</v>
      </c>
      <c r="D140" s="25" t="s">
        <v>122</v>
      </c>
      <c r="E140" s="25" t="s">
        <v>129</v>
      </c>
      <c r="F140" s="26">
        <v>695.88</v>
      </c>
      <c r="G140" s="27">
        <v>709.8</v>
      </c>
    </row>
    <row r="141" spans="1:7" ht="14.4" x14ac:dyDescent="0.25">
      <c r="A141" s="28">
        <v>41432</v>
      </c>
      <c r="B141" s="29" t="s">
        <v>36</v>
      </c>
      <c r="C141" s="14" t="s">
        <v>57</v>
      </c>
      <c r="D141" s="29" t="s">
        <v>121</v>
      </c>
      <c r="E141" s="29" t="s">
        <v>130</v>
      </c>
      <c r="F141" s="30">
        <v>686.67</v>
      </c>
      <c r="G141" s="31">
        <v>638.59999999999991</v>
      </c>
    </row>
    <row r="142" spans="1:7" ht="14.4" x14ac:dyDescent="0.25">
      <c r="A142" s="24">
        <v>41433</v>
      </c>
      <c r="B142" s="25" t="s">
        <v>28</v>
      </c>
      <c r="C142" s="9" t="s">
        <v>103</v>
      </c>
      <c r="D142" s="25" t="s">
        <v>120</v>
      </c>
      <c r="E142" s="25" t="s">
        <v>130</v>
      </c>
      <c r="F142" s="26">
        <v>587.33000000000004</v>
      </c>
      <c r="G142" s="27">
        <v>593.20000000000005</v>
      </c>
    </row>
    <row r="143" spans="1:7" ht="14.4" x14ac:dyDescent="0.25">
      <c r="A143" s="28">
        <v>41434</v>
      </c>
      <c r="B143" s="29" t="s">
        <v>20</v>
      </c>
      <c r="C143" s="14" t="s">
        <v>112</v>
      </c>
      <c r="D143" s="29" t="s">
        <v>119</v>
      </c>
      <c r="E143" s="29" t="s">
        <v>129</v>
      </c>
      <c r="F143" s="30">
        <v>35.549999999999997</v>
      </c>
      <c r="G143" s="31">
        <v>32.349999999999994</v>
      </c>
    </row>
    <row r="144" spans="1:7" ht="14.4" x14ac:dyDescent="0.25">
      <c r="A144" s="24">
        <v>41434</v>
      </c>
      <c r="B144" s="25" t="s">
        <v>48</v>
      </c>
      <c r="C144" s="9" t="s">
        <v>82</v>
      </c>
      <c r="D144" s="25" t="s">
        <v>122</v>
      </c>
      <c r="E144" s="25" t="s">
        <v>129</v>
      </c>
      <c r="F144" s="26">
        <v>652.21</v>
      </c>
      <c r="G144" s="27">
        <v>593.51</v>
      </c>
    </row>
    <row r="145" spans="1:7" ht="14.4" x14ac:dyDescent="0.25">
      <c r="A145" s="28">
        <v>41435</v>
      </c>
      <c r="B145" s="29" t="s">
        <v>10</v>
      </c>
      <c r="C145" s="14" t="s">
        <v>93</v>
      </c>
      <c r="D145" s="29" t="s">
        <v>118</v>
      </c>
      <c r="E145" s="29" t="s">
        <v>128</v>
      </c>
      <c r="F145" s="30">
        <v>40.119999999999997</v>
      </c>
      <c r="G145" s="31">
        <v>41.72</v>
      </c>
    </row>
    <row r="146" spans="1:7" ht="14.4" x14ac:dyDescent="0.25">
      <c r="A146" s="24">
        <v>41438</v>
      </c>
      <c r="B146" s="25" t="s">
        <v>9</v>
      </c>
      <c r="C146" s="9" t="s">
        <v>95</v>
      </c>
      <c r="D146" s="25" t="s">
        <v>118</v>
      </c>
      <c r="E146" s="25" t="s">
        <v>130</v>
      </c>
      <c r="F146" s="26">
        <v>736.43</v>
      </c>
      <c r="G146" s="27">
        <v>721.69999999999993</v>
      </c>
    </row>
    <row r="147" spans="1:7" ht="14.4" x14ac:dyDescent="0.25">
      <c r="A147" s="28">
        <v>41442</v>
      </c>
      <c r="B147" s="29" t="s">
        <v>4</v>
      </c>
      <c r="C147" s="14" t="s">
        <v>70</v>
      </c>
      <c r="D147" s="29" t="s">
        <v>118</v>
      </c>
      <c r="E147" s="29" t="s">
        <v>128</v>
      </c>
      <c r="F147" s="30">
        <v>70.94</v>
      </c>
      <c r="G147" s="31">
        <v>68.099999999999994</v>
      </c>
    </row>
    <row r="148" spans="1:7" ht="14.4" x14ac:dyDescent="0.25">
      <c r="A148" s="24">
        <v>41442</v>
      </c>
      <c r="B148" s="25" t="s">
        <v>6</v>
      </c>
      <c r="C148" s="9" t="s">
        <v>80</v>
      </c>
      <c r="D148" s="25" t="s">
        <v>118</v>
      </c>
      <c r="E148" s="25" t="s">
        <v>129</v>
      </c>
      <c r="F148" s="26">
        <v>130.06</v>
      </c>
      <c r="G148" s="27">
        <v>119.66</v>
      </c>
    </row>
    <row r="149" spans="1:7" ht="14.4" x14ac:dyDescent="0.25">
      <c r="A149" s="28">
        <v>41443</v>
      </c>
      <c r="B149" s="29" t="s">
        <v>46</v>
      </c>
      <c r="C149" s="14" t="s">
        <v>100</v>
      </c>
      <c r="D149" s="29" t="s">
        <v>122</v>
      </c>
      <c r="E149" s="29" t="s">
        <v>130</v>
      </c>
      <c r="F149" s="30">
        <v>796.23</v>
      </c>
      <c r="G149" s="31">
        <v>740.49</v>
      </c>
    </row>
    <row r="150" spans="1:7" ht="14.4" x14ac:dyDescent="0.25">
      <c r="A150" s="24">
        <v>41443</v>
      </c>
      <c r="B150" s="25" t="s">
        <v>36</v>
      </c>
      <c r="C150" s="9" t="s">
        <v>57</v>
      </c>
      <c r="D150" s="25" t="s">
        <v>121</v>
      </c>
      <c r="E150" s="25" t="s">
        <v>128</v>
      </c>
      <c r="F150" s="26">
        <v>981.17</v>
      </c>
      <c r="G150" s="27">
        <v>1010.61</v>
      </c>
    </row>
    <row r="151" spans="1:7" ht="14.4" x14ac:dyDescent="0.25">
      <c r="A151" s="28">
        <v>41444</v>
      </c>
      <c r="B151" s="29" t="s">
        <v>6</v>
      </c>
      <c r="C151" s="14" t="s">
        <v>81</v>
      </c>
      <c r="D151" s="29" t="s">
        <v>118</v>
      </c>
      <c r="E151" s="29" t="s">
        <v>128</v>
      </c>
      <c r="F151" s="30">
        <v>45.51</v>
      </c>
      <c r="G151" s="31">
        <v>42.32</v>
      </c>
    </row>
    <row r="152" spans="1:7" ht="14.4" x14ac:dyDescent="0.25">
      <c r="A152" s="24">
        <v>41445</v>
      </c>
      <c r="B152" s="25" t="s">
        <v>16</v>
      </c>
      <c r="C152" s="9" t="s">
        <v>61</v>
      </c>
      <c r="D152" s="25" t="s">
        <v>118</v>
      </c>
      <c r="E152" s="25" t="s">
        <v>128</v>
      </c>
      <c r="F152" s="26">
        <v>451.47</v>
      </c>
      <c r="G152" s="27">
        <v>483.07000000000005</v>
      </c>
    </row>
    <row r="153" spans="1:7" ht="14.4" x14ac:dyDescent="0.25">
      <c r="A153" s="28">
        <v>41448</v>
      </c>
      <c r="B153" s="29" t="s">
        <v>36</v>
      </c>
      <c r="C153" s="14" t="s">
        <v>58</v>
      </c>
      <c r="D153" s="29" t="s">
        <v>121</v>
      </c>
      <c r="E153" s="29" t="s">
        <v>130</v>
      </c>
      <c r="F153" s="30">
        <v>478.39</v>
      </c>
      <c r="G153" s="31">
        <v>459.25</v>
      </c>
    </row>
    <row r="154" spans="1:7" ht="14.4" x14ac:dyDescent="0.25">
      <c r="A154" s="24">
        <v>41449</v>
      </c>
      <c r="B154" s="25" t="s">
        <v>4</v>
      </c>
      <c r="C154" s="9" t="s">
        <v>70</v>
      </c>
      <c r="D154" s="25" t="s">
        <v>118</v>
      </c>
      <c r="E154" s="25" t="s">
        <v>128</v>
      </c>
      <c r="F154" s="26">
        <v>904.98</v>
      </c>
      <c r="G154" s="27">
        <v>977.38</v>
      </c>
    </row>
    <row r="155" spans="1:7" ht="14.4" x14ac:dyDescent="0.25">
      <c r="A155" s="28">
        <v>41452</v>
      </c>
      <c r="B155" s="29" t="s">
        <v>44</v>
      </c>
      <c r="C155" s="14" t="s">
        <v>104</v>
      </c>
      <c r="D155" s="29" t="s">
        <v>122</v>
      </c>
      <c r="E155" s="29" t="s">
        <v>128</v>
      </c>
      <c r="F155" s="30">
        <v>480.03</v>
      </c>
      <c r="G155" s="31">
        <v>475.22999999999996</v>
      </c>
    </row>
    <row r="156" spans="1:7" ht="14.4" x14ac:dyDescent="0.25">
      <c r="A156" s="24">
        <v>41456</v>
      </c>
      <c r="B156" s="25" t="s">
        <v>19</v>
      </c>
      <c r="C156" s="9" t="s">
        <v>113</v>
      </c>
      <c r="D156" s="25" t="s">
        <v>119</v>
      </c>
      <c r="E156" s="25" t="s">
        <v>130</v>
      </c>
      <c r="F156" s="26">
        <v>76.459999999999994</v>
      </c>
      <c r="G156" s="27">
        <v>72.64</v>
      </c>
    </row>
    <row r="157" spans="1:7" ht="14.4" x14ac:dyDescent="0.25">
      <c r="A157" s="28">
        <v>41457</v>
      </c>
      <c r="B157" s="29" t="s">
        <v>40</v>
      </c>
      <c r="C157" s="14" t="s">
        <v>65</v>
      </c>
      <c r="D157" s="29" t="s">
        <v>122</v>
      </c>
      <c r="E157" s="29" t="s">
        <v>128</v>
      </c>
      <c r="F157" s="30">
        <v>977.84</v>
      </c>
      <c r="G157" s="31">
        <v>1036.51</v>
      </c>
    </row>
    <row r="158" spans="1:7" ht="14.4" x14ac:dyDescent="0.25">
      <c r="A158" s="24">
        <v>41458</v>
      </c>
      <c r="B158" s="25" t="s">
        <v>33</v>
      </c>
      <c r="C158" s="9" t="s">
        <v>115</v>
      </c>
      <c r="D158" s="25" t="s">
        <v>121</v>
      </c>
      <c r="E158" s="25" t="s">
        <v>129</v>
      </c>
      <c r="F158" s="26">
        <v>874.66</v>
      </c>
      <c r="G158" s="27">
        <v>795.93999999999994</v>
      </c>
    </row>
    <row r="159" spans="1:7" ht="14.4" x14ac:dyDescent="0.25">
      <c r="A159" s="28">
        <v>41459</v>
      </c>
      <c r="B159" s="29" t="s">
        <v>13</v>
      </c>
      <c r="C159" s="14" t="s">
        <v>73</v>
      </c>
      <c r="D159" s="29" t="s">
        <v>118</v>
      </c>
      <c r="E159" s="29" t="s">
        <v>130</v>
      </c>
      <c r="F159" s="30">
        <v>168.2</v>
      </c>
      <c r="G159" s="31">
        <v>164.83999999999997</v>
      </c>
    </row>
    <row r="160" spans="1:7" ht="14.4" x14ac:dyDescent="0.25">
      <c r="A160" s="24">
        <v>41461</v>
      </c>
      <c r="B160" s="25" t="s">
        <v>3</v>
      </c>
      <c r="C160" s="9" t="s">
        <v>66</v>
      </c>
      <c r="D160" s="25" t="s">
        <v>118</v>
      </c>
      <c r="E160" s="25" t="s">
        <v>130</v>
      </c>
      <c r="F160" s="26">
        <v>18.170000000000002</v>
      </c>
      <c r="G160" s="27">
        <v>17.440000000000001</v>
      </c>
    </row>
    <row r="161" spans="1:7" ht="14.4" x14ac:dyDescent="0.25">
      <c r="A161" s="28">
        <v>41462</v>
      </c>
      <c r="B161" s="29" t="s">
        <v>25</v>
      </c>
      <c r="C161" s="14" t="s">
        <v>94</v>
      </c>
      <c r="D161" s="29" t="s">
        <v>119</v>
      </c>
      <c r="E161" s="29" t="s">
        <v>129</v>
      </c>
      <c r="F161" s="30">
        <v>591.09</v>
      </c>
      <c r="G161" s="31">
        <v>597</v>
      </c>
    </row>
    <row r="162" spans="1:7" ht="14.4" x14ac:dyDescent="0.25">
      <c r="A162" s="24">
        <v>41463</v>
      </c>
      <c r="B162" s="25" t="s">
        <v>6</v>
      </c>
      <c r="C162" s="9" t="s">
        <v>80</v>
      </c>
      <c r="D162" s="25" t="s">
        <v>118</v>
      </c>
      <c r="E162" s="25" t="s">
        <v>129</v>
      </c>
      <c r="F162" s="26">
        <v>826.12</v>
      </c>
      <c r="G162" s="27">
        <v>793.08</v>
      </c>
    </row>
    <row r="163" spans="1:7" ht="14.4" x14ac:dyDescent="0.25">
      <c r="A163" s="28">
        <v>41467</v>
      </c>
      <c r="B163" s="29" t="s">
        <v>5</v>
      </c>
      <c r="C163" s="14" t="s">
        <v>102</v>
      </c>
      <c r="D163" s="29" t="s">
        <v>118</v>
      </c>
      <c r="E163" s="29" t="s">
        <v>128</v>
      </c>
      <c r="F163" s="30">
        <v>787.38</v>
      </c>
      <c r="G163" s="31">
        <v>803.13</v>
      </c>
    </row>
    <row r="164" spans="1:7" ht="14.4" x14ac:dyDescent="0.25">
      <c r="A164" s="24">
        <v>41467</v>
      </c>
      <c r="B164" s="25" t="s">
        <v>36</v>
      </c>
      <c r="C164" s="9" t="s">
        <v>59</v>
      </c>
      <c r="D164" s="25" t="s">
        <v>121</v>
      </c>
      <c r="E164" s="25" t="s">
        <v>130</v>
      </c>
      <c r="F164" s="26">
        <v>883.26</v>
      </c>
      <c r="G164" s="27">
        <v>839.1</v>
      </c>
    </row>
    <row r="165" spans="1:7" ht="14.4" x14ac:dyDescent="0.25">
      <c r="A165" s="28">
        <v>41469</v>
      </c>
      <c r="B165" s="29" t="s">
        <v>41</v>
      </c>
      <c r="C165" s="14" t="s">
        <v>68</v>
      </c>
      <c r="D165" s="29" t="s">
        <v>122</v>
      </c>
      <c r="E165" s="29" t="s">
        <v>128</v>
      </c>
      <c r="F165" s="30">
        <v>977.69</v>
      </c>
      <c r="G165" s="31">
        <v>987.47</v>
      </c>
    </row>
    <row r="166" spans="1:7" ht="14.4" x14ac:dyDescent="0.25">
      <c r="A166" s="24">
        <v>41470</v>
      </c>
      <c r="B166" s="25" t="s">
        <v>17</v>
      </c>
      <c r="C166" s="9" t="s">
        <v>74</v>
      </c>
      <c r="D166" s="25" t="s">
        <v>119</v>
      </c>
      <c r="E166" s="25" t="s">
        <v>130</v>
      </c>
      <c r="F166" s="26">
        <v>453.66</v>
      </c>
      <c r="G166" s="27">
        <v>408.29</v>
      </c>
    </row>
    <row r="167" spans="1:7" ht="14.4" x14ac:dyDescent="0.25">
      <c r="A167" s="28">
        <v>41473</v>
      </c>
      <c r="B167" s="29" t="s">
        <v>48</v>
      </c>
      <c r="C167" s="14" t="s">
        <v>71</v>
      </c>
      <c r="D167" s="29" t="s">
        <v>122</v>
      </c>
      <c r="E167" s="29" t="s">
        <v>130</v>
      </c>
      <c r="F167" s="30">
        <v>303.31</v>
      </c>
      <c r="G167" s="31">
        <v>300.28000000000003</v>
      </c>
    </row>
    <row r="168" spans="1:7" ht="14.4" x14ac:dyDescent="0.25">
      <c r="A168" s="24">
        <v>41473</v>
      </c>
      <c r="B168" s="25" t="s">
        <v>30</v>
      </c>
      <c r="C168" s="9" t="s">
        <v>88</v>
      </c>
      <c r="D168" s="25" t="s">
        <v>120</v>
      </c>
      <c r="E168" s="25" t="s">
        <v>130</v>
      </c>
      <c r="F168" s="26">
        <v>593.16999999999996</v>
      </c>
      <c r="G168" s="27">
        <v>634.68999999999994</v>
      </c>
    </row>
    <row r="169" spans="1:7" ht="14.4" x14ac:dyDescent="0.25">
      <c r="A169" s="28">
        <v>41476</v>
      </c>
      <c r="B169" s="29" t="s">
        <v>50</v>
      </c>
      <c r="C169" s="14" t="s">
        <v>92</v>
      </c>
      <c r="D169" s="29" t="s">
        <v>122</v>
      </c>
      <c r="E169" s="29" t="s">
        <v>130</v>
      </c>
      <c r="F169" s="30">
        <v>238.65</v>
      </c>
      <c r="G169" s="31">
        <v>236.26000000000002</v>
      </c>
    </row>
    <row r="170" spans="1:7" ht="14.4" x14ac:dyDescent="0.25">
      <c r="A170" s="24">
        <v>41479</v>
      </c>
      <c r="B170" s="25" t="s">
        <v>48</v>
      </c>
      <c r="C170" s="9" t="s">
        <v>55</v>
      </c>
      <c r="D170" s="25" t="s">
        <v>122</v>
      </c>
      <c r="E170" s="25" t="s">
        <v>128</v>
      </c>
      <c r="F170" s="26">
        <v>458.22</v>
      </c>
      <c r="G170" s="27">
        <v>490.3</v>
      </c>
    </row>
    <row r="171" spans="1:7" ht="14.4" x14ac:dyDescent="0.25">
      <c r="A171" s="28">
        <v>41481</v>
      </c>
      <c r="B171" s="29" t="s">
        <v>20</v>
      </c>
      <c r="C171" s="14" t="s">
        <v>112</v>
      </c>
      <c r="D171" s="29" t="s">
        <v>119</v>
      </c>
      <c r="E171" s="29" t="s">
        <v>129</v>
      </c>
      <c r="F171" s="30">
        <v>85.19</v>
      </c>
      <c r="G171" s="31">
        <v>87.75</v>
      </c>
    </row>
    <row r="172" spans="1:7" ht="14.4" x14ac:dyDescent="0.25">
      <c r="A172" s="24">
        <v>41483</v>
      </c>
      <c r="B172" s="25" t="s">
        <v>32</v>
      </c>
      <c r="C172" s="9" t="s">
        <v>126</v>
      </c>
      <c r="D172" s="25" t="s">
        <v>120</v>
      </c>
      <c r="E172" s="25" t="s">
        <v>130</v>
      </c>
      <c r="F172" s="26">
        <v>737.15</v>
      </c>
      <c r="G172" s="27">
        <v>685.55</v>
      </c>
    </row>
    <row r="173" spans="1:7" ht="14.4" x14ac:dyDescent="0.25">
      <c r="A173" s="28">
        <v>41488</v>
      </c>
      <c r="B173" s="29" t="s">
        <v>6</v>
      </c>
      <c r="C173" s="14" t="s">
        <v>80</v>
      </c>
      <c r="D173" s="29" t="s">
        <v>118</v>
      </c>
      <c r="E173" s="29" t="s">
        <v>130</v>
      </c>
      <c r="F173" s="30">
        <v>799.11</v>
      </c>
      <c r="G173" s="31">
        <v>847.06000000000006</v>
      </c>
    </row>
    <row r="174" spans="1:7" ht="14.4" x14ac:dyDescent="0.25">
      <c r="A174" s="24">
        <v>41491</v>
      </c>
      <c r="B174" s="25" t="s">
        <v>27</v>
      </c>
      <c r="C174" s="9" t="s">
        <v>110</v>
      </c>
      <c r="D174" s="25" t="s">
        <v>120</v>
      </c>
      <c r="E174" s="25" t="s">
        <v>129</v>
      </c>
      <c r="F174" s="26">
        <v>928.29</v>
      </c>
      <c r="G174" s="27">
        <v>881.88</v>
      </c>
    </row>
    <row r="175" spans="1:7" ht="14.4" x14ac:dyDescent="0.25">
      <c r="A175" s="28">
        <v>41492</v>
      </c>
      <c r="B175" s="29" t="s">
        <v>35</v>
      </c>
      <c r="C175" s="14" t="s">
        <v>97</v>
      </c>
      <c r="D175" s="29" t="s">
        <v>121</v>
      </c>
      <c r="E175" s="29" t="s">
        <v>128</v>
      </c>
      <c r="F175" s="30">
        <v>953.13</v>
      </c>
      <c r="G175" s="31">
        <v>991.26</v>
      </c>
    </row>
    <row r="176" spans="1:7" ht="14.4" x14ac:dyDescent="0.25">
      <c r="A176" s="24">
        <v>41493</v>
      </c>
      <c r="B176" s="25" t="s">
        <v>1</v>
      </c>
      <c r="C176" s="9" t="s">
        <v>1</v>
      </c>
      <c r="D176" s="25" t="s">
        <v>118</v>
      </c>
      <c r="E176" s="25" t="s">
        <v>128</v>
      </c>
      <c r="F176" s="26">
        <v>782.06</v>
      </c>
      <c r="G176" s="27">
        <v>797.69999999999993</v>
      </c>
    </row>
    <row r="177" spans="1:7" ht="14.4" x14ac:dyDescent="0.25">
      <c r="A177" s="28">
        <v>41493</v>
      </c>
      <c r="B177" s="29" t="s">
        <v>45</v>
      </c>
      <c r="C177" s="14" t="s">
        <v>101</v>
      </c>
      <c r="D177" s="29" t="s">
        <v>122</v>
      </c>
      <c r="E177" s="29" t="s">
        <v>130</v>
      </c>
      <c r="F177" s="30">
        <v>97.9</v>
      </c>
      <c r="G177" s="31">
        <v>103.77000000000001</v>
      </c>
    </row>
    <row r="178" spans="1:7" ht="14.4" x14ac:dyDescent="0.25">
      <c r="A178" s="24">
        <v>41493</v>
      </c>
      <c r="B178" s="25" t="s">
        <v>12</v>
      </c>
      <c r="C178" s="9" t="s">
        <v>89</v>
      </c>
      <c r="D178" s="25" t="s">
        <v>118</v>
      </c>
      <c r="E178" s="25" t="s">
        <v>130</v>
      </c>
      <c r="F178" s="26">
        <v>443.6</v>
      </c>
      <c r="G178" s="27">
        <v>470.22</v>
      </c>
    </row>
    <row r="179" spans="1:7" ht="14.4" x14ac:dyDescent="0.25">
      <c r="A179" s="28">
        <v>41494</v>
      </c>
      <c r="B179" s="29" t="s">
        <v>48</v>
      </c>
      <c r="C179" s="14" t="s">
        <v>82</v>
      </c>
      <c r="D179" s="29" t="s">
        <v>122</v>
      </c>
      <c r="E179" s="29" t="s">
        <v>130</v>
      </c>
      <c r="F179" s="30">
        <v>936.65</v>
      </c>
      <c r="G179" s="31">
        <v>992.85</v>
      </c>
    </row>
    <row r="180" spans="1:7" ht="14.4" x14ac:dyDescent="0.25">
      <c r="A180" s="24">
        <v>41494</v>
      </c>
      <c r="B180" s="25" t="s">
        <v>11</v>
      </c>
      <c r="C180" s="9" t="s">
        <v>91</v>
      </c>
      <c r="D180" s="25" t="s">
        <v>118</v>
      </c>
      <c r="E180" s="25" t="s">
        <v>128</v>
      </c>
      <c r="F180" s="26">
        <v>320.89999999999998</v>
      </c>
      <c r="G180" s="27">
        <v>340.15</v>
      </c>
    </row>
    <row r="181" spans="1:7" ht="14.4" x14ac:dyDescent="0.25">
      <c r="A181" s="28">
        <v>41495</v>
      </c>
      <c r="B181" s="29" t="s">
        <v>49</v>
      </c>
      <c r="C181" s="14" t="s">
        <v>72</v>
      </c>
      <c r="D181" s="29" t="s">
        <v>122</v>
      </c>
      <c r="E181" s="29" t="s">
        <v>128</v>
      </c>
      <c r="F181" s="30">
        <v>276.04000000000002</v>
      </c>
      <c r="G181" s="31">
        <v>251.20000000000002</v>
      </c>
    </row>
    <row r="182" spans="1:7" ht="14.4" x14ac:dyDescent="0.25">
      <c r="A182" s="24">
        <v>41495</v>
      </c>
      <c r="B182" s="25" t="s">
        <v>36</v>
      </c>
      <c r="C182" s="9" t="s">
        <v>58</v>
      </c>
      <c r="D182" s="25" t="s">
        <v>121</v>
      </c>
      <c r="E182" s="25" t="s">
        <v>128</v>
      </c>
      <c r="F182" s="26">
        <v>539.01</v>
      </c>
      <c r="G182" s="27">
        <v>582.13</v>
      </c>
    </row>
    <row r="183" spans="1:7" ht="14.4" x14ac:dyDescent="0.25">
      <c r="A183" s="28">
        <v>41497</v>
      </c>
      <c r="B183" s="29" t="s">
        <v>40</v>
      </c>
      <c r="C183" s="14" t="s">
        <v>65</v>
      </c>
      <c r="D183" s="29" t="s">
        <v>122</v>
      </c>
      <c r="E183" s="29" t="s">
        <v>128</v>
      </c>
      <c r="F183" s="30">
        <v>660.79</v>
      </c>
      <c r="G183" s="31">
        <v>687.21999999999991</v>
      </c>
    </row>
    <row r="184" spans="1:7" ht="14.4" x14ac:dyDescent="0.25">
      <c r="A184" s="24">
        <v>41497</v>
      </c>
      <c r="B184" s="25" t="s">
        <v>37</v>
      </c>
      <c r="C184" s="9" t="s">
        <v>87</v>
      </c>
      <c r="D184" s="25" t="s">
        <v>121</v>
      </c>
      <c r="E184" s="25" t="s">
        <v>130</v>
      </c>
      <c r="F184" s="26">
        <v>699.75</v>
      </c>
      <c r="G184" s="27">
        <v>720.74</v>
      </c>
    </row>
    <row r="185" spans="1:7" ht="14.4" x14ac:dyDescent="0.25">
      <c r="A185" s="28">
        <v>41499</v>
      </c>
      <c r="B185" s="29" t="s">
        <v>25</v>
      </c>
      <c r="C185" s="14" t="s">
        <v>94</v>
      </c>
      <c r="D185" s="29" t="s">
        <v>119</v>
      </c>
      <c r="E185" s="29" t="s">
        <v>129</v>
      </c>
      <c r="F185" s="30">
        <v>105.81</v>
      </c>
      <c r="G185" s="31">
        <v>102.64</v>
      </c>
    </row>
    <row r="186" spans="1:7" ht="14.4" x14ac:dyDescent="0.25">
      <c r="A186" s="24">
        <v>41499</v>
      </c>
      <c r="B186" s="25" t="s">
        <v>31</v>
      </c>
      <c r="C186" s="9" t="s">
        <v>85</v>
      </c>
      <c r="D186" s="25" t="s">
        <v>120</v>
      </c>
      <c r="E186" s="25" t="s">
        <v>130</v>
      </c>
      <c r="F186" s="26">
        <v>701.35</v>
      </c>
      <c r="G186" s="27">
        <v>645.24</v>
      </c>
    </row>
    <row r="187" spans="1:7" ht="14.4" x14ac:dyDescent="0.25">
      <c r="A187" s="28">
        <v>41500</v>
      </c>
      <c r="B187" s="29" t="s">
        <v>37</v>
      </c>
      <c r="C187" s="14" t="s">
        <v>87</v>
      </c>
      <c r="D187" s="29" t="s">
        <v>121</v>
      </c>
      <c r="E187" s="29" t="s">
        <v>128</v>
      </c>
      <c r="F187" s="30">
        <v>480.82</v>
      </c>
      <c r="G187" s="31">
        <v>471.2</v>
      </c>
    </row>
    <row r="188" spans="1:7" ht="14.4" x14ac:dyDescent="0.25">
      <c r="A188" s="24">
        <v>41503</v>
      </c>
      <c r="B188" s="25" t="s">
        <v>29</v>
      </c>
      <c r="C188" s="9" t="s">
        <v>98</v>
      </c>
      <c r="D188" s="25" t="s">
        <v>120</v>
      </c>
      <c r="E188" s="25" t="s">
        <v>130</v>
      </c>
      <c r="F188" s="26">
        <v>241.48</v>
      </c>
      <c r="G188" s="27">
        <v>246.31</v>
      </c>
    </row>
    <row r="189" spans="1:7" ht="14.4" x14ac:dyDescent="0.25">
      <c r="A189" s="28">
        <v>41504</v>
      </c>
      <c r="B189" s="29" t="s">
        <v>22</v>
      </c>
      <c r="C189" s="14" t="s">
        <v>78</v>
      </c>
      <c r="D189" s="29" t="s">
        <v>119</v>
      </c>
      <c r="E189" s="29" t="s">
        <v>130</v>
      </c>
      <c r="F189" s="30">
        <v>112.3</v>
      </c>
      <c r="G189" s="31">
        <v>107.81</v>
      </c>
    </row>
    <row r="190" spans="1:7" ht="14.4" x14ac:dyDescent="0.25">
      <c r="A190" s="24">
        <v>41506</v>
      </c>
      <c r="B190" s="25" t="s">
        <v>17</v>
      </c>
      <c r="C190" s="9" t="s">
        <v>74</v>
      </c>
      <c r="D190" s="25" t="s">
        <v>119</v>
      </c>
      <c r="E190" s="25" t="s">
        <v>130</v>
      </c>
      <c r="F190" s="26">
        <v>216.35</v>
      </c>
      <c r="G190" s="27">
        <v>214.19</v>
      </c>
    </row>
    <row r="191" spans="1:7" ht="14.4" x14ac:dyDescent="0.25">
      <c r="A191" s="28">
        <v>41507</v>
      </c>
      <c r="B191" s="29" t="s">
        <v>44</v>
      </c>
      <c r="C191" s="14" t="s">
        <v>104</v>
      </c>
      <c r="D191" s="29" t="s">
        <v>122</v>
      </c>
      <c r="E191" s="29" t="s">
        <v>130</v>
      </c>
      <c r="F191" s="30">
        <v>78.12</v>
      </c>
      <c r="G191" s="31">
        <v>83.59</v>
      </c>
    </row>
    <row r="192" spans="1:7" ht="14.4" x14ac:dyDescent="0.25">
      <c r="A192" s="24">
        <v>41507</v>
      </c>
      <c r="B192" s="25" t="s">
        <v>49</v>
      </c>
      <c r="C192" s="9" t="s">
        <v>72</v>
      </c>
      <c r="D192" s="25" t="s">
        <v>122</v>
      </c>
      <c r="E192" s="25" t="s">
        <v>129</v>
      </c>
      <c r="F192" s="26">
        <v>218.25</v>
      </c>
      <c r="G192" s="27">
        <v>229.16</v>
      </c>
    </row>
    <row r="193" spans="1:7" ht="14.4" x14ac:dyDescent="0.25">
      <c r="A193" s="28">
        <v>41507</v>
      </c>
      <c r="B193" s="29" t="s">
        <v>36</v>
      </c>
      <c r="C193" s="14" t="s">
        <v>90</v>
      </c>
      <c r="D193" s="29" t="s">
        <v>121</v>
      </c>
      <c r="E193" s="29" t="s">
        <v>129</v>
      </c>
      <c r="F193" s="30">
        <v>544.34</v>
      </c>
      <c r="G193" s="31">
        <v>489.91</v>
      </c>
    </row>
    <row r="194" spans="1:7" ht="14.4" x14ac:dyDescent="0.25">
      <c r="A194" s="24">
        <v>41507</v>
      </c>
      <c r="B194" s="25" t="s">
        <v>15</v>
      </c>
      <c r="C194" s="9" t="s">
        <v>60</v>
      </c>
      <c r="D194" s="25" t="s">
        <v>118</v>
      </c>
      <c r="E194" s="25" t="s">
        <v>130</v>
      </c>
      <c r="F194" s="26">
        <v>353.92</v>
      </c>
      <c r="G194" s="27">
        <v>378.69</v>
      </c>
    </row>
    <row r="195" spans="1:7" ht="14.4" x14ac:dyDescent="0.25">
      <c r="A195" s="28">
        <v>41509</v>
      </c>
      <c r="B195" s="29" t="s">
        <v>35</v>
      </c>
      <c r="C195" s="14" t="s">
        <v>97</v>
      </c>
      <c r="D195" s="29" t="s">
        <v>121</v>
      </c>
      <c r="E195" s="29" t="s">
        <v>130</v>
      </c>
      <c r="F195" s="30">
        <v>659.86</v>
      </c>
      <c r="G195" s="31">
        <v>666.46</v>
      </c>
    </row>
    <row r="196" spans="1:7" ht="14.4" x14ac:dyDescent="0.25">
      <c r="A196" s="24">
        <v>41509</v>
      </c>
      <c r="B196" s="25" t="s">
        <v>30</v>
      </c>
      <c r="C196" s="9" t="s">
        <v>88</v>
      </c>
      <c r="D196" s="25" t="s">
        <v>120</v>
      </c>
      <c r="E196" s="25" t="s">
        <v>128</v>
      </c>
      <c r="F196" s="26">
        <v>126.44</v>
      </c>
      <c r="G196" s="27">
        <v>121.38</v>
      </c>
    </row>
    <row r="197" spans="1:7" ht="14.4" x14ac:dyDescent="0.25">
      <c r="A197" s="28">
        <v>41510</v>
      </c>
      <c r="B197" s="29" t="s">
        <v>23</v>
      </c>
      <c r="C197" s="14" t="s">
        <v>109</v>
      </c>
      <c r="D197" s="29" t="s">
        <v>119</v>
      </c>
      <c r="E197" s="29" t="s">
        <v>129</v>
      </c>
      <c r="F197" s="30">
        <v>736.28</v>
      </c>
      <c r="G197" s="31">
        <v>706.82999999999993</v>
      </c>
    </row>
    <row r="198" spans="1:7" ht="14.4" x14ac:dyDescent="0.25">
      <c r="A198" s="24">
        <v>41511</v>
      </c>
      <c r="B198" s="25" t="s">
        <v>22</v>
      </c>
      <c r="C198" s="9" t="s">
        <v>76</v>
      </c>
      <c r="D198" s="25" t="s">
        <v>119</v>
      </c>
      <c r="E198" s="25" t="s">
        <v>130</v>
      </c>
      <c r="F198" s="26">
        <v>358.47</v>
      </c>
      <c r="G198" s="27">
        <v>347.72</v>
      </c>
    </row>
    <row r="199" spans="1:7" ht="14.4" x14ac:dyDescent="0.25">
      <c r="A199" s="28">
        <v>41512</v>
      </c>
      <c r="B199" s="29" t="s">
        <v>22</v>
      </c>
      <c r="C199" s="14" t="s">
        <v>77</v>
      </c>
      <c r="D199" s="29" t="s">
        <v>119</v>
      </c>
      <c r="E199" s="29" t="s">
        <v>129</v>
      </c>
      <c r="F199" s="30">
        <v>895.59</v>
      </c>
      <c r="G199" s="31">
        <v>814.99</v>
      </c>
    </row>
    <row r="200" spans="1:7" ht="14.4" x14ac:dyDescent="0.25">
      <c r="A200" s="24">
        <v>41512</v>
      </c>
      <c r="B200" s="25" t="s">
        <v>22</v>
      </c>
      <c r="C200" s="9" t="s">
        <v>76</v>
      </c>
      <c r="D200" s="25" t="s">
        <v>119</v>
      </c>
      <c r="E200" s="25" t="s">
        <v>129</v>
      </c>
      <c r="F200" s="26">
        <v>930.49</v>
      </c>
      <c r="G200" s="27">
        <v>958.4</v>
      </c>
    </row>
    <row r="201" spans="1:7" ht="14.4" x14ac:dyDescent="0.25">
      <c r="A201" s="28">
        <v>41518</v>
      </c>
      <c r="B201" s="29" t="s">
        <v>48</v>
      </c>
      <c r="C201" s="14" t="s">
        <v>71</v>
      </c>
      <c r="D201" s="29" t="s">
        <v>122</v>
      </c>
      <c r="E201" s="29" t="s">
        <v>130</v>
      </c>
      <c r="F201" s="30">
        <v>368</v>
      </c>
      <c r="G201" s="31">
        <v>390.08</v>
      </c>
    </row>
    <row r="202" spans="1:7" ht="14.4" x14ac:dyDescent="0.25">
      <c r="A202" s="24">
        <v>41519</v>
      </c>
      <c r="B202" s="25" t="s">
        <v>41</v>
      </c>
      <c r="C202" s="9" t="s">
        <v>67</v>
      </c>
      <c r="D202" s="25" t="s">
        <v>122</v>
      </c>
      <c r="E202" s="25" t="s">
        <v>130</v>
      </c>
      <c r="F202" s="26">
        <v>142.12</v>
      </c>
      <c r="G202" s="27">
        <v>142.12</v>
      </c>
    </row>
    <row r="203" spans="1:7" ht="14.4" x14ac:dyDescent="0.25">
      <c r="A203" s="28">
        <v>41520</v>
      </c>
      <c r="B203" s="29" t="s">
        <v>18</v>
      </c>
      <c r="C203" s="14" t="s">
        <v>63</v>
      </c>
      <c r="D203" s="29" t="s">
        <v>119</v>
      </c>
      <c r="E203" s="29" t="s">
        <v>130</v>
      </c>
      <c r="F203" s="30">
        <v>609.53</v>
      </c>
      <c r="G203" s="31">
        <v>566.86</v>
      </c>
    </row>
    <row r="204" spans="1:7" ht="14.4" x14ac:dyDescent="0.25">
      <c r="A204" s="24">
        <v>41521</v>
      </c>
      <c r="B204" s="25" t="s">
        <v>38</v>
      </c>
      <c r="C204" s="9" t="s">
        <v>62</v>
      </c>
      <c r="D204" s="25" t="s">
        <v>122</v>
      </c>
      <c r="E204" s="25" t="s">
        <v>130</v>
      </c>
      <c r="F204" s="26">
        <v>739.48</v>
      </c>
      <c r="G204" s="27">
        <v>746.87</v>
      </c>
    </row>
    <row r="205" spans="1:7" ht="14.4" x14ac:dyDescent="0.25">
      <c r="A205" s="28">
        <v>41521</v>
      </c>
      <c r="B205" s="29" t="s">
        <v>34</v>
      </c>
      <c r="C205" s="14" t="s">
        <v>105</v>
      </c>
      <c r="D205" s="29" t="s">
        <v>121</v>
      </c>
      <c r="E205" s="29" t="s">
        <v>129</v>
      </c>
      <c r="F205" s="30">
        <v>517.80999999999995</v>
      </c>
      <c r="G205" s="31">
        <v>476.38999999999993</v>
      </c>
    </row>
    <row r="206" spans="1:7" ht="14.4" x14ac:dyDescent="0.25">
      <c r="A206" s="24">
        <v>41522</v>
      </c>
      <c r="B206" s="25" t="s">
        <v>26</v>
      </c>
      <c r="C206" s="9" t="s">
        <v>117</v>
      </c>
      <c r="D206" s="25" t="s">
        <v>120</v>
      </c>
      <c r="E206" s="25" t="s">
        <v>129</v>
      </c>
      <c r="F206" s="26">
        <v>723.41</v>
      </c>
      <c r="G206" s="27">
        <v>687.24</v>
      </c>
    </row>
    <row r="207" spans="1:7" ht="14.4" x14ac:dyDescent="0.25">
      <c r="A207" s="28">
        <v>41523</v>
      </c>
      <c r="B207" s="29" t="s">
        <v>40</v>
      </c>
      <c r="C207" s="14" t="s">
        <v>111</v>
      </c>
      <c r="D207" s="29" t="s">
        <v>122</v>
      </c>
      <c r="E207" s="29" t="s">
        <v>129</v>
      </c>
      <c r="F207" s="30">
        <v>229.43</v>
      </c>
      <c r="G207" s="31">
        <v>247.78</v>
      </c>
    </row>
    <row r="208" spans="1:7" ht="14.4" x14ac:dyDescent="0.25">
      <c r="A208" s="24">
        <v>41523</v>
      </c>
      <c r="B208" s="25" t="s">
        <v>7</v>
      </c>
      <c r="C208" s="9" t="s">
        <v>99</v>
      </c>
      <c r="D208" s="25" t="s">
        <v>118</v>
      </c>
      <c r="E208" s="25" t="s">
        <v>129</v>
      </c>
      <c r="F208" s="26">
        <v>512.94000000000005</v>
      </c>
      <c r="G208" s="27">
        <v>487.29000000000008</v>
      </c>
    </row>
    <row r="209" spans="1:7" ht="14.4" x14ac:dyDescent="0.25">
      <c r="A209" s="28">
        <v>41523</v>
      </c>
      <c r="B209" s="29" t="s">
        <v>47</v>
      </c>
      <c r="C209" s="14" t="s">
        <v>96</v>
      </c>
      <c r="D209" s="29" t="s">
        <v>122</v>
      </c>
      <c r="E209" s="29" t="s">
        <v>130</v>
      </c>
      <c r="F209" s="30">
        <v>665.2</v>
      </c>
      <c r="G209" s="31">
        <v>711.76</v>
      </c>
    </row>
    <row r="210" spans="1:7" ht="14.4" x14ac:dyDescent="0.25">
      <c r="A210" s="24">
        <v>41527</v>
      </c>
      <c r="B210" s="25" t="s">
        <v>24</v>
      </c>
      <c r="C210" s="9" t="s">
        <v>107</v>
      </c>
      <c r="D210" s="25" t="s">
        <v>119</v>
      </c>
      <c r="E210" s="25" t="s">
        <v>129</v>
      </c>
      <c r="F210" s="26">
        <v>950.34</v>
      </c>
      <c r="G210" s="27">
        <v>1016.86</v>
      </c>
    </row>
    <row r="211" spans="1:7" ht="14.4" x14ac:dyDescent="0.25">
      <c r="A211" s="28">
        <v>41527</v>
      </c>
      <c r="B211" s="29" t="s">
        <v>46</v>
      </c>
      <c r="C211" s="14" t="s">
        <v>100</v>
      </c>
      <c r="D211" s="29" t="s">
        <v>122</v>
      </c>
      <c r="E211" s="29" t="s">
        <v>129</v>
      </c>
      <c r="F211" s="30">
        <v>573.76</v>
      </c>
      <c r="G211" s="31">
        <v>608.18999999999994</v>
      </c>
    </row>
    <row r="212" spans="1:7" ht="14.4" x14ac:dyDescent="0.25">
      <c r="A212" s="24">
        <v>41529</v>
      </c>
      <c r="B212" s="25" t="s">
        <v>40</v>
      </c>
      <c r="C212" s="9" t="s">
        <v>111</v>
      </c>
      <c r="D212" s="25" t="s">
        <v>122</v>
      </c>
      <c r="E212" s="25" t="s">
        <v>128</v>
      </c>
      <c r="F212" s="26">
        <v>801</v>
      </c>
      <c r="G212" s="27">
        <v>841.05</v>
      </c>
    </row>
    <row r="213" spans="1:7" ht="14.4" x14ac:dyDescent="0.25">
      <c r="A213" s="28">
        <v>41530</v>
      </c>
      <c r="B213" s="29" t="s">
        <v>11</v>
      </c>
      <c r="C213" s="14" t="s">
        <v>91</v>
      </c>
      <c r="D213" s="29" t="s">
        <v>118</v>
      </c>
      <c r="E213" s="29" t="s">
        <v>129</v>
      </c>
      <c r="F213" s="30">
        <v>668.57</v>
      </c>
      <c r="G213" s="31">
        <v>608.40000000000009</v>
      </c>
    </row>
    <row r="214" spans="1:7" ht="14.4" x14ac:dyDescent="0.25">
      <c r="A214" s="24">
        <v>41531</v>
      </c>
      <c r="B214" s="25" t="s">
        <v>10</v>
      </c>
      <c r="C214" s="9" t="s">
        <v>93</v>
      </c>
      <c r="D214" s="25" t="s">
        <v>118</v>
      </c>
      <c r="E214" s="25" t="s">
        <v>130</v>
      </c>
      <c r="F214" s="26">
        <v>576.87</v>
      </c>
      <c r="G214" s="27">
        <v>599.94000000000005</v>
      </c>
    </row>
    <row r="215" spans="1:7" ht="14.4" x14ac:dyDescent="0.25">
      <c r="A215" s="28">
        <v>41531</v>
      </c>
      <c r="B215" s="29" t="s">
        <v>10</v>
      </c>
      <c r="C215" s="14" t="s">
        <v>93</v>
      </c>
      <c r="D215" s="29" t="s">
        <v>118</v>
      </c>
      <c r="E215" s="29" t="s">
        <v>130</v>
      </c>
      <c r="F215" s="30">
        <v>916.42</v>
      </c>
      <c r="G215" s="31">
        <v>916.42</v>
      </c>
    </row>
    <row r="216" spans="1:7" ht="14.4" x14ac:dyDescent="0.25">
      <c r="A216" s="24">
        <v>41532</v>
      </c>
      <c r="B216" s="25" t="s">
        <v>9</v>
      </c>
      <c r="C216" s="9" t="s">
        <v>95</v>
      </c>
      <c r="D216" s="25" t="s">
        <v>118</v>
      </c>
      <c r="E216" s="25" t="s">
        <v>130</v>
      </c>
      <c r="F216" s="26">
        <v>264.47000000000003</v>
      </c>
      <c r="G216" s="27">
        <v>269.76000000000005</v>
      </c>
    </row>
    <row r="217" spans="1:7" ht="14.4" x14ac:dyDescent="0.25">
      <c r="A217" s="28">
        <v>41534</v>
      </c>
      <c r="B217" s="29" t="s">
        <v>50</v>
      </c>
      <c r="C217" s="14" t="s">
        <v>92</v>
      </c>
      <c r="D217" s="29" t="s">
        <v>122</v>
      </c>
      <c r="E217" s="29" t="s">
        <v>128</v>
      </c>
      <c r="F217" s="30">
        <v>911.76</v>
      </c>
      <c r="G217" s="31">
        <v>911.76</v>
      </c>
    </row>
    <row r="218" spans="1:7" ht="14.4" x14ac:dyDescent="0.25">
      <c r="A218" s="24">
        <v>41535</v>
      </c>
      <c r="B218" s="25" t="s">
        <v>19</v>
      </c>
      <c r="C218" s="9" t="s">
        <v>113</v>
      </c>
      <c r="D218" s="25" t="s">
        <v>119</v>
      </c>
      <c r="E218" s="25" t="s">
        <v>129</v>
      </c>
      <c r="F218" s="26">
        <v>973.93</v>
      </c>
      <c r="G218" s="27">
        <v>954.44999999999993</v>
      </c>
    </row>
    <row r="219" spans="1:7" ht="14.4" x14ac:dyDescent="0.25">
      <c r="A219" s="28">
        <v>41535</v>
      </c>
      <c r="B219" s="29" t="s">
        <v>23</v>
      </c>
      <c r="C219" s="14" t="s">
        <v>109</v>
      </c>
      <c r="D219" s="29" t="s">
        <v>119</v>
      </c>
      <c r="E219" s="29" t="s">
        <v>129</v>
      </c>
      <c r="F219" s="30">
        <v>420.68</v>
      </c>
      <c r="G219" s="31">
        <v>416.47</v>
      </c>
    </row>
    <row r="220" spans="1:7" ht="14.4" x14ac:dyDescent="0.25">
      <c r="A220" s="24">
        <v>41537</v>
      </c>
      <c r="B220" s="25" t="s">
        <v>47</v>
      </c>
      <c r="C220" s="9" t="s">
        <v>96</v>
      </c>
      <c r="D220" s="25" t="s">
        <v>122</v>
      </c>
      <c r="E220" s="25" t="s">
        <v>130</v>
      </c>
      <c r="F220" s="26">
        <v>327.81</v>
      </c>
      <c r="G220" s="27">
        <v>311.42</v>
      </c>
    </row>
    <row r="221" spans="1:7" ht="14.4" x14ac:dyDescent="0.25">
      <c r="A221" s="28">
        <v>41538</v>
      </c>
      <c r="B221" s="29" t="s">
        <v>39</v>
      </c>
      <c r="C221" s="14" t="s">
        <v>75</v>
      </c>
      <c r="D221" s="29" t="s">
        <v>122</v>
      </c>
      <c r="E221" s="29" t="s">
        <v>129</v>
      </c>
      <c r="F221" s="30">
        <v>745.22</v>
      </c>
      <c r="G221" s="31">
        <v>775.03</v>
      </c>
    </row>
    <row r="222" spans="1:7" ht="14.4" x14ac:dyDescent="0.25">
      <c r="A222" s="24">
        <v>41538</v>
      </c>
      <c r="B222" s="25" t="s">
        <v>14</v>
      </c>
      <c r="C222" s="9" t="s">
        <v>83</v>
      </c>
      <c r="D222" s="25" t="s">
        <v>118</v>
      </c>
      <c r="E222" s="25" t="s">
        <v>130</v>
      </c>
      <c r="F222" s="26">
        <v>196.25</v>
      </c>
      <c r="G222" s="27">
        <v>211.95</v>
      </c>
    </row>
    <row r="223" spans="1:7" ht="14.4" x14ac:dyDescent="0.25">
      <c r="A223" s="28">
        <v>41539</v>
      </c>
      <c r="B223" s="29" t="s">
        <v>45</v>
      </c>
      <c r="C223" s="14" t="s">
        <v>101</v>
      </c>
      <c r="D223" s="29" t="s">
        <v>122</v>
      </c>
      <c r="E223" s="29" t="s">
        <v>128</v>
      </c>
      <c r="F223" s="30">
        <v>401.71</v>
      </c>
      <c r="G223" s="31">
        <v>433.84999999999997</v>
      </c>
    </row>
    <row r="224" spans="1:7" ht="14.4" x14ac:dyDescent="0.25">
      <c r="A224" s="24">
        <v>41542</v>
      </c>
      <c r="B224" s="25" t="s">
        <v>48</v>
      </c>
      <c r="C224" s="9" t="s">
        <v>56</v>
      </c>
      <c r="D224" s="25" t="s">
        <v>122</v>
      </c>
      <c r="E224" s="25" t="s">
        <v>130</v>
      </c>
      <c r="F224" s="26">
        <v>717.72</v>
      </c>
      <c r="G224" s="27">
        <v>753.61</v>
      </c>
    </row>
    <row r="225" spans="1:7" ht="14.4" x14ac:dyDescent="0.25">
      <c r="A225" s="28">
        <v>41543</v>
      </c>
      <c r="B225" s="29" t="s">
        <v>48</v>
      </c>
      <c r="C225" s="14" t="s">
        <v>55</v>
      </c>
      <c r="D225" s="29" t="s">
        <v>122</v>
      </c>
      <c r="E225" s="29" t="s">
        <v>129</v>
      </c>
      <c r="F225" s="30">
        <v>365.58</v>
      </c>
      <c r="G225" s="31">
        <v>394.83</v>
      </c>
    </row>
    <row r="226" spans="1:7" ht="14.4" x14ac:dyDescent="0.25">
      <c r="A226" s="24">
        <v>41543</v>
      </c>
      <c r="B226" s="25" t="s">
        <v>36</v>
      </c>
      <c r="C226" s="9" t="s">
        <v>59</v>
      </c>
      <c r="D226" s="25" t="s">
        <v>121</v>
      </c>
      <c r="E226" s="25" t="s">
        <v>130</v>
      </c>
      <c r="F226" s="26">
        <v>621.63</v>
      </c>
      <c r="G226" s="27">
        <v>559.47</v>
      </c>
    </row>
    <row r="227" spans="1:7" ht="14.4" x14ac:dyDescent="0.25">
      <c r="A227" s="28">
        <v>41544</v>
      </c>
      <c r="B227" s="29" t="s">
        <v>34</v>
      </c>
      <c r="C227" s="14" t="s">
        <v>105</v>
      </c>
      <c r="D227" s="29" t="s">
        <v>121</v>
      </c>
      <c r="E227" s="29" t="s">
        <v>130</v>
      </c>
      <c r="F227" s="30">
        <v>607.46</v>
      </c>
      <c r="G227" s="31">
        <v>583.16000000000008</v>
      </c>
    </row>
    <row r="228" spans="1:7" ht="14.4" x14ac:dyDescent="0.25">
      <c r="A228" s="24">
        <v>41545</v>
      </c>
      <c r="B228" s="25" t="s">
        <v>1</v>
      </c>
      <c r="C228" s="9" t="s">
        <v>1</v>
      </c>
      <c r="D228" s="25" t="s">
        <v>118</v>
      </c>
      <c r="E228" s="25" t="s">
        <v>128</v>
      </c>
      <c r="F228" s="26">
        <v>613.1</v>
      </c>
      <c r="G228" s="27">
        <v>576.31000000000006</v>
      </c>
    </row>
    <row r="229" spans="1:7" ht="14.4" x14ac:dyDescent="0.25">
      <c r="A229" s="28">
        <v>41545</v>
      </c>
      <c r="B229" s="29" t="s">
        <v>15</v>
      </c>
      <c r="C229" s="14" t="s">
        <v>60</v>
      </c>
      <c r="D229" s="29" t="s">
        <v>118</v>
      </c>
      <c r="E229" s="29" t="s">
        <v>128</v>
      </c>
      <c r="F229" s="30">
        <v>627.11</v>
      </c>
      <c r="G229" s="31">
        <v>589.48</v>
      </c>
    </row>
    <row r="230" spans="1:7" ht="14.4" x14ac:dyDescent="0.25">
      <c r="A230" s="24">
        <v>41549</v>
      </c>
      <c r="B230" s="25" t="s">
        <v>12</v>
      </c>
      <c r="C230" s="9" t="s">
        <v>89</v>
      </c>
      <c r="D230" s="25" t="s">
        <v>118</v>
      </c>
      <c r="E230" s="25" t="s">
        <v>128</v>
      </c>
      <c r="F230" s="26">
        <v>372.63</v>
      </c>
      <c r="G230" s="27">
        <v>394.99</v>
      </c>
    </row>
    <row r="231" spans="1:7" ht="14.4" x14ac:dyDescent="0.25">
      <c r="A231" s="28">
        <v>41550</v>
      </c>
      <c r="B231" s="29" t="s">
        <v>2</v>
      </c>
      <c r="C231" s="14" t="s">
        <v>108</v>
      </c>
      <c r="D231" s="29" t="s">
        <v>118</v>
      </c>
      <c r="E231" s="29" t="s">
        <v>128</v>
      </c>
      <c r="F231" s="30">
        <v>155.37</v>
      </c>
      <c r="G231" s="31">
        <v>156.92000000000002</v>
      </c>
    </row>
    <row r="232" spans="1:7" ht="14.4" x14ac:dyDescent="0.25">
      <c r="A232" s="24">
        <v>41551</v>
      </c>
      <c r="B232" s="25" t="s">
        <v>7</v>
      </c>
      <c r="C232" s="9" t="s">
        <v>99</v>
      </c>
      <c r="D232" s="25" t="s">
        <v>118</v>
      </c>
      <c r="E232" s="25" t="s">
        <v>130</v>
      </c>
      <c r="F232" s="26">
        <v>223.29</v>
      </c>
      <c r="G232" s="27">
        <v>212.13</v>
      </c>
    </row>
    <row r="233" spans="1:7" ht="14.4" x14ac:dyDescent="0.25">
      <c r="A233" s="28">
        <v>41552</v>
      </c>
      <c r="B233" s="29" t="s">
        <v>18</v>
      </c>
      <c r="C233" s="14" t="s">
        <v>64</v>
      </c>
      <c r="D233" s="29" t="s">
        <v>119</v>
      </c>
      <c r="E233" s="29" t="s">
        <v>128</v>
      </c>
      <c r="F233" s="30">
        <v>466.81</v>
      </c>
      <c r="G233" s="31">
        <v>490.15</v>
      </c>
    </row>
    <row r="234" spans="1:7" ht="14.4" x14ac:dyDescent="0.25">
      <c r="A234" s="24">
        <v>41553</v>
      </c>
      <c r="B234" s="25" t="s">
        <v>39</v>
      </c>
      <c r="C234" s="9" t="s">
        <v>75</v>
      </c>
      <c r="D234" s="25" t="s">
        <v>122</v>
      </c>
      <c r="E234" s="25" t="s">
        <v>130</v>
      </c>
      <c r="F234" s="26">
        <v>488.98</v>
      </c>
      <c r="G234" s="27">
        <v>518.32000000000005</v>
      </c>
    </row>
    <row r="235" spans="1:7" ht="14.4" x14ac:dyDescent="0.25">
      <c r="A235" s="28">
        <v>41555</v>
      </c>
      <c r="B235" s="29" t="s">
        <v>0</v>
      </c>
      <c r="C235" s="14" t="s">
        <v>114</v>
      </c>
      <c r="D235" s="29" t="s">
        <v>118</v>
      </c>
      <c r="E235" s="29" t="s">
        <v>130</v>
      </c>
      <c r="F235" s="30">
        <v>81.63</v>
      </c>
      <c r="G235" s="31">
        <v>80.81</v>
      </c>
    </row>
    <row r="236" spans="1:7" ht="14.4" x14ac:dyDescent="0.25">
      <c r="A236" s="24">
        <v>41556</v>
      </c>
      <c r="B236" s="25" t="s">
        <v>3</v>
      </c>
      <c r="C236" s="9" t="s">
        <v>66</v>
      </c>
      <c r="D236" s="25" t="s">
        <v>118</v>
      </c>
      <c r="E236" s="25" t="s">
        <v>130</v>
      </c>
      <c r="F236" s="26">
        <v>386.59</v>
      </c>
      <c r="G236" s="27">
        <v>409.78999999999996</v>
      </c>
    </row>
    <row r="237" spans="1:7" ht="14.4" x14ac:dyDescent="0.25">
      <c r="A237" s="28">
        <v>41558</v>
      </c>
      <c r="B237" s="29" t="s">
        <v>21</v>
      </c>
      <c r="C237" s="14" t="s">
        <v>79</v>
      </c>
      <c r="D237" s="29" t="s">
        <v>119</v>
      </c>
      <c r="E237" s="29" t="s">
        <v>129</v>
      </c>
      <c r="F237" s="30">
        <v>483.35</v>
      </c>
      <c r="G237" s="31">
        <v>517.18000000000006</v>
      </c>
    </row>
    <row r="238" spans="1:7" ht="14.4" x14ac:dyDescent="0.25">
      <c r="A238" s="24">
        <v>41559</v>
      </c>
      <c r="B238" s="25" t="s">
        <v>33</v>
      </c>
      <c r="C238" s="9" t="s">
        <v>115</v>
      </c>
      <c r="D238" s="25" t="s">
        <v>121</v>
      </c>
      <c r="E238" s="25" t="s">
        <v>128</v>
      </c>
      <c r="F238" s="26">
        <v>114.52</v>
      </c>
      <c r="G238" s="27">
        <v>117.96</v>
      </c>
    </row>
    <row r="239" spans="1:7" ht="14.4" x14ac:dyDescent="0.25">
      <c r="A239" s="28">
        <v>41563</v>
      </c>
      <c r="B239" s="29" t="s">
        <v>20</v>
      </c>
      <c r="C239" s="14" t="s">
        <v>112</v>
      </c>
      <c r="D239" s="29" t="s">
        <v>119</v>
      </c>
      <c r="E239" s="29" t="s">
        <v>129</v>
      </c>
      <c r="F239" s="30">
        <v>704.01</v>
      </c>
      <c r="G239" s="31">
        <v>675.85</v>
      </c>
    </row>
    <row r="240" spans="1:7" ht="14.4" x14ac:dyDescent="0.25">
      <c r="A240" s="24">
        <v>41565</v>
      </c>
      <c r="B240" s="25" t="s">
        <v>14</v>
      </c>
      <c r="C240" s="9" t="s">
        <v>83</v>
      </c>
      <c r="D240" s="25" t="s">
        <v>118</v>
      </c>
      <c r="E240" s="25" t="s">
        <v>130</v>
      </c>
      <c r="F240" s="26">
        <v>434.34</v>
      </c>
      <c r="G240" s="27">
        <v>399.59</v>
      </c>
    </row>
    <row r="241" spans="1:7" ht="14.4" x14ac:dyDescent="0.25">
      <c r="A241" s="28">
        <v>41568</v>
      </c>
      <c r="B241" s="29" t="s">
        <v>48</v>
      </c>
      <c r="C241" s="14" t="s">
        <v>82</v>
      </c>
      <c r="D241" s="29" t="s">
        <v>122</v>
      </c>
      <c r="E241" s="29" t="s">
        <v>128</v>
      </c>
      <c r="F241" s="30">
        <v>473.33</v>
      </c>
      <c r="G241" s="31">
        <v>444.93</v>
      </c>
    </row>
    <row r="242" spans="1:7" ht="14.4" x14ac:dyDescent="0.25">
      <c r="A242" s="24">
        <v>41569</v>
      </c>
      <c r="B242" s="25" t="s">
        <v>43</v>
      </c>
      <c r="C242" s="9" t="s">
        <v>106</v>
      </c>
      <c r="D242" s="25" t="s">
        <v>122</v>
      </c>
      <c r="E242" s="25" t="s">
        <v>130</v>
      </c>
      <c r="F242" s="26">
        <v>812.02</v>
      </c>
      <c r="G242" s="27">
        <v>771.42</v>
      </c>
    </row>
    <row r="243" spans="1:7" ht="14.4" x14ac:dyDescent="0.25">
      <c r="A243" s="28">
        <v>41570</v>
      </c>
      <c r="B243" s="29" t="s">
        <v>51</v>
      </c>
      <c r="C243" s="14" t="s">
        <v>86</v>
      </c>
      <c r="D243" s="29" t="s">
        <v>122</v>
      </c>
      <c r="E243" s="29" t="s">
        <v>129</v>
      </c>
      <c r="F243" s="30">
        <v>885.66</v>
      </c>
      <c r="G243" s="31">
        <v>956.51</v>
      </c>
    </row>
    <row r="244" spans="1:7" ht="14.4" x14ac:dyDescent="0.25">
      <c r="A244" s="24">
        <v>41575</v>
      </c>
      <c r="B244" s="25" t="s">
        <v>5</v>
      </c>
      <c r="C244" s="9" t="s">
        <v>102</v>
      </c>
      <c r="D244" s="25" t="s">
        <v>118</v>
      </c>
      <c r="E244" s="25" t="s">
        <v>128</v>
      </c>
      <c r="F244" s="26">
        <v>947.92</v>
      </c>
      <c r="G244" s="27">
        <v>910</v>
      </c>
    </row>
    <row r="245" spans="1:7" ht="14.4" x14ac:dyDescent="0.25">
      <c r="A245" s="28">
        <v>41581</v>
      </c>
      <c r="B245" s="29" t="s">
        <v>4</v>
      </c>
      <c r="C245" s="14" t="s">
        <v>70</v>
      </c>
      <c r="D245" s="29" t="s">
        <v>118</v>
      </c>
      <c r="E245" s="29" t="s">
        <v>130</v>
      </c>
      <c r="F245" s="30">
        <v>341.57</v>
      </c>
      <c r="G245" s="31">
        <v>351.82</v>
      </c>
    </row>
    <row r="246" spans="1:7" ht="14.4" x14ac:dyDescent="0.25">
      <c r="A246" s="24">
        <v>41583</v>
      </c>
      <c r="B246" s="25" t="s">
        <v>30</v>
      </c>
      <c r="C246" s="9" t="s">
        <v>88</v>
      </c>
      <c r="D246" s="25" t="s">
        <v>120</v>
      </c>
      <c r="E246" s="25" t="s">
        <v>129</v>
      </c>
      <c r="F246" s="26">
        <v>541.59</v>
      </c>
      <c r="G246" s="27">
        <v>498.26000000000005</v>
      </c>
    </row>
    <row r="247" spans="1:7" ht="14.4" x14ac:dyDescent="0.25">
      <c r="A247" s="28">
        <v>41588</v>
      </c>
      <c r="B247" s="29" t="s">
        <v>42</v>
      </c>
      <c r="C247" s="14" t="s">
        <v>69</v>
      </c>
      <c r="D247" s="29" t="s">
        <v>122</v>
      </c>
      <c r="E247" s="29" t="s">
        <v>129</v>
      </c>
      <c r="F247" s="30">
        <v>291.86</v>
      </c>
      <c r="G247" s="31">
        <v>309.37</v>
      </c>
    </row>
    <row r="248" spans="1:7" ht="14.4" x14ac:dyDescent="0.25">
      <c r="A248" s="24">
        <v>41591</v>
      </c>
      <c r="B248" s="25" t="s">
        <v>41</v>
      </c>
      <c r="C248" s="9" t="s">
        <v>67</v>
      </c>
      <c r="D248" s="25" t="s">
        <v>122</v>
      </c>
      <c r="E248" s="25" t="s">
        <v>130</v>
      </c>
      <c r="F248" s="26">
        <v>831.92</v>
      </c>
      <c r="G248" s="27">
        <v>782</v>
      </c>
    </row>
    <row r="249" spans="1:7" ht="14.4" x14ac:dyDescent="0.25">
      <c r="A249" s="28">
        <v>41592</v>
      </c>
      <c r="B249" s="29" t="s">
        <v>41</v>
      </c>
      <c r="C249" s="14" t="s">
        <v>68</v>
      </c>
      <c r="D249" s="29" t="s">
        <v>122</v>
      </c>
      <c r="E249" s="29" t="s">
        <v>128</v>
      </c>
      <c r="F249" s="30">
        <v>900.53</v>
      </c>
      <c r="G249" s="31">
        <v>972.56999999999994</v>
      </c>
    </row>
    <row r="250" spans="1:7" ht="14.4" x14ac:dyDescent="0.25">
      <c r="A250" s="24">
        <v>41595</v>
      </c>
      <c r="B250" s="25" t="s">
        <v>26</v>
      </c>
      <c r="C250" s="9" t="s">
        <v>117</v>
      </c>
      <c r="D250" s="25" t="s">
        <v>120</v>
      </c>
      <c r="E250" s="25" t="s">
        <v>129</v>
      </c>
      <c r="F250" s="26">
        <v>852.33</v>
      </c>
      <c r="G250" s="27">
        <v>886.42000000000007</v>
      </c>
    </row>
    <row r="251" spans="1:7" ht="14.4" x14ac:dyDescent="0.25">
      <c r="A251" s="28">
        <v>41596</v>
      </c>
      <c r="B251" s="29" t="s">
        <v>38</v>
      </c>
      <c r="C251" s="14" t="s">
        <v>116</v>
      </c>
      <c r="D251" s="29" t="s">
        <v>122</v>
      </c>
      <c r="E251" s="29" t="s">
        <v>129</v>
      </c>
      <c r="F251" s="30">
        <v>243.26</v>
      </c>
      <c r="G251" s="31">
        <v>252.98999999999998</v>
      </c>
    </row>
    <row r="252" spans="1:7" ht="14.4" x14ac:dyDescent="0.25">
      <c r="A252" s="24">
        <v>41597</v>
      </c>
      <c r="B252" s="25" t="s">
        <v>36</v>
      </c>
      <c r="C252" s="9" t="s">
        <v>57</v>
      </c>
      <c r="D252" s="25" t="s">
        <v>121</v>
      </c>
      <c r="E252" s="25" t="s">
        <v>128</v>
      </c>
      <c r="F252" s="26">
        <v>957.83</v>
      </c>
      <c r="G252" s="27">
        <v>1034.46</v>
      </c>
    </row>
    <row r="253" spans="1:7" ht="14.4" x14ac:dyDescent="0.25">
      <c r="A253" s="28">
        <v>41601</v>
      </c>
      <c r="B253" s="29" t="s">
        <v>29</v>
      </c>
      <c r="C253" s="14" t="s">
        <v>98</v>
      </c>
      <c r="D253" s="29" t="s">
        <v>120</v>
      </c>
      <c r="E253" s="29" t="s">
        <v>128</v>
      </c>
      <c r="F253" s="30">
        <v>855.42</v>
      </c>
      <c r="G253" s="31">
        <v>804.08999999999992</v>
      </c>
    </row>
    <row r="254" spans="1:7" ht="14.4" x14ac:dyDescent="0.25">
      <c r="A254" s="24">
        <v>41602</v>
      </c>
      <c r="B254" s="25" t="s">
        <v>6</v>
      </c>
      <c r="C254" s="9" t="s">
        <v>81</v>
      </c>
      <c r="D254" s="25" t="s">
        <v>118</v>
      </c>
      <c r="E254" s="25" t="s">
        <v>130</v>
      </c>
      <c r="F254" s="26">
        <v>159.38</v>
      </c>
      <c r="G254" s="27">
        <v>172.13</v>
      </c>
    </row>
    <row r="255" spans="1:7" ht="14.4" x14ac:dyDescent="0.25">
      <c r="A255" s="28">
        <v>41611</v>
      </c>
      <c r="B255" s="29" t="s">
        <v>28</v>
      </c>
      <c r="C255" s="14" t="s">
        <v>103</v>
      </c>
      <c r="D255" s="29" t="s">
        <v>120</v>
      </c>
      <c r="E255" s="29" t="s">
        <v>128</v>
      </c>
      <c r="F255" s="30">
        <v>823.82</v>
      </c>
      <c r="G255" s="31">
        <v>807.34</v>
      </c>
    </row>
    <row r="256" spans="1:7" ht="14.4" x14ac:dyDescent="0.25">
      <c r="A256" s="24">
        <v>41613</v>
      </c>
      <c r="B256" s="25" t="s">
        <v>22</v>
      </c>
      <c r="C256" s="9" t="s">
        <v>78</v>
      </c>
      <c r="D256" s="25" t="s">
        <v>119</v>
      </c>
      <c r="E256" s="25" t="s">
        <v>128</v>
      </c>
      <c r="F256" s="26">
        <v>470.83</v>
      </c>
      <c r="G256" s="27">
        <v>484.95</v>
      </c>
    </row>
    <row r="257" spans="1:7" ht="14.4" x14ac:dyDescent="0.25">
      <c r="A257" s="28">
        <v>41618</v>
      </c>
      <c r="B257" s="29" t="s">
        <v>13</v>
      </c>
      <c r="C257" s="14" t="s">
        <v>73</v>
      </c>
      <c r="D257" s="29" t="s">
        <v>118</v>
      </c>
      <c r="E257" s="29" t="s">
        <v>129</v>
      </c>
      <c r="F257" s="30">
        <v>284.57</v>
      </c>
      <c r="G257" s="31">
        <v>281.71999999999997</v>
      </c>
    </row>
    <row r="258" spans="1:7" ht="14.4" x14ac:dyDescent="0.25">
      <c r="A258" s="24">
        <v>41623</v>
      </c>
      <c r="B258" s="25" t="s">
        <v>32</v>
      </c>
      <c r="C258" s="9" t="s">
        <v>126</v>
      </c>
      <c r="D258" s="25" t="s">
        <v>120</v>
      </c>
      <c r="E258" s="25" t="s">
        <v>129</v>
      </c>
      <c r="F258" s="26">
        <v>601.87</v>
      </c>
      <c r="G258" s="27">
        <v>541.68000000000006</v>
      </c>
    </row>
    <row r="259" spans="1:7" ht="14.4" x14ac:dyDescent="0.25">
      <c r="A259" s="28">
        <v>41628</v>
      </c>
      <c r="B259" s="29" t="s">
        <v>22</v>
      </c>
      <c r="C259" s="14" t="s">
        <v>77</v>
      </c>
      <c r="D259" s="29" t="s">
        <v>119</v>
      </c>
      <c r="E259" s="29" t="s">
        <v>129</v>
      </c>
      <c r="F259" s="30">
        <v>788.25</v>
      </c>
      <c r="G259" s="31">
        <v>748.84</v>
      </c>
    </row>
    <row r="260" spans="1:7" ht="14.4" x14ac:dyDescent="0.25">
      <c r="A260" s="24">
        <v>41628</v>
      </c>
      <c r="B260" s="25" t="s">
        <v>36</v>
      </c>
      <c r="C260" s="9" t="s">
        <v>58</v>
      </c>
      <c r="D260" s="25" t="s">
        <v>121</v>
      </c>
      <c r="E260" s="25" t="s">
        <v>128</v>
      </c>
      <c r="F260" s="26">
        <v>819.25</v>
      </c>
      <c r="G260" s="27">
        <v>794.67</v>
      </c>
    </row>
    <row r="261" spans="1:7" ht="14.4" x14ac:dyDescent="0.25">
      <c r="A261" s="28">
        <v>41629</v>
      </c>
      <c r="B261" s="29" t="s">
        <v>16</v>
      </c>
      <c r="C261" s="14" t="s">
        <v>61</v>
      </c>
      <c r="D261" s="29" t="s">
        <v>118</v>
      </c>
      <c r="E261" s="29" t="s">
        <v>129</v>
      </c>
      <c r="F261" s="30">
        <v>231.41</v>
      </c>
      <c r="G261" s="31">
        <v>236.04</v>
      </c>
    </row>
    <row r="262" spans="1:7" ht="14.4" x14ac:dyDescent="0.25">
      <c r="A262" s="24">
        <v>41634</v>
      </c>
      <c r="B262" s="25" t="s">
        <v>48</v>
      </c>
      <c r="C262" s="9" t="s">
        <v>56</v>
      </c>
      <c r="D262" s="25" t="s">
        <v>122</v>
      </c>
      <c r="E262" s="25" t="s">
        <v>130</v>
      </c>
      <c r="F262" s="26">
        <v>572.13</v>
      </c>
      <c r="G262" s="27">
        <v>554.97</v>
      </c>
    </row>
    <row r="263" spans="1:7" ht="14.4" x14ac:dyDescent="0.25">
      <c r="A263" s="28">
        <v>41635</v>
      </c>
      <c r="B263" s="29" t="s">
        <v>38</v>
      </c>
      <c r="C263" s="14" t="s">
        <v>62</v>
      </c>
      <c r="D263" s="29" t="s">
        <v>122</v>
      </c>
      <c r="E263" s="29" t="s">
        <v>129</v>
      </c>
      <c r="F263" s="30">
        <v>431</v>
      </c>
      <c r="G263" s="31">
        <v>452.55</v>
      </c>
    </row>
    <row r="264" spans="1:7" ht="14.4" x14ac:dyDescent="0.25">
      <c r="A264" s="24">
        <v>41635</v>
      </c>
      <c r="B264" s="25" t="s">
        <v>8</v>
      </c>
      <c r="C264" s="9" t="s">
        <v>54</v>
      </c>
      <c r="D264" s="25" t="s">
        <v>118</v>
      </c>
      <c r="E264" s="25" t="s">
        <v>130</v>
      </c>
      <c r="F264" s="26">
        <v>183.56</v>
      </c>
      <c r="G264" s="27">
        <v>190.9</v>
      </c>
    </row>
    <row r="265" spans="1:7" ht="14.4" x14ac:dyDescent="0.25">
      <c r="A265" s="28">
        <v>41640</v>
      </c>
      <c r="B265" s="29" t="s">
        <v>13</v>
      </c>
      <c r="C265" s="14" t="s">
        <v>73</v>
      </c>
      <c r="D265" s="29" t="s">
        <v>118</v>
      </c>
      <c r="E265" s="29" t="s">
        <v>130</v>
      </c>
      <c r="F265" s="30">
        <v>202.35</v>
      </c>
      <c r="G265" s="31">
        <v>188.19</v>
      </c>
    </row>
    <row r="266" spans="1:7" ht="14.4" x14ac:dyDescent="0.25">
      <c r="A266" s="24">
        <v>41641</v>
      </c>
      <c r="B266" s="25" t="s">
        <v>39</v>
      </c>
      <c r="C266" s="9" t="s">
        <v>75</v>
      </c>
      <c r="D266" s="25" t="s">
        <v>122</v>
      </c>
      <c r="E266" s="25" t="s">
        <v>129</v>
      </c>
      <c r="F266" s="26">
        <v>953.96</v>
      </c>
      <c r="G266" s="27">
        <v>925.34</v>
      </c>
    </row>
    <row r="267" spans="1:7" ht="14.4" x14ac:dyDescent="0.25">
      <c r="A267" s="28">
        <v>41641</v>
      </c>
      <c r="B267" s="29" t="s">
        <v>22</v>
      </c>
      <c r="C267" s="14" t="s">
        <v>78</v>
      </c>
      <c r="D267" s="29" t="s">
        <v>119</v>
      </c>
      <c r="E267" s="29" t="s">
        <v>129</v>
      </c>
      <c r="F267" s="30">
        <v>112.21</v>
      </c>
      <c r="G267" s="31">
        <v>121.19</v>
      </c>
    </row>
    <row r="268" spans="1:7" ht="14.4" x14ac:dyDescent="0.25">
      <c r="A268" s="24">
        <v>41642</v>
      </c>
      <c r="B268" s="25" t="s">
        <v>5</v>
      </c>
      <c r="C268" s="9" t="s">
        <v>102</v>
      </c>
      <c r="D268" s="25" t="s">
        <v>118</v>
      </c>
      <c r="E268" s="25" t="s">
        <v>130</v>
      </c>
      <c r="F268" s="26">
        <v>893.28</v>
      </c>
      <c r="G268" s="27">
        <v>964.74</v>
      </c>
    </row>
    <row r="269" spans="1:7" ht="14.4" x14ac:dyDescent="0.25">
      <c r="A269" s="28">
        <v>41642</v>
      </c>
      <c r="B269" s="29" t="s">
        <v>45</v>
      </c>
      <c r="C269" s="14" t="s">
        <v>101</v>
      </c>
      <c r="D269" s="29" t="s">
        <v>122</v>
      </c>
      <c r="E269" s="29" t="s">
        <v>129</v>
      </c>
      <c r="F269" s="30">
        <v>305.74</v>
      </c>
      <c r="G269" s="31">
        <v>314.91000000000003</v>
      </c>
    </row>
    <row r="270" spans="1:7" ht="14.4" x14ac:dyDescent="0.25">
      <c r="A270" s="24">
        <v>41642</v>
      </c>
      <c r="B270" s="25" t="s">
        <v>48</v>
      </c>
      <c r="C270" s="9" t="s">
        <v>56</v>
      </c>
      <c r="D270" s="25" t="s">
        <v>122</v>
      </c>
      <c r="E270" s="25" t="s">
        <v>130</v>
      </c>
      <c r="F270" s="26">
        <v>44.75</v>
      </c>
      <c r="G270" s="27">
        <v>40.72</v>
      </c>
    </row>
    <row r="271" spans="1:7" ht="14.4" x14ac:dyDescent="0.25">
      <c r="A271" s="28">
        <v>41643</v>
      </c>
      <c r="B271" s="29" t="s">
        <v>44</v>
      </c>
      <c r="C271" s="14" t="s">
        <v>104</v>
      </c>
      <c r="D271" s="29" t="s">
        <v>122</v>
      </c>
      <c r="E271" s="29" t="s">
        <v>128</v>
      </c>
      <c r="F271" s="30">
        <v>634.04999999999995</v>
      </c>
      <c r="G271" s="31">
        <v>684.77</v>
      </c>
    </row>
    <row r="272" spans="1:7" ht="14.4" x14ac:dyDescent="0.25">
      <c r="A272" s="24">
        <v>41644</v>
      </c>
      <c r="B272" s="25" t="s">
        <v>26</v>
      </c>
      <c r="C272" s="9" t="s">
        <v>117</v>
      </c>
      <c r="D272" s="25" t="s">
        <v>120</v>
      </c>
      <c r="E272" s="25" t="s">
        <v>129</v>
      </c>
      <c r="F272" s="26">
        <v>694.6</v>
      </c>
      <c r="G272" s="27">
        <v>639.03</v>
      </c>
    </row>
    <row r="273" spans="1:7" ht="14.4" x14ac:dyDescent="0.25">
      <c r="A273" s="28">
        <v>41645</v>
      </c>
      <c r="B273" s="29" t="s">
        <v>48</v>
      </c>
      <c r="C273" s="14" t="s">
        <v>82</v>
      </c>
      <c r="D273" s="29" t="s">
        <v>122</v>
      </c>
      <c r="E273" s="29" t="s">
        <v>129</v>
      </c>
      <c r="F273" s="30">
        <v>515.69000000000005</v>
      </c>
      <c r="G273" s="31">
        <v>536.32000000000005</v>
      </c>
    </row>
    <row r="274" spans="1:7" ht="14.4" x14ac:dyDescent="0.25">
      <c r="A274" s="24">
        <v>41646</v>
      </c>
      <c r="B274" s="25" t="s">
        <v>29</v>
      </c>
      <c r="C274" s="9" t="s">
        <v>98</v>
      </c>
      <c r="D274" s="25" t="s">
        <v>120</v>
      </c>
      <c r="E274" s="25" t="s">
        <v>130</v>
      </c>
      <c r="F274" s="26">
        <v>301.61</v>
      </c>
      <c r="G274" s="27">
        <v>271.45</v>
      </c>
    </row>
    <row r="275" spans="1:7" ht="14.4" x14ac:dyDescent="0.25">
      <c r="A275" s="28">
        <v>41646</v>
      </c>
      <c r="B275" s="29" t="s">
        <v>31</v>
      </c>
      <c r="C275" s="14" t="s">
        <v>85</v>
      </c>
      <c r="D275" s="29" t="s">
        <v>120</v>
      </c>
      <c r="E275" s="29" t="s">
        <v>129</v>
      </c>
      <c r="F275" s="30">
        <v>403.54</v>
      </c>
      <c r="G275" s="31">
        <v>367.22</v>
      </c>
    </row>
    <row r="276" spans="1:7" ht="14.4" x14ac:dyDescent="0.25">
      <c r="A276" s="24">
        <v>41647</v>
      </c>
      <c r="B276" s="25" t="s">
        <v>6</v>
      </c>
      <c r="C276" s="9" t="s">
        <v>81</v>
      </c>
      <c r="D276" s="25" t="s">
        <v>118</v>
      </c>
      <c r="E276" s="25" t="s">
        <v>128</v>
      </c>
      <c r="F276" s="26">
        <v>794.58</v>
      </c>
      <c r="G276" s="27">
        <v>770.74</v>
      </c>
    </row>
    <row r="277" spans="1:7" ht="14.4" x14ac:dyDescent="0.25">
      <c r="A277" s="28">
        <v>41647</v>
      </c>
      <c r="B277" s="29" t="s">
        <v>50</v>
      </c>
      <c r="C277" s="14" t="s">
        <v>92</v>
      </c>
      <c r="D277" s="29" t="s">
        <v>122</v>
      </c>
      <c r="E277" s="29" t="s">
        <v>129</v>
      </c>
      <c r="F277" s="30">
        <v>436.28</v>
      </c>
      <c r="G277" s="31">
        <v>418.83</v>
      </c>
    </row>
    <row r="278" spans="1:7" ht="14.4" x14ac:dyDescent="0.25">
      <c r="A278" s="24">
        <v>41647</v>
      </c>
      <c r="B278" s="25" t="s">
        <v>36</v>
      </c>
      <c r="C278" s="9" t="s">
        <v>58</v>
      </c>
      <c r="D278" s="25" t="s">
        <v>121</v>
      </c>
      <c r="E278" s="25" t="s">
        <v>128</v>
      </c>
      <c r="F278" s="26">
        <v>853.09</v>
      </c>
      <c r="G278" s="27">
        <v>836.03000000000009</v>
      </c>
    </row>
    <row r="279" spans="1:7" ht="14.4" x14ac:dyDescent="0.25">
      <c r="A279" s="28">
        <v>41647</v>
      </c>
      <c r="B279" s="29" t="s">
        <v>36</v>
      </c>
      <c r="C279" s="14" t="s">
        <v>90</v>
      </c>
      <c r="D279" s="29" t="s">
        <v>121</v>
      </c>
      <c r="E279" s="29" t="s">
        <v>128</v>
      </c>
      <c r="F279" s="30">
        <v>742.07</v>
      </c>
      <c r="G279" s="31">
        <v>675.28000000000009</v>
      </c>
    </row>
    <row r="280" spans="1:7" ht="14.4" x14ac:dyDescent="0.25">
      <c r="A280" s="24">
        <v>41648</v>
      </c>
      <c r="B280" s="25" t="s">
        <v>38</v>
      </c>
      <c r="C280" s="9" t="s">
        <v>62</v>
      </c>
      <c r="D280" s="25" t="s">
        <v>122</v>
      </c>
      <c r="E280" s="25" t="s">
        <v>130</v>
      </c>
      <c r="F280" s="26">
        <v>628.33000000000004</v>
      </c>
      <c r="G280" s="27">
        <v>571.78000000000009</v>
      </c>
    </row>
    <row r="281" spans="1:7" ht="14.4" x14ac:dyDescent="0.25">
      <c r="A281" s="28">
        <v>41648</v>
      </c>
      <c r="B281" s="29" t="s">
        <v>1</v>
      </c>
      <c r="C281" s="14" t="s">
        <v>1</v>
      </c>
      <c r="D281" s="29" t="s">
        <v>118</v>
      </c>
      <c r="E281" s="29" t="s">
        <v>128</v>
      </c>
      <c r="F281" s="30">
        <v>52.48</v>
      </c>
      <c r="G281" s="31">
        <v>51.43</v>
      </c>
    </row>
    <row r="282" spans="1:7" ht="14.4" x14ac:dyDescent="0.25">
      <c r="A282" s="24">
        <v>41648</v>
      </c>
      <c r="B282" s="25" t="s">
        <v>34</v>
      </c>
      <c r="C282" s="9" t="s">
        <v>105</v>
      </c>
      <c r="D282" s="25" t="s">
        <v>121</v>
      </c>
      <c r="E282" s="25" t="s">
        <v>129</v>
      </c>
      <c r="F282" s="26">
        <v>711.29</v>
      </c>
      <c r="G282" s="27">
        <v>654.39</v>
      </c>
    </row>
    <row r="283" spans="1:7" ht="14.4" x14ac:dyDescent="0.25">
      <c r="A283" s="28">
        <v>41648</v>
      </c>
      <c r="B283" s="29" t="s">
        <v>6</v>
      </c>
      <c r="C283" s="14" t="s">
        <v>80</v>
      </c>
      <c r="D283" s="29" t="s">
        <v>118</v>
      </c>
      <c r="E283" s="29" t="s">
        <v>129</v>
      </c>
      <c r="F283" s="30">
        <v>563.74</v>
      </c>
      <c r="G283" s="31">
        <v>541.19000000000005</v>
      </c>
    </row>
    <row r="284" spans="1:7" ht="14.4" x14ac:dyDescent="0.25">
      <c r="A284" s="24">
        <v>41650</v>
      </c>
      <c r="B284" s="25" t="s">
        <v>2</v>
      </c>
      <c r="C284" s="9" t="s">
        <v>108</v>
      </c>
      <c r="D284" s="25" t="s">
        <v>118</v>
      </c>
      <c r="E284" s="25" t="s">
        <v>129</v>
      </c>
      <c r="F284" s="26">
        <v>980.35</v>
      </c>
      <c r="G284" s="27">
        <v>892.12</v>
      </c>
    </row>
    <row r="285" spans="1:7" ht="14.4" x14ac:dyDescent="0.25">
      <c r="A285" s="28">
        <v>41650</v>
      </c>
      <c r="B285" s="29" t="s">
        <v>24</v>
      </c>
      <c r="C285" s="14" t="s">
        <v>107</v>
      </c>
      <c r="D285" s="29" t="s">
        <v>119</v>
      </c>
      <c r="E285" s="29" t="s">
        <v>128</v>
      </c>
      <c r="F285" s="30">
        <v>651.85</v>
      </c>
      <c r="G285" s="31">
        <v>638.81000000000006</v>
      </c>
    </row>
    <row r="286" spans="1:7" ht="14.4" x14ac:dyDescent="0.25">
      <c r="A286" s="24">
        <v>41651</v>
      </c>
      <c r="B286" s="25" t="s">
        <v>17</v>
      </c>
      <c r="C286" s="9" t="s">
        <v>74</v>
      </c>
      <c r="D286" s="25" t="s">
        <v>119</v>
      </c>
      <c r="E286" s="25" t="s">
        <v>129</v>
      </c>
      <c r="F286" s="26">
        <v>46.15</v>
      </c>
      <c r="G286" s="27">
        <v>49.379999999999995</v>
      </c>
    </row>
    <row r="287" spans="1:7" ht="14.4" x14ac:dyDescent="0.25">
      <c r="A287" s="28">
        <v>41652</v>
      </c>
      <c r="B287" s="29" t="s">
        <v>0</v>
      </c>
      <c r="C287" s="14" t="s">
        <v>114</v>
      </c>
      <c r="D287" s="29" t="s">
        <v>118</v>
      </c>
      <c r="E287" s="29" t="s">
        <v>128</v>
      </c>
      <c r="F287" s="30">
        <v>349.79</v>
      </c>
      <c r="G287" s="31">
        <v>377.77000000000004</v>
      </c>
    </row>
    <row r="288" spans="1:7" ht="14.4" x14ac:dyDescent="0.25">
      <c r="A288" s="24">
        <v>41652</v>
      </c>
      <c r="B288" s="25" t="s">
        <v>40</v>
      </c>
      <c r="C288" s="9" t="s">
        <v>65</v>
      </c>
      <c r="D288" s="25" t="s">
        <v>122</v>
      </c>
      <c r="E288" s="25" t="s">
        <v>130</v>
      </c>
      <c r="F288" s="26">
        <v>87.93</v>
      </c>
      <c r="G288" s="27">
        <v>82.65</v>
      </c>
    </row>
    <row r="289" spans="1:7" ht="14.4" x14ac:dyDescent="0.25">
      <c r="A289" s="28">
        <v>41652</v>
      </c>
      <c r="B289" s="29" t="s">
        <v>25</v>
      </c>
      <c r="C289" s="14" t="s">
        <v>94</v>
      </c>
      <c r="D289" s="29" t="s">
        <v>119</v>
      </c>
      <c r="E289" s="29" t="s">
        <v>128</v>
      </c>
      <c r="F289" s="30">
        <v>386.89</v>
      </c>
      <c r="G289" s="31">
        <v>406.22999999999996</v>
      </c>
    </row>
    <row r="290" spans="1:7" ht="14.4" x14ac:dyDescent="0.25">
      <c r="A290" s="24">
        <v>41653</v>
      </c>
      <c r="B290" s="25" t="s">
        <v>40</v>
      </c>
      <c r="C290" s="9" t="s">
        <v>111</v>
      </c>
      <c r="D290" s="25" t="s">
        <v>122</v>
      </c>
      <c r="E290" s="25" t="s">
        <v>129</v>
      </c>
      <c r="F290" s="26">
        <v>894.21</v>
      </c>
      <c r="G290" s="27">
        <v>965.75</v>
      </c>
    </row>
    <row r="291" spans="1:7" ht="14.4" x14ac:dyDescent="0.25">
      <c r="A291" s="28">
        <v>41653</v>
      </c>
      <c r="B291" s="29" t="s">
        <v>7</v>
      </c>
      <c r="C291" s="14" t="s">
        <v>99</v>
      </c>
      <c r="D291" s="29" t="s">
        <v>118</v>
      </c>
      <c r="E291" s="29" t="s">
        <v>129</v>
      </c>
      <c r="F291" s="30">
        <v>352.89</v>
      </c>
      <c r="G291" s="31">
        <v>321.13</v>
      </c>
    </row>
    <row r="292" spans="1:7" ht="14.4" x14ac:dyDescent="0.25">
      <c r="A292" s="24">
        <v>41653</v>
      </c>
      <c r="B292" s="25" t="s">
        <v>30</v>
      </c>
      <c r="C292" s="9" t="s">
        <v>88</v>
      </c>
      <c r="D292" s="25" t="s">
        <v>120</v>
      </c>
      <c r="E292" s="25" t="s">
        <v>128</v>
      </c>
      <c r="F292" s="26">
        <v>694.54</v>
      </c>
      <c r="G292" s="27">
        <v>687.58999999999992</v>
      </c>
    </row>
    <row r="293" spans="1:7" ht="14.4" x14ac:dyDescent="0.25">
      <c r="A293" s="28">
        <v>41654</v>
      </c>
      <c r="B293" s="29" t="s">
        <v>21</v>
      </c>
      <c r="C293" s="14" t="s">
        <v>79</v>
      </c>
      <c r="D293" s="29" t="s">
        <v>119</v>
      </c>
      <c r="E293" s="29" t="s">
        <v>129</v>
      </c>
      <c r="F293" s="30">
        <v>744.63</v>
      </c>
      <c r="G293" s="31">
        <v>759.52</v>
      </c>
    </row>
    <row r="294" spans="1:7" ht="14.4" x14ac:dyDescent="0.25">
      <c r="A294" s="24">
        <v>41654</v>
      </c>
      <c r="B294" s="25" t="s">
        <v>28</v>
      </c>
      <c r="C294" s="9" t="s">
        <v>103</v>
      </c>
      <c r="D294" s="25" t="s">
        <v>120</v>
      </c>
      <c r="E294" s="25" t="s">
        <v>128</v>
      </c>
      <c r="F294" s="26">
        <v>740.66</v>
      </c>
      <c r="G294" s="27">
        <v>666.58999999999992</v>
      </c>
    </row>
    <row r="295" spans="1:7" ht="14.4" x14ac:dyDescent="0.25">
      <c r="A295" s="28">
        <v>41654</v>
      </c>
      <c r="B295" s="29" t="s">
        <v>8</v>
      </c>
      <c r="C295" s="14" t="s">
        <v>54</v>
      </c>
      <c r="D295" s="29" t="s">
        <v>118</v>
      </c>
      <c r="E295" s="29" t="s">
        <v>130</v>
      </c>
      <c r="F295" s="30">
        <v>717.16</v>
      </c>
      <c r="G295" s="31">
        <v>724.32999999999993</v>
      </c>
    </row>
    <row r="296" spans="1:7" ht="14.4" x14ac:dyDescent="0.25">
      <c r="A296" s="24">
        <v>41654</v>
      </c>
      <c r="B296" s="25" t="s">
        <v>49</v>
      </c>
      <c r="C296" s="9" t="s">
        <v>72</v>
      </c>
      <c r="D296" s="25" t="s">
        <v>122</v>
      </c>
      <c r="E296" s="25" t="s">
        <v>130</v>
      </c>
      <c r="F296" s="26">
        <v>890.82</v>
      </c>
      <c r="G296" s="27">
        <v>962.09</v>
      </c>
    </row>
    <row r="297" spans="1:7" ht="14.4" x14ac:dyDescent="0.25">
      <c r="A297" s="28">
        <v>41654</v>
      </c>
      <c r="B297" s="29" t="s">
        <v>37</v>
      </c>
      <c r="C297" s="14" t="s">
        <v>87</v>
      </c>
      <c r="D297" s="29" t="s">
        <v>121</v>
      </c>
      <c r="E297" s="29" t="s">
        <v>128</v>
      </c>
      <c r="F297" s="30">
        <v>971.11</v>
      </c>
      <c r="G297" s="31">
        <v>903.13</v>
      </c>
    </row>
    <row r="298" spans="1:7" ht="14.4" x14ac:dyDescent="0.25">
      <c r="A298" s="24">
        <v>41655</v>
      </c>
      <c r="B298" s="25" t="s">
        <v>20</v>
      </c>
      <c r="C298" s="9" t="s">
        <v>112</v>
      </c>
      <c r="D298" s="25" t="s">
        <v>119</v>
      </c>
      <c r="E298" s="25" t="s">
        <v>129</v>
      </c>
      <c r="F298" s="26">
        <v>668.57</v>
      </c>
      <c r="G298" s="27">
        <v>668.57</v>
      </c>
    </row>
    <row r="299" spans="1:7" ht="14.4" x14ac:dyDescent="0.25">
      <c r="A299" s="28">
        <v>41655</v>
      </c>
      <c r="B299" s="29" t="s">
        <v>3</v>
      </c>
      <c r="C299" s="14" t="s">
        <v>66</v>
      </c>
      <c r="D299" s="29" t="s">
        <v>118</v>
      </c>
      <c r="E299" s="29" t="s">
        <v>129</v>
      </c>
      <c r="F299" s="30">
        <v>932.04</v>
      </c>
      <c r="G299" s="31">
        <v>857.48</v>
      </c>
    </row>
    <row r="300" spans="1:7" ht="14.4" x14ac:dyDescent="0.25">
      <c r="A300" s="24">
        <v>41655</v>
      </c>
      <c r="B300" s="25" t="s">
        <v>47</v>
      </c>
      <c r="C300" s="9" t="s">
        <v>96</v>
      </c>
      <c r="D300" s="25" t="s">
        <v>122</v>
      </c>
      <c r="E300" s="25" t="s">
        <v>129</v>
      </c>
      <c r="F300" s="26">
        <v>966.64</v>
      </c>
      <c r="G300" s="27">
        <v>985.97</v>
      </c>
    </row>
    <row r="301" spans="1:7" ht="14.4" x14ac:dyDescent="0.25">
      <c r="A301" s="28">
        <v>41655</v>
      </c>
      <c r="B301" s="29" t="s">
        <v>9</v>
      </c>
      <c r="C301" s="14" t="s">
        <v>95</v>
      </c>
      <c r="D301" s="29" t="s">
        <v>118</v>
      </c>
      <c r="E301" s="29" t="s">
        <v>128</v>
      </c>
      <c r="F301" s="30">
        <v>684.43</v>
      </c>
      <c r="G301" s="31">
        <v>725.5</v>
      </c>
    </row>
    <row r="302" spans="1:7" ht="14.4" x14ac:dyDescent="0.25">
      <c r="A302" s="24">
        <v>41655</v>
      </c>
      <c r="B302" s="25" t="s">
        <v>15</v>
      </c>
      <c r="C302" s="9" t="s">
        <v>60</v>
      </c>
      <c r="D302" s="25" t="s">
        <v>118</v>
      </c>
      <c r="E302" s="25" t="s">
        <v>129</v>
      </c>
      <c r="F302" s="26">
        <v>371.36</v>
      </c>
      <c r="G302" s="27">
        <v>401.07</v>
      </c>
    </row>
    <row r="303" spans="1:7" ht="14.4" x14ac:dyDescent="0.25">
      <c r="A303" s="28">
        <v>41656</v>
      </c>
      <c r="B303" s="29" t="s">
        <v>19</v>
      </c>
      <c r="C303" s="14" t="s">
        <v>113</v>
      </c>
      <c r="D303" s="29" t="s">
        <v>119</v>
      </c>
      <c r="E303" s="29" t="s">
        <v>130</v>
      </c>
      <c r="F303" s="30">
        <v>669.9</v>
      </c>
      <c r="G303" s="31">
        <v>636.4</v>
      </c>
    </row>
    <row r="304" spans="1:7" ht="14.4" x14ac:dyDescent="0.25">
      <c r="A304" s="24">
        <v>41656</v>
      </c>
      <c r="B304" s="25" t="s">
        <v>41</v>
      </c>
      <c r="C304" s="9" t="s">
        <v>67</v>
      </c>
      <c r="D304" s="25" t="s">
        <v>122</v>
      </c>
      <c r="E304" s="25" t="s">
        <v>129</v>
      </c>
      <c r="F304" s="26">
        <v>826.48</v>
      </c>
      <c r="G304" s="27">
        <v>834.74</v>
      </c>
    </row>
    <row r="305" spans="1:7" ht="14.4" x14ac:dyDescent="0.25">
      <c r="A305" s="28">
        <v>41657</v>
      </c>
      <c r="B305" s="29" t="s">
        <v>38</v>
      </c>
      <c r="C305" s="14" t="s">
        <v>116</v>
      </c>
      <c r="D305" s="29" t="s">
        <v>122</v>
      </c>
      <c r="E305" s="29" t="s">
        <v>128</v>
      </c>
      <c r="F305" s="30">
        <v>343.36</v>
      </c>
      <c r="G305" s="31">
        <v>315.89</v>
      </c>
    </row>
    <row r="306" spans="1:7" ht="14.4" x14ac:dyDescent="0.25">
      <c r="A306" s="24">
        <v>41657</v>
      </c>
      <c r="B306" s="25" t="s">
        <v>18</v>
      </c>
      <c r="C306" s="9" t="s">
        <v>64</v>
      </c>
      <c r="D306" s="25" t="s">
        <v>119</v>
      </c>
      <c r="E306" s="25" t="s">
        <v>130</v>
      </c>
      <c r="F306" s="26">
        <v>523.17999999999995</v>
      </c>
      <c r="G306" s="27">
        <v>533.64</v>
      </c>
    </row>
    <row r="307" spans="1:7" ht="14.4" x14ac:dyDescent="0.25">
      <c r="A307" s="28">
        <v>41657</v>
      </c>
      <c r="B307" s="29" t="s">
        <v>23</v>
      </c>
      <c r="C307" s="14" t="s">
        <v>109</v>
      </c>
      <c r="D307" s="29" t="s">
        <v>119</v>
      </c>
      <c r="E307" s="29" t="s">
        <v>129</v>
      </c>
      <c r="F307" s="30">
        <v>32.979999999999997</v>
      </c>
      <c r="G307" s="31">
        <v>35.619999999999997</v>
      </c>
    </row>
    <row r="308" spans="1:7" ht="14.4" x14ac:dyDescent="0.25">
      <c r="A308" s="24">
        <v>41657</v>
      </c>
      <c r="B308" s="25" t="s">
        <v>4</v>
      </c>
      <c r="C308" s="9" t="s">
        <v>70</v>
      </c>
      <c r="D308" s="25" t="s">
        <v>118</v>
      </c>
      <c r="E308" s="25" t="s">
        <v>130</v>
      </c>
      <c r="F308" s="26">
        <v>34.43</v>
      </c>
      <c r="G308" s="27">
        <v>35.81</v>
      </c>
    </row>
    <row r="309" spans="1:7" ht="14.4" x14ac:dyDescent="0.25">
      <c r="A309" s="28">
        <v>41657</v>
      </c>
      <c r="B309" s="29" t="s">
        <v>30</v>
      </c>
      <c r="C309" s="14" t="s">
        <v>88</v>
      </c>
      <c r="D309" s="29" t="s">
        <v>120</v>
      </c>
      <c r="E309" s="29" t="s">
        <v>128</v>
      </c>
      <c r="F309" s="30">
        <v>363.1</v>
      </c>
      <c r="G309" s="31">
        <v>334.05</v>
      </c>
    </row>
    <row r="310" spans="1:7" ht="14.4" x14ac:dyDescent="0.25">
      <c r="A310" s="24">
        <v>41658</v>
      </c>
      <c r="B310" s="25" t="s">
        <v>42</v>
      </c>
      <c r="C310" s="9" t="s">
        <v>69</v>
      </c>
      <c r="D310" s="25" t="s">
        <v>122</v>
      </c>
      <c r="E310" s="25" t="s">
        <v>129</v>
      </c>
      <c r="F310" s="26">
        <v>270.56</v>
      </c>
      <c r="G310" s="27">
        <v>281.38</v>
      </c>
    </row>
    <row r="311" spans="1:7" ht="14.4" x14ac:dyDescent="0.25">
      <c r="A311" s="28">
        <v>41658</v>
      </c>
      <c r="B311" s="29" t="s">
        <v>35</v>
      </c>
      <c r="C311" s="14" t="s">
        <v>97</v>
      </c>
      <c r="D311" s="29" t="s">
        <v>121</v>
      </c>
      <c r="E311" s="29" t="s">
        <v>129</v>
      </c>
      <c r="F311" s="30">
        <v>84.09</v>
      </c>
      <c r="G311" s="31">
        <v>86.61</v>
      </c>
    </row>
    <row r="312" spans="1:7" ht="14.4" x14ac:dyDescent="0.25">
      <c r="A312" s="24">
        <v>41658</v>
      </c>
      <c r="B312" s="25" t="s">
        <v>51</v>
      </c>
      <c r="C312" s="9" t="s">
        <v>86</v>
      </c>
      <c r="D312" s="25" t="s">
        <v>122</v>
      </c>
      <c r="E312" s="25" t="s">
        <v>129</v>
      </c>
      <c r="F312" s="26">
        <v>114.71</v>
      </c>
      <c r="G312" s="27">
        <v>117</v>
      </c>
    </row>
    <row r="313" spans="1:7" ht="14.4" x14ac:dyDescent="0.25">
      <c r="A313" s="28">
        <v>41659</v>
      </c>
      <c r="B313" s="29" t="s">
        <v>22</v>
      </c>
      <c r="C313" s="14" t="s">
        <v>77</v>
      </c>
      <c r="D313" s="29" t="s">
        <v>119</v>
      </c>
      <c r="E313" s="29" t="s">
        <v>130</v>
      </c>
      <c r="F313" s="30">
        <v>115</v>
      </c>
      <c r="G313" s="31">
        <v>113.85</v>
      </c>
    </row>
    <row r="314" spans="1:7" ht="14.4" x14ac:dyDescent="0.25">
      <c r="A314" s="24">
        <v>41660</v>
      </c>
      <c r="B314" s="25" t="s">
        <v>41</v>
      </c>
      <c r="C314" s="9" t="s">
        <v>68</v>
      </c>
      <c r="D314" s="25" t="s">
        <v>122</v>
      </c>
      <c r="E314" s="25" t="s">
        <v>129</v>
      </c>
      <c r="F314" s="26">
        <v>102.1</v>
      </c>
      <c r="G314" s="27">
        <v>107.21</v>
      </c>
    </row>
    <row r="315" spans="1:7" ht="14.4" x14ac:dyDescent="0.25">
      <c r="A315" s="28">
        <v>41660</v>
      </c>
      <c r="B315" s="29" t="s">
        <v>14</v>
      </c>
      <c r="C315" s="14" t="s">
        <v>83</v>
      </c>
      <c r="D315" s="29" t="s">
        <v>118</v>
      </c>
      <c r="E315" s="29" t="s">
        <v>129</v>
      </c>
      <c r="F315" s="30">
        <v>575.53</v>
      </c>
      <c r="G315" s="31">
        <v>575.53</v>
      </c>
    </row>
    <row r="316" spans="1:7" ht="14.4" x14ac:dyDescent="0.25">
      <c r="A316" s="24">
        <v>41661</v>
      </c>
      <c r="B316" s="25" t="s">
        <v>27</v>
      </c>
      <c r="C316" s="9" t="s">
        <v>110</v>
      </c>
      <c r="D316" s="25" t="s">
        <v>120</v>
      </c>
      <c r="E316" s="25" t="s">
        <v>130</v>
      </c>
      <c r="F316" s="26">
        <v>120.75</v>
      </c>
      <c r="G316" s="27">
        <v>119.54</v>
      </c>
    </row>
    <row r="317" spans="1:7" ht="14.4" x14ac:dyDescent="0.25">
      <c r="A317" s="28">
        <v>41661</v>
      </c>
      <c r="B317" s="29" t="s">
        <v>36</v>
      </c>
      <c r="C317" s="14" t="s">
        <v>59</v>
      </c>
      <c r="D317" s="29" t="s">
        <v>121</v>
      </c>
      <c r="E317" s="29" t="s">
        <v>129</v>
      </c>
      <c r="F317" s="30">
        <v>959.33</v>
      </c>
      <c r="G317" s="31">
        <v>1007.3000000000001</v>
      </c>
    </row>
    <row r="318" spans="1:7" ht="14.4" x14ac:dyDescent="0.25">
      <c r="A318" s="24">
        <v>41661</v>
      </c>
      <c r="B318" s="25" t="s">
        <v>16</v>
      </c>
      <c r="C318" s="9" t="s">
        <v>61</v>
      </c>
      <c r="D318" s="25" t="s">
        <v>118</v>
      </c>
      <c r="E318" s="25" t="s">
        <v>130</v>
      </c>
      <c r="F318" s="26">
        <v>337.98</v>
      </c>
      <c r="G318" s="27">
        <v>324.46000000000004</v>
      </c>
    </row>
    <row r="319" spans="1:7" ht="14.4" x14ac:dyDescent="0.25">
      <c r="A319" s="28">
        <v>41662</v>
      </c>
      <c r="B319" s="29" t="s">
        <v>33</v>
      </c>
      <c r="C319" s="14" t="s">
        <v>115</v>
      </c>
      <c r="D319" s="29" t="s">
        <v>121</v>
      </c>
      <c r="E319" s="29" t="s">
        <v>128</v>
      </c>
      <c r="F319" s="30">
        <v>498.16</v>
      </c>
      <c r="G319" s="31">
        <v>463.29</v>
      </c>
    </row>
    <row r="320" spans="1:7" ht="14.4" x14ac:dyDescent="0.25">
      <c r="A320" s="24">
        <v>41662</v>
      </c>
      <c r="B320" s="25" t="s">
        <v>48</v>
      </c>
      <c r="C320" s="9" t="s">
        <v>71</v>
      </c>
      <c r="D320" s="25" t="s">
        <v>122</v>
      </c>
      <c r="E320" s="25" t="s">
        <v>128</v>
      </c>
      <c r="F320" s="26">
        <v>213.25</v>
      </c>
      <c r="G320" s="27">
        <v>228.18</v>
      </c>
    </row>
    <row r="321" spans="1:7" ht="14.4" x14ac:dyDescent="0.25">
      <c r="A321" s="28">
        <v>41662</v>
      </c>
      <c r="B321" s="29" t="s">
        <v>10</v>
      </c>
      <c r="C321" s="14" t="s">
        <v>93</v>
      </c>
      <c r="D321" s="29" t="s">
        <v>118</v>
      </c>
      <c r="E321" s="29" t="s">
        <v>130</v>
      </c>
      <c r="F321" s="30">
        <v>165.84</v>
      </c>
      <c r="G321" s="31">
        <v>167.5</v>
      </c>
    </row>
    <row r="322" spans="1:7" ht="14.4" x14ac:dyDescent="0.25">
      <c r="A322" s="24">
        <v>41663</v>
      </c>
      <c r="B322" s="25" t="s">
        <v>36</v>
      </c>
      <c r="C322" s="9" t="s">
        <v>57</v>
      </c>
      <c r="D322" s="25" t="s">
        <v>121</v>
      </c>
      <c r="E322" s="25" t="s">
        <v>129</v>
      </c>
      <c r="F322" s="26">
        <v>402.33</v>
      </c>
      <c r="G322" s="27">
        <v>362.09999999999997</v>
      </c>
    </row>
    <row r="323" spans="1:7" ht="14.4" x14ac:dyDescent="0.25">
      <c r="A323" s="28">
        <v>41663</v>
      </c>
      <c r="B323" s="29" t="s">
        <v>12</v>
      </c>
      <c r="C323" s="14" t="s">
        <v>89</v>
      </c>
      <c r="D323" s="29" t="s">
        <v>118</v>
      </c>
      <c r="E323" s="29" t="s">
        <v>128</v>
      </c>
      <c r="F323" s="30">
        <v>771.7</v>
      </c>
      <c r="G323" s="31">
        <v>740.83</v>
      </c>
    </row>
    <row r="324" spans="1:7" ht="14.4" x14ac:dyDescent="0.25">
      <c r="A324" s="24">
        <v>41664</v>
      </c>
      <c r="B324" s="25" t="s">
        <v>11</v>
      </c>
      <c r="C324" s="9" t="s">
        <v>91</v>
      </c>
      <c r="D324" s="25" t="s">
        <v>118</v>
      </c>
      <c r="E324" s="25" t="s">
        <v>129</v>
      </c>
      <c r="F324" s="26">
        <v>328.62</v>
      </c>
      <c r="G324" s="27">
        <v>295.76</v>
      </c>
    </row>
    <row r="325" spans="1:7" ht="14.4" x14ac:dyDescent="0.25">
      <c r="A325" s="28">
        <v>41665</v>
      </c>
      <c r="B325" s="29" t="s">
        <v>18</v>
      </c>
      <c r="C325" s="14" t="s">
        <v>63</v>
      </c>
      <c r="D325" s="29" t="s">
        <v>119</v>
      </c>
      <c r="E325" s="29" t="s">
        <v>129</v>
      </c>
      <c r="F325" s="30">
        <v>18.45</v>
      </c>
      <c r="G325" s="31">
        <v>18.82</v>
      </c>
    </row>
    <row r="326" spans="1:7" ht="14.4" x14ac:dyDescent="0.25">
      <c r="A326" s="24">
        <v>41666</v>
      </c>
      <c r="B326" s="25" t="s">
        <v>22</v>
      </c>
      <c r="C326" s="9" t="s">
        <v>76</v>
      </c>
      <c r="D326" s="25" t="s">
        <v>119</v>
      </c>
      <c r="E326" s="25" t="s">
        <v>128</v>
      </c>
      <c r="F326" s="26">
        <v>750.42</v>
      </c>
      <c r="G326" s="27">
        <v>750.42</v>
      </c>
    </row>
    <row r="327" spans="1:7" ht="14.4" x14ac:dyDescent="0.25">
      <c r="A327" s="28">
        <v>41666</v>
      </c>
      <c r="B327" s="29" t="s">
        <v>43</v>
      </c>
      <c r="C327" s="14" t="s">
        <v>106</v>
      </c>
      <c r="D327" s="29" t="s">
        <v>122</v>
      </c>
      <c r="E327" s="29" t="s">
        <v>130</v>
      </c>
      <c r="F327" s="30">
        <v>311.31</v>
      </c>
      <c r="G327" s="31">
        <v>311.31</v>
      </c>
    </row>
    <row r="328" spans="1:7" ht="14.4" x14ac:dyDescent="0.25">
      <c r="A328" s="24">
        <v>41667</v>
      </c>
      <c r="B328" s="25" t="s">
        <v>46</v>
      </c>
      <c r="C328" s="9" t="s">
        <v>100</v>
      </c>
      <c r="D328" s="25" t="s">
        <v>122</v>
      </c>
      <c r="E328" s="25" t="s">
        <v>128</v>
      </c>
      <c r="F328" s="26">
        <v>702.51</v>
      </c>
      <c r="G328" s="27">
        <v>681.43</v>
      </c>
    </row>
    <row r="329" spans="1:7" ht="14.4" x14ac:dyDescent="0.25">
      <c r="A329" s="28">
        <v>41667</v>
      </c>
      <c r="B329" s="29" t="s">
        <v>48</v>
      </c>
      <c r="C329" s="14" t="s">
        <v>55</v>
      </c>
      <c r="D329" s="29" t="s">
        <v>122</v>
      </c>
      <c r="E329" s="29" t="s">
        <v>129</v>
      </c>
      <c r="F329" s="30">
        <v>7.23</v>
      </c>
      <c r="G329" s="31">
        <v>6.5100000000000007</v>
      </c>
    </row>
    <row r="330" spans="1:7" ht="14.4" x14ac:dyDescent="0.25">
      <c r="A330" s="24">
        <v>41667</v>
      </c>
      <c r="B330" s="25" t="s">
        <v>32</v>
      </c>
      <c r="C330" s="9" t="s">
        <v>126</v>
      </c>
      <c r="D330" s="25" t="s">
        <v>120</v>
      </c>
      <c r="E330" s="25" t="s">
        <v>129</v>
      </c>
      <c r="F330" s="26">
        <v>623.24</v>
      </c>
      <c r="G330" s="27">
        <v>666.87</v>
      </c>
    </row>
    <row r="331" spans="1:7" ht="14.4" x14ac:dyDescent="0.25">
      <c r="A331" s="28">
        <v>41674</v>
      </c>
      <c r="B331" s="29" t="s">
        <v>39</v>
      </c>
      <c r="C331" s="14" t="s">
        <v>75</v>
      </c>
      <c r="D331" s="29" t="s">
        <v>122</v>
      </c>
      <c r="E331" s="29" t="s">
        <v>128</v>
      </c>
      <c r="F331" s="30">
        <v>960.39</v>
      </c>
      <c r="G331" s="31">
        <v>1037.22</v>
      </c>
    </row>
    <row r="332" spans="1:7" ht="14.4" x14ac:dyDescent="0.25">
      <c r="A332" s="24">
        <v>41674</v>
      </c>
      <c r="B332" s="25" t="s">
        <v>21</v>
      </c>
      <c r="C332" s="9" t="s">
        <v>79</v>
      </c>
      <c r="D332" s="25" t="s">
        <v>119</v>
      </c>
      <c r="E332" s="25" t="s">
        <v>129</v>
      </c>
      <c r="F332" s="26">
        <v>277.93</v>
      </c>
      <c r="G332" s="27">
        <v>269.59000000000003</v>
      </c>
    </row>
    <row r="333" spans="1:7" ht="14.4" x14ac:dyDescent="0.25">
      <c r="A333" s="28">
        <v>41677</v>
      </c>
      <c r="B333" s="29" t="s">
        <v>38</v>
      </c>
      <c r="C333" s="14" t="s">
        <v>62</v>
      </c>
      <c r="D333" s="29" t="s">
        <v>122</v>
      </c>
      <c r="E333" s="29" t="s">
        <v>129</v>
      </c>
      <c r="F333" s="30">
        <v>435.4</v>
      </c>
      <c r="G333" s="31">
        <v>396.21</v>
      </c>
    </row>
    <row r="334" spans="1:7" ht="14.4" x14ac:dyDescent="0.25">
      <c r="A334" s="24">
        <v>41678</v>
      </c>
      <c r="B334" s="25" t="s">
        <v>48</v>
      </c>
      <c r="C334" s="9" t="s">
        <v>55</v>
      </c>
      <c r="D334" s="25" t="s">
        <v>122</v>
      </c>
      <c r="E334" s="25" t="s">
        <v>129</v>
      </c>
      <c r="F334" s="26">
        <v>732.29</v>
      </c>
      <c r="G334" s="27">
        <v>666.38</v>
      </c>
    </row>
    <row r="335" spans="1:7" ht="14.4" x14ac:dyDescent="0.25">
      <c r="A335" s="28">
        <v>41678</v>
      </c>
      <c r="B335" s="29" t="s">
        <v>14</v>
      </c>
      <c r="C335" s="14" t="s">
        <v>83</v>
      </c>
      <c r="D335" s="29" t="s">
        <v>118</v>
      </c>
      <c r="E335" s="29" t="s">
        <v>129</v>
      </c>
      <c r="F335" s="30">
        <v>1.1400000000000001</v>
      </c>
      <c r="G335" s="31">
        <v>1.08</v>
      </c>
    </row>
    <row r="336" spans="1:7" ht="14.4" x14ac:dyDescent="0.25">
      <c r="A336" s="24">
        <v>41679</v>
      </c>
      <c r="B336" s="25" t="s">
        <v>18</v>
      </c>
      <c r="C336" s="9" t="s">
        <v>63</v>
      </c>
      <c r="D336" s="25" t="s">
        <v>119</v>
      </c>
      <c r="E336" s="25" t="s">
        <v>130</v>
      </c>
      <c r="F336" s="26">
        <v>213.92</v>
      </c>
      <c r="G336" s="27">
        <v>218.2</v>
      </c>
    </row>
    <row r="337" spans="1:7" ht="14.4" x14ac:dyDescent="0.25">
      <c r="A337" s="28">
        <v>41679</v>
      </c>
      <c r="B337" s="29" t="s">
        <v>6</v>
      </c>
      <c r="C337" s="14" t="s">
        <v>80</v>
      </c>
      <c r="D337" s="29" t="s">
        <v>118</v>
      </c>
      <c r="E337" s="29" t="s">
        <v>129</v>
      </c>
      <c r="F337" s="30">
        <v>531.53</v>
      </c>
      <c r="G337" s="31">
        <v>478.38</v>
      </c>
    </row>
    <row r="338" spans="1:7" ht="14.4" x14ac:dyDescent="0.25">
      <c r="A338" s="24">
        <v>41682</v>
      </c>
      <c r="B338" s="25" t="s">
        <v>31</v>
      </c>
      <c r="C338" s="9" t="s">
        <v>85</v>
      </c>
      <c r="D338" s="25" t="s">
        <v>120</v>
      </c>
      <c r="E338" s="25" t="s">
        <v>128</v>
      </c>
      <c r="F338" s="26">
        <v>423.89</v>
      </c>
      <c r="G338" s="27">
        <v>385.74</v>
      </c>
    </row>
    <row r="339" spans="1:7" ht="14.4" x14ac:dyDescent="0.25">
      <c r="A339" s="28">
        <v>41683</v>
      </c>
      <c r="B339" s="29" t="s">
        <v>4</v>
      </c>
      <c r="C339" s="14" t="s">
        <v>70</v>
      </c>
      <c r="D339" s="29" t="s">
        <v>118</v>
      </c>
      <c r="E339" s="29" t="s">
        <v>128</v>
      </c>
      <c r="F339" s="30">
        <v>391.21</v>
      </c>
      <c r="G339" s="31">
        <v>414.67999999999995</v>
      </c>
    </row>
    <row r="340" spans="1:7" ht="14.4" x14ac:dyDescent="0.25">
      <c r="A340" s="24">
        <v>41691</v>
      </c>
      <c r="B340" s="25" t="s">
        <v>18</v>
      </c>
      <c r="C340" s="9" t="s">
        <v>64</v>
      </c>
      <c r="D340" s="25" t="s">
        <v>119</v>
      </c>
      <c r="E340" s="25" t="s">
        <v>129</v>
      </c>
      <c r="F340" s="26">
        <v>168.89</v>
      </c>
      <c r="G340" s="27">
        <v>172.26999999999998</v>
      </c>
    </row>
    <row r="341" spans="1:7" ht="14.4" x14ac:dyDescent="0.25">
      <c r="A341" s="28">
        <v>41692</v>
      </c>
      <c r="B341" s="29" t="s">
        <v>2</v>
      </c>
      <c r="C341" s="14" t="s">
        <v>108</v>
      </c>
      <c r="D341" s="29" t="s">
        <v>118</v>
      </c>
      <c r="E341" s="29" t="s">
        <v>129</v>
      </c>
      <c r="F341" s="30">
        <v>150.97</v>
      </c>
      <c r="G341" s="31">
        <v>157.01</v>
      </c>
    </row>
    <row r="342" spans="1:7" ht="14.4" x14ac:dyDescent="0.25">
      <c r="A342" s="24">
        <v>41693</v>
      </c>
      <c r="B342" s="25" t="s">
        <v>30</v>
      </c>
      <c r="C342" s="9" t="s">
        <v>88</v>
      </c>
      <c r="D342" s="25" t="s">
        <v>120</v>
      </c>
      <c r="E342" s="25" t="s">
        <v>129</v>
      </c>
      <c r="F342" s="26">
        <v>838.72</v>
      </c>
      <c r="G342" s="27">
        <v>788.4</v>
      </c>
    </row>
    <row r="343" spans="1:7" ht="14.4" x14ac:dyDescent="0.25">
      <c r="A343" s="28">
        <v>41694</v>
      </c>
      <c r="B343" s="29" t="s">
        <v>41</v>
      </c>
      <c r="C343" s="14" t="s">
        <v>67</v>
      </c>
      <c r="D343" s="29" t="s">
        <v>122</v>
      </c>
      <c r="E343" s="29" t="s">
        <v>128</v>
      </c>
      <c r="F343" s="30">
        <v>539.14</v>
      </c>
      <c r="G343" s="31">
        <v>566.1</v>
      </c>
    </row>
    <row r="344" spans="1:7" ht="14.4" x14ac:dyDescent="0.25">
      <c r="A344" s="24">
        <v>41699</v>
      </c>
      <c r="B344" s="25" t="s">
        <v>50</v>
      </c>
      <c r="C344" s="9" t="s">
        <v>92</v>
      </c>
      <c r="D344" s="25" t="s">
        <v>122</v>
      </c>
      <c r="E344" s="25" t="s">
        <v>129</v>
      </c>
      <c r="F344" s="26">
        <v>651.64</v>
      </c>
      <c r="G344" s="27">
        <v>592.99</v>
      </c>
    </row>
    <row r="345" spans="1:7" ht="14.4" x14ac:dyDescent="0.25">
      <c r="A345" s="28">
        <v>41699</v>
      </c>
      <c r="B345" s="29" t="s">
        <v>36</v>
      </c>
      <c r="C345" s="14" t="s">
        <v>58</v>
      </c>
      <c r="D345" s="29" t="s">
        <v>121</v>
      </c>
      <c r="E345" s="29" t="s">
        <v>129</v>
      </c>
      <c r="F345" s="30">
        <v>767.05</v>
      </c>
      <c r="G345" s="31">
        <v>721.03</v>
      </c>
    </row>
    <row r="346" spans="1:7" ht="14.4" x14ac:dyDescent="0.25">
      <c r="A346" s="24">
        <v>41703</v>
      </c>
      <c r="B346" s="25" t="s">
        <v>36</v>
      </c>
      <c r="C346" s="9" t="s">
        <v>59</v>
      </c>
      <c r="D346" s="25" t="s">
        <v>121</v>
      </c>
      <c r="E346" s="25" t="s">
        <v>129</v>
      </c>
      <c r="F346" s="26">
        <v>294.77</v>
      </c>
      <c r="G346" s="27">
        <v>282.97999999999996</v>
      </c>
    </row>
    <row r="347" spans="1:7" ht="14.4" x14ac:dyDescent="0.25">
      <c r="A347" s="28">
        <v>41704</v>
      </c>
      <c r="B347" s="29" t="s">
        <v>26</v>
      </c>
      <c r="C347" s="14" t="s">
        <v>117</v>
      </c>
      <c r="D347" s="29" t="s">
        <v>120</v>
      </c>
      <c r="E347" s="29" t="s">
        <v>129</v>
      </c>
      <c r="F347" s="30">
        <v>49.05</v>
      </c>
      <c r="G347" s="31">
        <v>51.989999999999995</v>
      </c>
    </row>
    <row r="348" spans="1:7" ht="14.4" x14ac:dyDescent="0.25">
      <c r="A348" s="24">
        <v>41704</v>
      </c>
      <c r="B348" s="25" t="s">
        <v>33</v>
      </c>
      <c r="C348" s="9" t="s">
        <v>115</v>
      </c>
      <c r="D348" s="25" t="s">
        <v>121</v>
      </c>
      <c r="E348" s="25" t="s">
        <v>128</v>
      </c>
      <c r="F348" s="26">
        <v>885.21</v>
      </c>
      <c r="G348" s="27">
        <v>849.80000000000007</v>
      </c>
    </row>
    <row r="349" spans="1:7" ht="14.4" x14ac:dyDescent="0.25">
      <c r="A349" s="28">
        <v>41705</v>
      </c>
      <c r="B349" s="29" t="s">
        <v>46</v>
      </c>
      <c r="C349" s="14" t="s">
        <v>100</v>
      </c>
      <c r="D349" s="29" t="s">
        <v>122</v>
      </c>
      <c r="E349" s="29" t="s">
        <v>129</v>
      </c>
      <c r="F349" s="30">
        <v>320.12</v>
      </c>
      <c r="G349" s="31">
        <v>323.32</v>
      </c>
    </row>
    <row r="350" spans="1:7" ht="14.4" x14ac:dyDescent="0.25">
      <c r="A350" s="24">
        <v>41706</v>
      </c>
      <c r="B350" s="25" t="s">
        <v>42</v>
      </c>
      <c r="C350" s="9" t="s">
        <v>69</v>
      </c>
      <c r="D350" s="25" t="s">
        <v>122</v>
      </c>
      <c r="E350" s="25" t="s">
        <v>129</v>
      </c>
      <c r="F350" s="26">
        <v>412.85</v>
      </c>
      <c r="G350" s="27">
        <v>441.75</v>
      </c>
    </row>
    <row r="351" spans="1:7" ht="14.4" x14ac:dyDescent="0.25">
      <c r="A351" s="28">
        <v>41708</v>
      </c>
      <c r="B351" s="29" t="s">
        <v>1</v>
      </c>
      <c r="C351" s="14" t="s">
        <v>1</v>
      </c>
      <c r="D351" s="29" t="s">
        <v>118</v>
      </c>
      <c r="E351" s="29" t="s">
        <v>128</v>
      </c>
      <c r="F351" s="30">
        <v>369.62</v>
      </c>
      <c r="G351" s="31">
        <v>377.01</v>
      </c>
    </row>
    <row r="352" spans="1:7" ht="14.4" x14ac:dyDescent="0.25">
      <c r="A352" s="24">
        <v>41708</v>
      </c>
      <c r="B352" s="25" t="s">
        <v>10</v>
      </c>
      <c r="C352" s="9" t="s">
        <v>93</v>
      </c>
      <c r="D352" s="25" t="s">
        <v>118</v>
      </c>
      <c r="E352" s="25" t="s">
        <v>129</v>
      </c>
      <c r="F352" s="26">
        <v>654.76</v>
      </c>
      <c r="G352" s="27">
        <v>648.21</v>
      </c>
    </row>
    <row r="353" spans="1:7" ht="14.4" x14ac:dyDescent="0.25">
      <c r="A353" s="28">
        <v>41710</v>
      </c>
      <c r="B353" s="29" t="s">
        <v>20</v>
      </c>
      <c r="C353" s="14" t="s">
        <v>112</v>
      </c>
      <c r="D353" s="29" t="s">
        <v>119</v>
      </c>
      <c r="E353" s="29" t="s">
        <v>130</v>
      </c>
      <c r="F353" s="30">
        <v>208.32</v>
      </c>
      <c r="G353" s="31">
        <v>204.15</v>
      </c>
    </row>
    <row r="354" spans="1:7" ht="14.4" x14ac:dyDescent="0.25">
      <c r="A354" s="24">
        <v>41713</v>
      </c>
      <c r="B354" s="25" t="s">
        <v>51</v>
      </c>
      <c r="C354" s="9" t="s">
        <v>86</v>
      </c>
      <c r="D354" s="25" t="s">
        <v>122</v>
      </c>
      <c r="E354" s="25" t="s">
        <v>128</v>
      </c>
      <c r="F354" s="26">
        <v>283.56</v>
      </c>
      <c r="G354" s="27">
        <v>260.88</v>
      </c>
    </row>
    <row r="355" spans="1:7" ht="14.4" x14ac:dyDescent="0.25">
      <c r="A355" s="28">
        <v>41716</v>
      </c>
      <c r="B355" s="29" t="s">
        <v>37</v>
      </c>
      <c r="C355" s="14" t="s">
        <v>87</v>
      </c>
      <c r="D355" s="29" t="s">
        <v>121</v>
      </c>
      <c r="E355" s="29" t="s">
        <v>130</v>
      </c>
      <c r="F355" s="30">
        <v>457.57</v>
      </c>
      <c r="G355" s="31">
        <v>416.39</v>
      </c>
    </row>
    <row r="356" spans="1:7" ht="14.4" x14ac:dyDescent="0.25">
      <c r="A356" s="24">
        <v>41717</v>
      </c>
      <c r="B356" s="25" t="s">
        <v>48</v>
      </c>
      <c r="C356" s="9" t="s">
        <v>56</v>
      </c>
      <c r="D356" s="25" t="s">
        <v>122</v>
      </c>
      <c r="E356" s="25" t="s">
        <v>130</v>
      </c>
      <c r="F356" s="26">
        <v>90.67</v>
      </c>
      <c r="G356" s="27">
        <v>88.86</v>
      </c>
    </row>
    <row r="357" spans="1:7" ht="14.4" x14ac:dyDescent="0.25">
      <c r="A357" s="28">
        <v>41717</v>
      </c>
      <c r="B357" s="29" t="s">
        <v>9</v>
      </c>
      <c r="C357" s="14" t="s">
        <v>95</v>
      </c>
      <c r="D357" s="29" t="s">
        <v>118</v>
      </c>
      <c r="E357" s="29" t="s">
        <v>128</v>
      </c>
      <c r="F357" s="30">
        <v>648.37</v>
      </c>
      <c r="G357" s="31">
        <v>648.37</v>
      </c>
    </row>
    <row r="358" spans="1:7" ht="14.4" x14ac:dyDescent="0.25">
      <c r="A358" s="24">
        <v>41717</v>
      </c>
      <c r="B358" s="25" t="s">
        <v>49</v>
      </c>
      <c r="C358" s="9" t="s">
        <v>72</v>
      </c>
      <c r="D358" s="25" t="s">
        <v>122</v>
      </c>
      <c r="E358" s="25" t="s">
        <v>129</v>
      </c>
      <c r="F358" s="26">
        <v>494.93</v>
      </c>
      <c r="G358" s="27">
        <v>529.58000000000004</v>
      </c>
    </row>
    <row r="359" spans="1:7" ht="14.4" x14ac:dyDescent="0.25">
      <c r="A359" s="28">
        <v>41718</v>
      </c>
      <c r="B359" s="29" t="s">
        <v>36</v>
      </c>
      <c r="C359" s="14" t="s">
        <v>90</v>
      </c>
      <c r="D359" s="29" t="s">
        <v>121</v>
      </c>
      <c r="E359" s="29" t="s">
        <v>128</v>
      </c>
      <c r="F359" s="30">
        <v>446.16</v>
      </c>
      <c r="G359" s="31">
        <v>401.54</v>
      </c>
    </row>
    <row r="360" spans="1:7" ht="14.4" x14ac:dyDescent="0.25">
      <c r="A360" s="24">
        <v>41725</v>
      </c>
      <c r="B360" s="25" t="s">
        <v>43</v>
      </c>
      <c r="C360" s="9" t="s">
        <v>106</v>
      </c>
      <c r="D360" s="25" t="s">
        <v>122</v>
      </c>
      <c r="E360" s="25" t="s">
        <v>130</v>
      </c>
      <c r="F360" s="26">
        <v>579.46</v>
      </c>
      <c r="G360" s="27">
        <v>573.67000000000007</v>
      </c>
    </row>
    <row r="361" spans="1:7" ht="14.4" x14ac:dyDescent="0.25">
      <c r="A361" s="28">
        <v>41731</v>
      </c>
      <c r="B361" s="29" t="s">
        <v>34</v>
      </c>
      <c r="C361" s="14" t="s">
        <v>105</v>
      </c>
      <c r="D361" s="29" t="s">
        <v>121</v>
      </c>
      <c r="E361" s="29" t="s">
        <v>130</v>
      </c>
      <c r="F361" s="30">
        <v>635.88</v>
      </c>
      <c r="G361" s="31">
        <v>686.75</v>
      </c>
    </row>
    <row r="362" spans="1:7" ht="14.4" x14ac:dyDescent="0.25">
      <c r="A362" s="24">
        <v>41735</v>
      </c>
      <c r="B362" s="25" t="s">
        <v>15</v>
      </c>
      <c r="C362" s="9" t="s">
        <v>60</v>
      </c>
      <c r="D362" s="25" t="s">
        <v>118</v>
      </c>
      <c r="E362" s="25" t="s">
        <v>128</v>
      </c>
      <c r="F362" s="26">
        <v>339.73</v>
      </c>
      <c r="G362" s="27">
        <v>329.54</v>
      </c>
    </row>
    <row r="363" spans="1:7" ht="14.4" x14ac:dyDescent="0.25">
      <c r="A363" s="28">
        <v>41737</v>
      </c>
      <c r="B363" s="29" t="s">
        <v>11</v>
      </c>
      <c r="C363" s="14" t="s">
        <v>91</v>
      </c>
      <c r="D363" s="29" t="s">
        <v>118</v>
      </c>
      <c r="E363" s="29" t="s">
        <v>128</v>
      </c>
      <c r="F363" s="30">
        <v>29.2</v>
      </c>
      <c r="G363" s="31">
        <v>26.57</v>
      </c>
    </row>
    <row r="364" spans="1:7" ht="14.4" x14ac:dyDescent="0.25">
      <c r="A364" s="24">
        <v>41738</v>
      </c>
      <c r="B364" s="25" t="s">
        <v>13</v>
      </c>
      <c r="C364" s="9" t="s">
        <v>73</v>
      </c>
      <c r="D364" s="25" t="s">
        <v>118</v>
      </c>
      <c r="E364" s="25" t="s">
        <v>129</v>
      </c>
      <c r="F364" s="26">
        <v>239.4</v>
      </c>
      <c r="G364" s="27">
        <v>248.98000000000002</v>
      </c>
    </row>
    <row r="365" spans="1:7" ht="14.4" x14ac:dyDescent="0.25">
      <c r="A365" s="28">
        <v>41739</v>
      </c>
      <c r="B365" s="29" t="s">
        <v>24</v>
      </c>
      <c r="C365" s="14" t="s">
        <v>107</v>
      </c>
      <c r="D365" s="29" t="s">
        <v>119</v>
      </c>
      <c r="E365" s="29" t="s">
        <v>128</v>
      </c>
      <c r="F365" s="30">
        <v>183</v>
      </c>
      <c r="G365" s="31">
        <v>166.53</v>
      </c>
    </row>
    <row r="366" spans="1:7" ht="14.4" x14ac:dyDescent="0.25">
      <c r="A366" s="24">
        <v>41740</v>
      </c>
      <c r="B366" s="25" t="s">
        <v>19</v>
      </c>
      <c r="C366" s="9" t="s">
        <v>113</v>
      </c>
      <c r="D366" s="25" t="s">
        <v>119</v>
      </c>
      <c r="E366" s="25" t="s">
        <v>128</v>
      </c>
      <c r="F366" s="26">
        <v>995.01</v>
      </c>
      <c r="G366" s="27">
        <v>1054.71</v>
      </c>
    </row>
    <row r="367" spans="1:7" ht="14.4" x14ac:dyDescent="0.25">
      <c r="A367" s="28">
        <v>41741</v>
      </c>
      <c r="B367" s="29" t="s">
        <v>22</v>
      </c>
      <c r="C367" s="14" t="s">
        <v>77</v>
      </c>
      <c r="D367" s="29" t="s">
        <v>119</v>
      </c>
      <c r="E367" s="29" t="s">
        <v>128</v>
      </c>
      <c r="F367" s="30">
        <v>34.82</v>
      </c>
      <c r="G367" s="31">
        <v>31.69</v>
      </c>
    </row>
    <row r="368" spans="1:7" ht="14.4" x14ac:dyDescent="0.25">
      <c r="A368" s="24">
        <v>41745</v>
      </c>
      <c r="B368" s="25" t="s">
        <v>40</v>
      </c>
      <c r="C368" s="9" t="s">
        <v>111</v>
      </c>
      <c r="D368" s="25" t="s">
        <v>122</v>
      </c>
      <c r="E368" s="25" t="s">
        <v>128</v>
      </c>
      <c r="F368" s="26">
        <v>362.31</v>
      </c>
      <c r="G368" s="27">
        <v>336.95</v>
      </c>
    </row>
    <row r="369" spans="1:7" ht="14.4" x14ac:dyDescent="0.25">
      <c r="A369" s="28">
        <v>41746</v>
      </c>
      <c r="B369" s="29" t="s">
        <v>30</v>
      </c>
      <c r="C369" s="14" t="s">
        <v>88</v>
      </c>
      <c r="D369" s="29" t="s">
        <v>120</v>
      </c>
      <c r="E369" s="29" t="s">
        <v>130</v>
      </c>
      <c r="F369" s="30">
        <v>388.33</v>
      </c>
      <c r="G369" s="31">
        <v>380.56</v>
      </c>
    </row>
    <row r="370" spans="1:7" ht="14.4" x14ac:dyDescent="0.25">
      <c r="A370" s="24">
        <v>41748</v>
      </c>
      <c r="B370" s="25" t="s">
        <v>27</v>
      </c>
      <c r="C370" s="9" t="s">
        <v>110</v>
      </c>
      <c r="D370" s="25" t="s">
        <v>120</v>
      </c>
      <c r="E370" s="25" t="s">
        <v>128</v>
      </c>
      <c r="F370" s="26">
        <v>371.52</v>
      </c>
      <c r="G370" s="27">
        <v>390.09999999999997</v>
      </c>
    </row>
    <row r="371" spans="1:7" ht="14.4" x14ac:dyDescent="0.25">
      <c r="A371" s="28">
        <v>41748</v>
      </c>
      <c r="B371" s="29" t="s">
        <v>23</v>
      </c>
      <c r="C371" s="14" t="s">
        <v>109</v>
      </c>
      <c r="D371" s="29" t="s">
        <v>119</v>
      </c>
      <c r="E371" s="29" t="s">
        <v>130</v>
      </c>
      <c r="F371" s="30">
        <v>301.10000000000002</v>
      </c>
      <c r="G371" s="31">
        <v>292.07000000000005</v>
      </c>
    </row>
    <row r="372" spans="1:7" ht="14.4" x14ac:dyDescent="0.25">
      <c r="A372" s="24">
        <v>41748</v>
      </c>
      <c r="B372" s="25" t="s">
        <v>48</v>
      </c>
      <c r="C372" s="9" t="s">
        <v>82</v>
      </c>
      <c r="D372" s="25" t="s">
        <v>122</v>
      </c>
      <c r="E372" s="25" t="s">
        <v>130</v>
      </c>
      <c r="F372" s="26">
        <v>819.48</v>
      </c>
      <c r="G372" s="27">
        <v>835.87</v>
      </c>
    </row>
    <row r="373" spans="1:7" ht="14.4" x14ac:dyDescent="0.25">
      <c r="A373" s="28">
        <v>41753</v>
      </c>
      <c r="B373" s="29" t="s">
        <v>22</v>
      </c>
      <c r="C373" s="14" t="s">
        <v>78</v>
      </c>
      <c r="D373" s="29" t="s">
        <v>119</v>
      </c>
      <c r="E373" s="29" t="s">
        <v>129</v>
      </c>
      <c r="F373" s="30">
        <v>736.06</v>
      </c>
      <c r="G373" s="31">
        <v>691.9</v>
      </c>
    </row>
    <row r="374" spans="1:7" ht="14.4" x14ac:dyDescent="0.25">
      <c r="A374" s="24">
        <v>41754</v>
      </c>
      <c r="B374" s="25" t="s">
        <v>32</v>
      </c>
      <c r="C374" s="9" t="s">
        <v>126</v>
      </c>
      <c r="D374" s="25" t="s">
        <v>120</v>
      </c>
      <c r="E374" s="25" t="s">
        <v>129</v>
      </c>
      <c r="F374" s="26">
        <v>440.8</v>
      </c>
      <c r="G374" s="27">
        <v>409.94</v>
      </c>
    </row>
    <row r="375" spans="1:7" ht="14.4" x14ac:dyDescent="0.25">
      <c r="A375" s="28">
        <v>41757</v>
      </c>
      <c r="B375" s="29" t="s">
        <v>41</v>
      </c>
      <c r="C375" s="14" t="s">
        <v>68</v>
      </c>
      <c r="D375" s="29" t="s">
        <v>122</v>
      </c>
      <c r="E375" s="29" t="s">
        <v>128</v>
      </c>
      <c r="F375" s="30">
        <v>783.41</v>
      </c>
      <c r="G375" s="31">
        <v>759.91</v>
      </c>
    </row>
    <row r="376" spans="1:7" ht="14.4" x14ac:dyDescent="0.25">
      <c r="A376" s="24">
        <v>41760</v>
      </c>
      <c r="B376" s="25" t="s">
        <v>38</v>
      </c>
      <c r="C376" s="9" t="s">
        <v>116</v>
      </c>
      <c r="D376" s="25" t="s">
        <v>122</v>
      </c>
      <c r="E376" s="25" t="s">
        <v>130</v>
      </c>
      <c r="F376" s="26">
        <v>121.87</v>
      </c>
      <c r="G376" s="27">
        <v>131.62</v>
      </c>
    </row>
    <row r="377" spans="1:7" ht="14.4" x14ac:dyDescent="0.25">
      <c r="A377" s="28">
        <v>41760</v>
      </c>
      <c r="B377" s="29" t="s">
        <v>28</v>
      </c>
      <c r="C377" s="14" t="s">
        <v>103</v>
      </c>
      <c r="D377" s="29" t="s">
        <v>120</v>
      </c>
      <c r="E377" s="29" t="s">
        <v>130</v>
      </c>
      <c r="F377" s="30">
        <v>389.55</v>
      </c>
      <c r="G377" s="31">
        <v>381.76</v>
      </c>
    </row>
    <row r="378" spans="1:7" ht="14.4" x14ac:dyDescent="0.25">
      <c r="A378" s="24">
        <v>41764</v>
      </c>
      <c r="B378" s="25" t="s">
        <v>40</v>
      </c>
      <c r="C378" s="9" t="s">
        <v>65</v>
      </c>
      <c r="D378" s="25" t="s">
        <v>122</v>
      </c>
      <c r="E378" s="25" t="s">
        <v>129</v>
      </c>
      <c r="F378" s="26">
        <v>237.28</v>
      </c>
      <c r="G378" s="27">
        <v>239.65</v>
      </c>
    </row>
    <row r="379" spans="1:7" ht="14.4" x14ac:dyDescent="0.25">
      <c r="A379" s="28">
        <v>41765</v>
      </c>
      <c r="B379" s="29" t="s">
        <v>6</v>
      </c>
      <c r="C379" s="14" t="s">
        <v>81</v>
      </c>
      <c r="D379" s="29" t="s">
        <v>118</v>
      </c>
      <c r="E379" s="29" t="s">
        <v>128</v>
      </c>
      <c r="F379" s="30">
        <v>972.34</v>
      </c>
      <c r="G379" s="31">
        <v>952.89</v>
      </c>
    </row>
    <row r="380" spans="1:7" ht="14.4" x14ac:dyDescent="0.25">
      <c r="A380" s="24">
        <v>41767</v>
      </c>
      <c r="B380" s="25" t="s">
        <v>36</v>
      </c>
      <c r="C380" s="9" t="s">
        <v>57</v>
      </c>
      <c r="D380" s="25" t="s">
        <v>121</v>
      </c>
      <c r="E380" s="25" t="s">
        <v>128</v>
      </c>
      <c r="F380" s="26">
        <v>935.72</v>
      </c>
      <c r="G380" s="27">
        <v>870.22</v>
      </c>
    </row>
    <row r="381" spans="1:7" ht="14.4" x14ac:dyDescent="0.25">
      <c r="A381" s="28">
        <v>41767</v>
      </c>
      <c r="B381" s="29" t="s">
        <v>12</v>
      </c>
      <c r="C381" s="14" t="s">
        <v>89</v>
      </c>
      <c r="D381" s="29" t="s">
        <v>118</v>
      </c>
      <c r="E381" s="29" t="s">
        <v>128</v>
      </c>
      <c r="F381" s="30">
        <v>545.16</v>
      </c>
      <c r="G381" s="31">
        <v>512.44999999999993</v>
      </c>
    </row>
    <row r="382" spans="1:7" ht="14.4" x14ac:dyDescent="0.25">
      <c r="A382" s="24">
        <v>41769</v>
      </c>
      <c r="B382" s="25" t="s">
        <v>20</v>
      </c>
      <c r="C382" s="9" t="s">
        <v>112</v>
      </c>
      <c r="D382" s="25" t="s">
        <v>119</v>
      </c>
      <c r="E382" s="25" t="s">
        <v>128</v>
      </c>
      <c r="F382" s="26">
        <v>432.43</v>
      </c>
      <c r="G382" s="27">
        <v>402.16</v>
      </c>
    </row>
    <row r="383" spans="1:7" ht="14.4" x14ac:dyDescent="0.25">
      <c r="A383" s="28">
        <v>41773</v>
      </c>
      <c r="B383" s="29" t="s">
        <v>44</v>
      </c>
      <c r="C383" s="14" t="s">
        <v>104</v>
      </c>
      <c r="D383" s="29" t="s">
        <v>122</v>
      </c>
      <c r="E383" s="29" t="s">
        <v>128</v>
      </c>
      <c r="F383" s="30">
        <v>236.5</v>
      </c>
      <c r="G383" s="31">
        <v>255.42000000000002</v>
      </c>
    </row>
    <row r="384" spans="1:7" ht="14.4" x14ac:dyDescent="0.25">
      <c r="A384" s="24">
        <v>41773</v>
      </c>
      <c r="B384" s="25" t="s">
        <v>12</v>
      </c>
      <c r="C384" s="9" t="s">
        <v>89</v>
      </c>
      <c r="D384" s="25" t="s">
        <v>118</v>
      </c>
      <c r="E384" s="25" t="s">
        <v>128</v>
      </c>
      <c r="F384" s="26">
        <v>567.29999999999995</v>
      </c>
      <c r="G384" s="27">
        <v>527.58999999999992</v>
      </c>
    </row>
    <row r="385" spans="1:7" ht="14.4" x14ac:dyDescent="0.25">
      <c r="A385" s="28">
        <v>41773</v>
      </c>
      <c r="B385" s="29" t="s">
        <v>15</v>
      </c>
      <c r="C385" s="14" t="s">
        <v>60</v>
      </c>
      <c r="D385" s="29" t="s">
        <v>118</v>
      </c>
      <c r="E385" s="29" t="s">
        <v>128</v>
      </c>
      <c r="F385" s="30">
        <v>784.66</v>
      </c>
      <c r="G385" s="31">
        <v>839.58999999999992</v>
      </c>
    </row>
    <row r="386" spans="1:7" ht="14.4" x14ac:dyDescent="0.25">
      <c r="A386" s="24">
        <v>41774</v>
      </c>
      <c r="B386" s="25" t="s">
        <v>38</v>
      </c>
      <c r="C386" s="9" t="s">
        <v>62</v>
      </c>
      <c r="D386" s="25" t="s">
        <v>122</v>
      </c>
      <c r="E386" s="25" t="s">
        <v>129</v>
      </c>
      <c r="F386" s="26">
        <v>314.2</v>
      </c>
      <c r="G386" s="27">
        <v>311.06</v>
      </c>
    </row>
    <row r="387" spans="1:7" ht="14.4" x14ac:dyDescent="0.25">
      <c r="A387" s="28">
        <v>41774</v>
      </c>
      <c r="B387" s="29" t="s">
        <v>0</v>
      </c>
      <c r="C387" s="14" t="s">
        <v>114</v>
      </c>
      <c r="D387" s="29" t="s">
        <v>118</v>
      </c>
      <c r="E387" s="29" t="s">
        <v>128</v>
      </c>
      <c r="F387" s="30">
        <v>472.26</v>
      </c>
      <c r="G387" s="31">
        <v>462.81</v>
      </c>
    </row>
    <row r="388" spans="1:7" ht="14.4" x14ac:dyDescent="0.25">
      <c r="A388" s="24">
        <v>41774</v>
      </c>
      <c r="B388" s="25" t="s">
        <v>45</v>
      </c>
      <c r="C388" s="9" t="s">
        <v>101</v>
      </c>
      <c r="D388" s="25" t="s">
        <v>122</v>
      </c>
      <c r="E388" s="25" t="s">
        <v>128</v>
      </c>
      <c r="F388" s="26">
        <v>265.44</v>
      </c>
      <c r="G388" s="27">
        <v>249.51</v>
      </c>
    </row>
    <row r="389" spans="1:7" ht="14.4" x14ac:dyDescent="0.25">
      <c r="A389" s="28">
        <v>41774</v>
      </c>
      <c r="B389" s="29" t="s">
        <v>48</v>
      </c>
      <c r="C389" s="14" t="s">
        <v>71</v>
      </c>
      <c r="D389" s="29" t="s">
        <v>122</v>
      </c>
      <c r="E389" s="29" t="s">
        <v>130</v>
      </c>
      <c r="F389" s="30">
        <v>356.19</v>
      </c>
      <c r="G389" s="31">
        <v>331.26</v>
      </c>
    </row>
    <row r="390" spans="1:7" ht="14.4" x14ac:dyDescent="0.25">
      <c r="A390" s="24">
        <v>41776</v>
      </c>
      <c r="B390" s="25" t="s">
        <v>30</v>
      </c>
      <c r="C390" s="9" t="s">
        <v>88</v>
      </c>
      <c r="D390" s="25" t="s">
        <v>120</v>
      </c>
      <c r="E390" s="25" t="s">
        <v>130</v>
      </c>
      <c r="F390" s="26">
        <v>566.79999999999995</v>
      </c>
      <c r="G390" s="27">
        <v>612.14</v>
      </c>
    </row>
    <row r="391" spans="1:7" ht="14.4" x14ac:dyDescent="0.25">
      <c r="A391" s="28">
        <v>41777</v>
      </c>
      <c r="B391" s="29" t="s">
        <v>49</v>
      </c>
      <c r="C391" s="14" t="s">
        <v>72</v>
      </c>
      <c r="D391" s="29" t="s">
        <v>122</v>
      </c>
      <c r="E391" s="29" t="s">
        <v>129</v>
      </c>
      <c r="F391" s="30">
        <v>101.35</v>
      </c>
      <c r="G391" s="31">
        <v>100.33999999999999</v>
      </c>
    </row>
    <row r="392" spans="1:7" ht="14.4" x14ac:dyDescent="0.25">
      <c r="A392" s="24">
        <v>41777</v>
      </c>
      <c r="B392" s="25" t="s">
        <v>37</v>
      </c>
      <c r="C392" s="9" t="s">
        <v>87</v>
      </c>
      <c r="D392" s="25" t="s">
        <v>121</v>
      </c>
      <c r="E392" s="25" t="s">
        <v>130</v>
      </c>
      <c r="F392" s="26">
        <v>989.02</v>
      </c>
      <c r="G392" s="27">
        <v>900.01</v>
      </c>
    </row>
    <row r="393" spans="1:7" ht="14.4" x14ac:dyDescent="0.25">
      <c r="A393" s="28">
        <v>41778</v>
      </c>
      <c r="B393" s="29" t="s">
        <v>17</v>
      </c>
      <c r="C393" s="14" t="s">
        <v>74</v>
      </c>
      <c r="D393" s="29" t="s">
        <v>119</v>
      </c>
      <c r="E393" s="29" t="s">
        <v>129</v>
      </c>
      <c r="F393" s="30">
        <v>691.8</v>
      </c>
      <c r="G393" s="31">
        <v>712.55</v>
      </c>
    </row>
    <row r="394" spans="1:7" ht="14.4" x14ac:dyDescent="0.25">
      <c r="A394" s="24">
        <v>41778</v>
      </c>
      <c r="B394" s="25" t="s">
        <v>8</v>
      </c>
      <c r="C394" s="9" t="s">
        <v>54</v>
      </c>
      <c r="D394" s="25" t="s">
        <v>118</v>
      </c>
      <c r="E394" s="25" t="s">
        <v>130</v>
      </c>
      <c r="F394" s="26">
        <v>582.09</v>
      </c>
      <c r="G394" s="27">
        <v>547.16000000000008</v>
      </c>
    </row>
    <row r="395" spans="1:7" ht="14.4" x14ac:dyDescent="0.25">
      <c r="A395" s="28">
        <v>41779</v>
      </c>
      <c r="B395" s="29" t="s">
        <v>22</v>
      </c>
      <c r="C395" s="14" t="s">
        <v>76</v>
      </c>
      <c r="D395" s="29" t="s">
        <v>119</v>
      </c>
      <c r="E395" s="29" t="s">
        <v>128</v>
      </c>
      <c r="F395" s="30">
        <v>18.239999999999998</v>
      </c>
      <c r="G395" s="31">
        <v>18.599999999999998</v>
      </c>
    </row>
    <row r="396" spans="1:7" ht="14.4" x14ac:dyDescent="0.25">
      <c r="A396" s="24">
        <v>41782</v>
      </c>
      <c r="B396" s="25" t="s">
        <v>7</v>
      </c>
      <c r="C396" s="9" t="s">
        <v>99</v>
      </c>
      <c r="D396" s="25" t="s">
        <v>118</v>
      </c>
      <c r="E396" s="25" t="s">
        <v>128</v>
      </c>
      <c r="F396" s="26">
        <v>442.97</v>
      </c>
      <c r="G396" s="27">
        <v>398.67</v>
      </c>
    </row>
    <row r="397" spans="1:7" ht="14.4" x14ac:dyDescent="0.25">
      <c r="A397" s="28">
        <v>41783</v>
      </c>
      <c r="B397" s="29" t="s">
        <v>36</v>
      </c>
      <c r="C397" s="14" t="s">
        <v>59</v>
      </c>
      <c r="D397" s="29" t="s">
        <v>121</v>
      </c>
      <c r="E397" s="29" t="s">
        <v>128</v>
      </c>
      <c r="F397" s="30">
        <v>563.87</v>
      </c>
      <c r="G397" s="31">
        <v>507.48</v>
      </c>
    </row>
    <row r="398" spans="1:7" ht="14.4" x14ac:dyDescent="0.25">
      <c r="A398" s="24">
        <v>41787</v>
      </c>
      <c r="B398" s="25" t="s">
        <v>27</v>
      </c>
      <c r="C398" s="9" t="s">
        <v>110</v>
      </c>
      <c r="D398" s="25" t="s">
        <v>120</v>
      </c>
      <c r="E398" s="25" t="s">
        <v>128</v>
      </c>
      <c r="F398" s="26">
        <v>382.78</v>
      </c>
      <c r="G398" s="27">
        <v>348.33</v>
      </c>
    </row>
    <row r="399" spans="1:7" ht="14.4" x14ac:dyDescent="0.25">
      <c r="A399" s="28">
        <v>41787</v>
      </c>
      <c r="B399" s="29" t="s">
        <v>34</v>
      </c>
      <c r="C399" s="14" t="s">
        <v>105</v>
      </c>
      <c r="D399" s="29" t="s">
        <v>121</v>
      </c>
      <c r="E399" s="29" t="s">
        <v>128</v>
      </c>
      <c r="F399" s="30">
        <v>122.51</v>
      </c>
      <c r="G399" s="31">
        <v>129.86000000000001</v>
      </c>
    </row>
    <row r="400" spans="1:7" ht="14.4" x14ac:dyDescent="0.25">
      <c r="A400" s="24">
        <v>41794</v>
      </c>
      <c r="B400" s="25" t="s">
        <v>5</v>
      </c>
      <c r="C400" s="9" t="s">
        <v>102</v>
      </c>
      <c r="D400" s="25" t="s">
        <v>118</v>
      </c>
      <c r="E400" s="25" t="s">
        <v>128</v>
      </c>
      <c r="F400" s="26">
        <v>247</v>
      </c>
      <c r="G400" s="27">
        <v>242.06</v>
      </c>
    </row>
    <row r="401" spans="1:7" ht="14.4" x14ac:dyDescent="0.25">
      <c r="A401" s="28">
        <v>41797</v>
      </c>
      <c r="B401" s="29" t="s">
        <v>38</v>
      </c>
      <c r="C401" s="14" t="s">
        <v>116</v>
      </c>
      <c r="D401" s="29" t="s">
        <v>122</v>
      </c>
      <c r="E401" s="29" t="s">
        <v>129</v>
      </c>
      <c r="F401" s="30">
        <v>922.7</v>
      </c>
      <c r="G401" s="31">
        <v>959.61</v>
      </c>
    </row>
    <row r="402" spans="1:7" ht="14.4" x14ac:dyDescent="0.25">
      <c r="A402" s="24">
        <v>41799</v>
      </c>
      <c r="B402" s="25" t="s">
        <v>47</v>
      </c>
      <c r="C402" s="9" t="s">
        <v>96</v>
      </c>
      <c r="D402" s="25" t="s">
        <v>122</v>
      </c>
      <c r="E402" s="25" t="s">
        <v>128</v>
      </c>
      <c r="F402" s="26">
        <v>512.05999999999995</v>
      </c>
      <c r="G402" s="27">
        <v>465.96999999999991</v>
      </c>
    </row>
    <row r="403" spans="1:7" ht="14.4" x14ac:dyDescent="0.25">
      <c r="A403" s="28">
        <v>41800</v>
      </c>
      <c r="B403" s="29" t="s">
        <v>39</v>
      </c>
      <c r="C403" s="14" t="s">
        <v>75</v>
      </c>
      <c r="D403" s="29" t="s">
        <v>122</v>
      </c>
      <c r="E403" s="29" t="s">
        <v>130</v>
      </c>
      <c r="F403" s="30">
        <v>994.43</v>
      </c>
      <c r="G403" s="31">
        <v>984.4899999999999</v>
      </c>
    </row>
    <row r="404" spans="1:7" ht="14.4" x14ac:dyDescent="0.25">
      <c r="A404" s="24">
        <v>41800</v>
      </c>
      <c r="B404" s="25" t="s">
        <v>36</v>
      </c>
      <c r="C404" s="9" t="s">
        <v>57</v>
      </c>
      <c r="D404" s="25" t="s">
        <v>121</v>
      </c>
      <c r="E404" s="25" t="s">
        <v>128</v>
      </c>
      <c r="F404" s="26">
        <v>833.14</v>
      </c>
      <c r="G404" s="27">
        <v>866.47</v>
      </c>
    </row>
    <row r="405" spans="1:7" ht="14.4" x14ac:dyDescent="0.25">
      <c r="A405" s="28">
        <v>41801</v>
      </c>
      <c r="B405" s="29" t="s">
        <v>29</v>
      </c>
      <c r="C405" s="14" t="s">
        <v>98</v>
      </c>
      <c r="D405" s="29" t="s">
        <v>120</v>
      </c>
      <c r="E405" s="29" t="s">
        <v>130</v>
      </c>
      <c r="F405" s="30">
        <v>115.9</v>
      </c>
      <c r="G405" s="31">
        <v>111.26</v>
      </c>
    </row>
    <row r="406" spans="1:7" ht="14.4" x14ac:dyDescent="0.25">
      <c r="A406" s="24">
        <v>41801</v>
      </c>
      <c r="B406" s="25" t="s">
        <v>35</v>
      </c>
      <c r="C406" s="9" t="s">
        <v>97</v>
      </c>
      <c r="D406" s="25" t="s">
        <v>121</v>
      </c>
      <c r="E406" s="25" t="s">
        <v>130</v>
      </c>
      <c r="F406" s="26">
        <v>388.75</v>
      </c>
      <c r="G406" s="27">
        <v>412.08</v>
      </c>
    </row>
    <row r="407" spans="1:7" ht="14.4" x14ac:dyDescent="0.25">
      <c r="A407" s="28">
        <v>41801</v>
      </c>
      <c r="B407" s="29" t="s">
        <v>48</v>
      </c>
      <c r="C407" s="14" t="s">
        <v>71</v>
      </c>
      <c r="D407" s="29" t="s">
        <v>122</v>
      </c>
      <c r="E407" s="29" t="s">
        <v>130</v>
      </c>
      <c r="F407" s="30">
        <v>608.26</v>
      </c>
      <c r="G407" s="31">
        <v>644.76</v>
      </c>
    </row>
    <row r="408" spans="1:7" ht="14.4" x14ac:dyDescent="0.25">
      <c r="A408" s="24">
        <v>41802</v>
      </c>
      <c r="B408" s="25" t="s">
        <v>22</v>
      </c>
      <c r="C408" s="9" t="s">
        <v>76</v>
      </c>
      <c r="D408" s="25" t="s">
        <v>119</v>
      </c>
      <c r="E408" s="25" t="s">
        <v>128</v>
      </c>
      <c r="F408" s="26">
        <v>946.53</v>
      </c>
      <c r="G408" s="27">
        <v>861.33999999999992</v>
      </c>
    </row>
    <row r="409" spans="1:7" ht="14.4" x14ac:dyDescent="0.25">
      <c r="A409" s="28">
        <v>41804</v>
      </c>
      <c r="B409" s="29" t="s">
        <v>17</v>
      </c>
      <c r="C409" s="14" t="s">
        <v>74</v>
      </c>
      <c r="D409" s="29" t="s">
        <v>119</v>
      </c>
      <c r="E409" s="29" t="s">
        <v>130</v>
      </c>
      <c r="F409" s="30">
        <v>51.41</v>
      </c>
      <c r="G409" s="31">
        <v>50.9</v>
      </c>
    </row>
    <row r="410" spans="1:7" ht="14.4" x14ac:dyDescent="0.25">
      <c r="A410" s="24">
        <v>41804</v>
      </c>
      <c r="B410" s="25" t="s">
        <v>6</v>
      </c>
      <c r="C410" s="9" t="s">
        <v>81</v>
      </c>
      <c r="D410" s="25" t="s">
        <v>118</v>
      </c>
      <c r="E410" s="25" t="s">
        <v>128</v>
      </c>
      <c r="F410" s="26">
        <v>490.32</v>
      </c>
      <c r="G410" s="27">
        <v>524.64</v>
      </c>
    </row>
    <row r="411" spans="1:7" ht="14.4" x14ac:dyDescent="0.25">
      <c r="A411" s="28">
        <v>41804</v>
      </c>
      <c r="B411" s="29" t="s">
        <v>36</v>
      </c>
      <c r="C411" s="14" t="s">
        <v>90</v>
      </c>
      <c r="D411" s="29" t="s">
        <v>121</v>
      </c>
      <c r="E411" s="29" t="s">
        <v>129</v>
      </c>
      <c r="F411" s="30">
        <v>439.53</v>
      </c>
      <c r="G411" s="31">
        <v>408.76</v>
      </c>
    </row>
    <row r="412" spans="1:7" ht="14.4" x14ac:dyDescent="0.25">
      <c r="A412" s="24">
        <v>41805</v>
      </c>
      <c r="B412" s="25" t="s">
        <v>40</v>
      </c>
      <c r="C412" s="9" t="s">
        <v>65</v>
      </c>
      <c r="D412" s="25" t="s">
        <v>122</v>
      </c>
      <c r="E412" s="25" t="s">
        <v>129</v>
      </c>
      <c r="F412" s="26">
        <v>884.13</v>
      </c>
      <c r="G412" s="27">
        <v>954.86</v>
      </c>
    </row>
    <row r="413" spans="1:7" ht="14.4" x14ac:dyDescent="0.25">
      <c r="A413" s="28">
        <v>41806</v>
      </c>
      <c r="B413" s="29" t="s">
        <v>3</v>
      </c>
      <c r="C413" s="14" t="s">
        <v>66</v>
      </c>
      <c r="D413" s="29" t="s">
        <v>118</v>
      </c>
      <c r="E413" s="29" t="s">
        <v>129</v>
      </c>
      <c r="F413" s="30">
        <v>386.49</v>
      </c>
      <c r="G413" s="31">
        <v>359.44</v>
      </c>
    </row>
    <row r="414" spans="1:7" ht="14.4" x14ac:dyDescent="0.25">
      <c r="A414" s="24">
        <v>41808</v>
      </c>
      <c r="B414" s="25" t="s">
        <v>9</v>
      </c>
      <c r="C414" s="9" t="s">
        <v>95</v>
      </c>
      <c r="D414" s="25" t="s">
        <v>118</v>
      </c>
      <c r="E414" s="25" t="s">
        <v>130</v>
      </c>
      <c r="F414" s="26">
        <v>646.27</v>
      </c>
      <c r="G414" s="27">
        <v>601.03</v>
      </c>
    </row>
    <row r="415" spans="1:7" ht="14.4" x14ac:dyDescent="0.25">
      <c r="A415" s="28">
        <v>41809</v>
      </c>
      <c r="B415" s="29" t="s">
        <v>3</v>
      </c>
      <c r="C415" s="14" t="s">
        <v>66</v>
      </c>
      <c r="D415" s="29" t="s">
        <v>118</v>
      </c>
      <c r="E415" s="29" t="s">
        <v>129</v>
      </c>
      <c r="F415" s="30">
        <v>481.26</v>
      </c>
      <c r="G415" s="31">
        <v>442.76</v>
      </c>
    </row>
    <row r="416" spans="1:7" ht="14.4" x14ac:dyDescent="0.25">
      <c r="A416" s="24">
        <v>41812</v>
      </c>
      <c r="B416" s="25" t="s">
        <v>1</v>
      </c>
      <c r="C416" s="9" t="s">
        <v>1</v>
      </c>
      <c r="D416" s="25" t="s">
        <v>118</v>
      </c>
      <c r="E416" s="25" t="s">
        <v>128</v>
      </c>
      <c r="F416" s="26">
        <v>688.39</v>
      </c>
      <c r="G416" s="27">
        <v>709.04</v>
      </c>
    </row>
    <row r="417" spans="1:7" ht="14.4" x14ac:dyDescent="0.25">
      <c r="A417" s="28">
        <v>41812</v>
      </c>
      <c r="B417" s="29" t="s">
        <v>5</v>
      </c>
      <c r="C417" s="14" t="s">
        <v>102</v>
      </c>
      <c r="D417" s="29" t="s">
        <v>118</v>
      </c>
      <c r="E417" s="29" t="s">
        <v>128</v>
      </c>
      <c r="F417" s="30">
        <v>677.49</v>
      </c>
      <c r="G417" s="31">
        <v>643.62</v>
      </c>
    </row>
    <row r="418" spans="1:7" ht="14.4" x14ac:dyDescent="0.25">
      <c r="A418" s="24">
        <v>41812</v>
      </c>
      <c r="B418" s="25" t="s">
        <v>29</v>
      </c>
      <c r="C418" s="9" t="s">
        <v>98</v>
      </c>
      <c r="D418" s="25" t="s">
        <v>120</v>
      </c>
      <c r="E418" s="25" t="s">
        <v>130</v>
      </c>
      <c r="F418" s="26">
        <v>65.69</v>
      </c>
      <c r="G418" s="27">
        <v>61.089999999999996</v>
      </c>
    </row>
    <row r="419" spans="1:7" ht="14.4" x14ac:dyDescent="0.25">
      <c r="A419" s="28">
        <v>41813</v>
      </c>
      <c r="B419" s="29" t="s">
        <v>35</v>
      </c>
      <c r="C419" s="14" t="s">
        <v>97</v>
      </c>
      <c r="D419" s="29" t="s">
        <v>121</v>
      </c>
      <c r="E419" s="29" t="s">
        <v>130</v>
      </c>
      <c r="F419" s="30">
        <v>400.51</v>
      </c>
      <c r="G419" s="31">
        <v>404.52</v>
      </c>
    </row>
    <row r="420" spans="1:7" ht="14.4" x14ac:dyDescent="0.25">
      <c r="A420" s="24">
        <v>41815</v>
      </c>
      <c r="B420" s="25" t="s">
        <v>33</v>
      </c>
      <c r="C420" s="9" t="s">
        <v>115</v>
      </c>
      <c r="D420" s="25" t="s">
        <v>121</v>
      </c>
      <c r="E420" s="25" t="s">
        <v>130</v>
      </c>
      <c r="F420" s="26">
        <v>430.46</v>
      </c>
      <c r="G420" s="27">
        <v>404.63</v>
      </c>
    </row>
    <row r="421" spans="1:7" ht="14.4" x14ac:dyDescent="0.25">
      <c r="A421" s="28">
        <v>41815</v>
      </c>
      <c r="B421" s="29" t="s">
        <v>22</v>
      </c>
      <c r="C421" s="14" t="s">
        <v>78</v>
      </c>
      <c r="D421" s="29" t="s">
        <v>119</v>
      </c>
      <c r="E421" s="29" t="s">
        <v>128</v>
      </c>
      <c r="F421" s="30">
        <v>175.92</v>
      </c>
      <c r="G421" s="31">
        <v>179.44</v>
      </c>
    </row>
    <row r="422" spans="1:7" ht="14.4" x14ac:dyDescent="0.25">
      <c r="A422" s="24">
        <v>41816</v>
      </c>
      <c r="B422" s="25" t="s">
        <v>28</v>
      </c>
      <c r="C422" s="9" t="s">
        <v>103</v>
      </c>
      <c r="D422" s="25" t="s">
        <v>120</v>
      </c>
      <c r="E422" s="25" t="s">
        <v>130</v>
      </c>
      <c r="F422" s="26">
        <v>591.32000000000005</v>
      </c>
      <c r="G422" s="27">
        <v>573.58000000000004</v>
      </c>
    </row>
    <row r="423" spans="1:7" ht="14.4" x14ac:dyDescent="0.25">
      <c r="A423" s="28">
        <v>41816</v>
      </c>
      <c r="B423" s="29" t="s">
        <v>25</v>
      </c>
      <c r="C423" s="14" t="s">
        <v>94</v>
      </c>
      <c r="D423" s="29" t="s">
        <v>119</v>
      </c>
      <c r="E423" s="29" t="s">
        <v>128</v>
      </c>
      <c r="F423" s="30">
        <v>116.72</v>
      </c>
      <c r="G423" s="31">
        <v>107.38</v>
      </c>
    </row>
    <row r="424" spans="1:7" ht="14.4" x14ac:dyDescent="0.25">
      <c r="A424" s="24">
        <v>41816</v>
      </c>
      <c r="B424" s="25" t="s">
        <v>25</v>
      </c>
      <c r="C424" s="9" t="s">
        <v>94</v>
      </c>
      <c r="D424" s="25" t="s">
        <v>119</v>
      </c>
      <c r="E424" s="25" t="s">
        <v>129</v>
      </c>
      <c r="F424" s="26">
        <v>344</v>
      </c>
      <c r="G424" s="27">
        <v>333.68</v>
      </c>
    </row>
    <row r="425" spans="1:7" ht="14.4" x14ac:dyDescent="0.25">
      <c r="A425" s="28">
        <v>41817</v>
      </c>
      <c r="B425" s="29" t="s">
        <v>16</v>
      </c>
      <c r="C425" s="14" t="s">
        <v>61</v>
      </c>
      <c r="D425" s="29" t="s">
        <v>118</v>
      </c>
      <c r="E425" s="29" t="s">
        <v>129</v>
      </c>
      <c r="F425" s="30">
        <v>976.54</v>
      </c>
      <c r="G425" s="31">
        <v>917.94999999999993</v>
      </c>
    </row>
    <row r="426" spans="1:7" ht="14.4" x14ac:dyDescent="0.25">
      <c r="A426" s="24">
        <v>41818</v>
      </c>
      <c r="B426" s="25" t="s">
        <v>21</v>
      </c>
      <c r="C426" s="9" t="s">
        <v>79</v>
      </c>
      <c r="D426" s="25" t="s">
        <v>119</v>
      </c>
      <c r="E426" s="25" t="s">
        <v>128</v>
      </c>
      <c r="F426" s="26">
        <v>983.19</v>
      </c>
      <c r="G426" s="27">
        <v>904.53000000000009</v>
      </c>
    </row>
    <row r="427" spans="1:7" ht="14.4" x14ac:dyDescent="0.25">
      <c r="A427" s="28">
        <v>41823</v>
      </c>
      <c r="B427" s="29" t="s">
        <v>26</v>
      </c>
      <c r="C427" s="14" t="s">
        <v>117</v>
      </c>
      <c r="D427" s="29" t="s">
        <v>120</v>
      </c>
      <c r="E427" s="29" t="s">
        <v>129</v>
      </c>
      <c r="F427" s="30">
        <v>422.63</v>
      </c>
      <c r="G427" s="31">
        <v>405.71999999999997</v>
      </c>
    </row>
    <row r="428" spans="1:7" ht="14.4" x14ac:dyDescent="0.25">
      <c r="A428" s="24">
        <v>41825</v>
      </c>
      <c r="B428" s="25" t="s">
        <v>48</v>
      </c>
      <c r="C428" s="9" t="s">
        <v>55</v>
      </c>
      <c r="D428" s="25" t="s">
        <v>122</v>
      </c>
      <c r="E428" s="25" t="s">
        <v>130</v>
      </c>
      <c r="F428" s="26">
        <v>922.03</v>
      </c>
      <c r="G428" s="27">
        <v>894.37</v>
      </c>
    </row>
    <row r="429" spans="1:7" ht="14.4" x14ac:dyDescent="0.25">
      <c r="A429" s="28">
        <v>41829</v>
      </c>
      <c r="B429" s="29" t="s">
        <v>22</v>
      </c>
      <c r="C429" s="14" t="s">
        <v>77</v>
      </c>
      <c r="D429" s="29" t="s">
        <v>119</v>
      </c>
      <c r="E429" s="29" t="s">
        <v>129</v>
      </c>
      <c r="F429" s="30">
        <v>697.67</v>
      </c>
      <c r="G429" s="31">
        <v>711.62</v>
      </c>
    </row>
    <row r="430" spans="1:7" ht="14.4" x14ac:dyDescent="0.25">
      <c r="A430" s="24">
        <v>41833</v>
      </c>
      <c r="B430" s="25" t="s">
        <v>47</v>
      </c>
      <c r="C430" s="9" t="s">
        <v>96</v>
      </c>
      <c r="D430" s="25" t="s">
        <v>122</v>
      </c>
      <c r="E430" s="25" t="s">
        <v>128</v>
      </c>
      <c r="F430" s="26">
        <v>471.58</v>
      </c>
      <c r="G430" s="27">
        <v>495.15999999999997</v>
      </c>
    </row>
    <row r="431" spans="1:7" ht="14.4" x14ac:dyDescent="0.25">
      <c r="A431" s="28">
        <v>41836</v>
      </c>
      <c r="B431" s="29" t="s">
        <v>30</v>
      </c>
      <c r="C431" s="14" t="s">
        <v>88</v>
      </c>
      <c r="D431" s="29" t="s">
        <v>120</v>
      </c>
      <c r="E431" s="29" t="s">
        <v>129</v>
      </c>
      <c r="F431" s="30">
        <v>691.44</v>
      </c>
      <c r="G431" s="31">
        <v>732.93000000000006</v>
      </c>
    </row>
    <row r="432" spans="1:7" ht="14.4" x14ac:dyDescent="0.25">
      <c r="A432" s="24">
        <v>41839</v>
      </c>
      <c r="B432" s="25" t="s">
        <v>44</v>
      </c>
      <c r="C432" s="9" t="s">
        <v>104</v>
      </c>
      <c r="D432" s="25" t="s">
        <v>122</v>
      </c>
      <c r="E432" s="25" t="s">
        <v>128</v>
      </c>
      <c r="F432" s="26">
        <v>50.48</v>
      </c>
      <c r="G432" s="27">
        <v>54.519999999999996</v>
      </c>
    </row>
    <row r="433" spans="1:7" ht="14.4" x14ac:dyDescent="0.25">
      <c r="A433" s="28">
        <v>41840</v>
      </c>
      <c r="B433" s="29" t="s">
        <v>19</v>
      </c>
      <c r="C433" s="14" t="s">
        <v>113</v>
      </c>
      <c r="D433" s="29" t="s">
        <v>119</v>
      </c>
      <c r="E433" s="29" t="s">
        <v>128</v>
      </c>
      <c r="F433" s="30">
        <v>218.69</v>
      </c>
      <c r="G433" s="31">
        <v>220.88</v>
      </c>
    </row>
    <row r="434" spans="1:7" ht="14.4" x14ac:dyDescent="0.25">
      <c r="A434" s="24">
        <v>41841</v>
      </c>
      <c r="B434" s="25" t="s">
        <v>36</v>
      </c>
      <c r="C434" s="9" t="s">
        <v>58</v>
      </c>
      <c r="D434" s="25" t="s">
        <v>121</v>
      </c>
      <c r="E434" s="25" t="s">
        <v>130</v>
      </c>
      <c r="F434" s="26">
        <v>462.64</v>
      </c>
      <c r="G434" s="27">
        <v>458.01</v>
      </c>
    </row>
    <row r="435" spans="1:7" ht="14.4" x14ac:dyDescent="0.25">
      <c r="A435" s="28">
        <v>41844</v>
      </c>
      <c r="B435" s="29" t="s">
        <v>43</v>
      </c>
      <c r="C435" s="14" t="s">
        <v>106</v>
      </c>
      <c r="D435" s="29" t="s">
        <v>122</v>
      </c>
      <c r="E435" s="29" t="s">
        <v>129</v>
      </c>
      <c r="F435" s="30">
        <v>861.5</v>
      </c>
      <c r="G435" s="31">
        <v>801.19</v>
      </c>
    </row>
    <row r="436" spans="1:7" ht="14.4" x14ac:dyDescent="0.25">
      <c r="A436" s="24">
        <v>41844</v>
      </c>
      <c r="B436" s="25" t="s">
        <v>46</v>
      </c>
      <c r="C436" s="9" t="s">
        <v>100</v>
      </c>
      <c r="D436" s="25" t="s">
        <v>122</v>
      </c>
      <c r="E436" s="25" t="s">
        <v>130</v>
      </c>
      <c r="F436" s="26">
        <v>347.85</v>
      </c>
      <c r="G436" s="27">
        <v>361.76000000000005</v>
      </c>
    </row>
    <row r="437" spans="1:7" ht="14.4" x14ac:dyDescent="0.25">
      <c r="A437" s="28">
        <v>41847</v>
      </c>
      <c r="B437" s="29" t="s">
        <v>31</v>
      </c>
      <c r="C437" s="14" t="s">
        <v>85</v>
      </c>
      <c r="D437" s="29" t="s">
        <v>120</v>
      </c>
      <c r="E437" s="29" t="s">
        <v>128</v>
      </c>
      <c r="F437" s="30">
        <v>628.53</v>
      </c>
      <c r="G437" s="31">
        <v>590.81999999999994</v>
      </c>
    </row>
    <row r="438" spans="1:7" ht="14.4" x14ac:dyDescent="0.25">
      <c r="A438" s="24">
        <v>41853</v>
      </c>
      <c r="B438" s="25" t="s">
        <v>35</v>
      </c>
      <c r="C438" s="9" t="s">
        <v>97</v>
      </c>
      <c r="D438" s="25" t="s">
        <v>121</v>
      </c>
      <c r="E438" s="25" t="s">
        <v>128</v>
      </c>
      <c r="F438" s="26">
        <v>234.66</v>
      </c>
      <c r="G438" s="27">
        <v>234.66</v>
      </c>
    </row>
    <row r="439" spans="1:7" ht="14.4" x14ac:dyDescent="0.25">
      <c r="A439" s="28">
        <v>41855</v>
      </c>
      <c r="B439" s="29" t="s">
        <v>7</v>
      </c>
      <c r="C439" s="14" t="s">
        <v>99</v>
      </c>
      <c r="D439" s="29" t="s">
        <v>118</v>
      </c>
      <c r="E439" s="29" t="s">
        <v>129</v>
      </c>
      <c r="F439" s="30">
        <v>153.13</v>
      </c>
      <c r="G439" s="31">
        <v>163.85</v>
      </c>
    </row>
    <row r="440" spans="1:7" ht="14.4" x14ac:dyDescent="0.25">
      <c r="A440" s="24">
        <v>41857</v>
      </c>
      <c r="B440" s="25" t="s">
        <v>46</v>
      </c>
      <c r="C440" s="9" t="s">
        <v>100</v>
      </c>
      <c r="D440" s="25" t="s">
        <v>122</v>
      </c>
      <c r="E440" s="25" t="s">
        <v>129</v>
      </c>
      <c r="F440" s="26">
        <v>741.03</v>
      </c>
      <c r="G440" s="27">
        <v>674.33999999999992</v>
      </c>
    </row>
    <row r="441" spans="1:7" ht="14.4" x14ac:dyDescent="0.25">
      <c r="A441" s="28">
        <v>41858</v>
      </c>
      <c r="B441" s="29" t="s">
        <v>23</v>
      </c>
      <c r="C441" s="14" t="s">
        <v>109</v>
      </c>
      <c r="D441" s="29" t="s">
        <v>119</v>
      </c>
      <c r="E441" s="29" t="s">
        <v>130</v>
      </c>
      <c r="F441" s="30">
        <v>966.99</v>
      </c>
      <c r="G441" s="31">
        <v>986.33</v>
      </c>
    </row>
    <row r="442" spans="1:7" ht="14.4" x14ac:dyDescent="0.25">
      <c r="A442" s="24">
        <v>41858</v>
      </c>
      <c r="B442" s="25" t="s">
        <v>51</v>
      </c>
      <c r="C442" s="9" t="s">
        <v>86</v>
      </c>
      <c r="D442" s="25" t="s">
        <v>122</v>
      </c>
      <c r="E442" s="25" t="s">
        <v>128</v>
      </c>
      <c r="F442" s="26">
        <v>10.76</v>
      </c>
      <c r="G442" s="27">
        <v>10.219999999999999</v>
      </c>
    </row>
    <row r="443" spans="1:7" ht="14.4" x14ac:dyDescent="0.25">
      <c r="A443" s="28">
        <v>41859</v>
      </c>
      <c r="B443" s="29" t="s">
        <v>6</v>
      </c>
      <c r="C443" s="14" t="s">
        <v>80</v>
      </c>
      <c r="D443" s="29" t="s">
        <v>118</v>
      </c>
      <c r="E443" s="29" t="s">
        <v>129</v>
      </c>
      <c r="F443" s="30">
        <v>818.95</v>
      </c>
      <c r="G443" s="31">
        <v>810.76</v>
      </c>
    </row>
    <row r="444" spans="1:7" ht="14.4" x14ac:dyDescent="0.25">
      <c r="A444" s="24">
        <v>41861</v>
      </c>
      <c r="B444" s="25" t="s">
        <v>6</v>
      </c>
      <c r="C444" s="9" t="s">
        <v>81</v>
      </c>
      <c r="D444" s="25" t="s">
        <v>118</v>
      </c>
      <c r="E444" s="25" t="s">
        <v>130</v>
      </c>
      <c r="F444" s="26">
        <v>753.87</v>
      </c>
      <c r="G444" s="27">
        <v>791.56</v>
      </c>
    </row>
    <row r="445" spans="1:7" ht="14.4" x14ac:dyDescent="0.25">
      <c r="A445" s="28">
        <v>41862</v>
      </c>
      <c r="B445" s="29" t="s">
        <v>45</v>
      </c>
      <c r="C445" s="14" t="s">
        <v>101</v>
      </c>
      <c r="D445" s="29" t="s">
        <v>122</v>
      </c>
      <c r="E445" s="29" t="s">
        <v>128</v>
      </c>
      <c r="F445" s="30">
        <v>679.85</v>
      </c>
      <c r="G445" s="31">
        <v>645.86</v>
      </c>
    </row>
    <row r="446" spans="1:7" ht="14.4" x14ac:dyDescent="0.25">
      <c r="A446" s="24">
        <v>41864</v>
      </c>
      <c r="B446" s="25" t="s">
        <v>13</v>
      </c>
      <c r="C446" s="9" t="s">
        <v>73</v>
      </c>
      <c r="D446" s="25" t="s">
        <v>118</v>
      </c>
      <c r="E446" s="25" t="s">
        <v>128</v>
      </c>
      <c r="F446" s="26">
        <v>634.20000000000005</v>
      </c>
      <c r="G446" s="27">
        <v>678.59</v>
      </c>
    </row>
    <row r="447" spans="1:7" ht="14.4" x14ac:dyDescent="0.25">
      <c r="A447" s="28">
        <v>41865</v>
      </c>
      <c r="B447" s="29" t="s">
        <v>48</v>
      </c>
      <c r="C447" s="14" t="s">
        <v>56</v>
      </c>
      <c r="D447" s="29" t="s">
        <v>122</v>
      </c>
      <c r="E447" s="29" t="s">
        <v>129</v>
      </c>
      <c r="F447" s="30">
        <v>56.22</v>
      </c>
      <c r="G447" s="31">
        <v>55.1</v>
      </c>
    </row>
    <row r="448" spans="1:7" ht="14.4" x14ac:dyDescent="0.25">
      <c r="A448" s="24">
        <v>41866</v>
      </c>
      <c r="B448" s="25" t="s">
        <v>43</v>
      </c>
      <c r="C448" s="9" t="s">
        <v>106</v>
      </c>
      <c r="D448" s="25" t="s">
        <v>122</v>
      </c>
      <c r="E448" s="25" t="s">
        <v>130</v>
      </c>
      <c r="F448" s="26">
        <v>285.13</v>
      </c>
      <c r="G448" s="27">
        <v>276.58</v>
      </c>
    </row>
    <row r="449" spans="1:7" ht="14.4" x14ac:dyDescent="0.25">
      <c r="A449" s="28">
        <v>41867</v>
      </c>
      <c r="B449" s="29" t="s">
        <v>18</v>
      </c>
      <c r="C449" s="14" t="s">
        <v>63</v>
      </c>
      <c r="D449" s="29" t="s">
        <v>119</v>
      </c>
      <c r="E449" s="29" t="s">
        <v>128</v>
      </c>
      <c r="F449" s="30">
        <v>542.42999999999995</v>
      </c>
      <c r="G449" s="31">
        <v>585.81999999999994</v>
      </c>
    </row>
    <row r="450" spans="1:7" ht="14.4" x14ac:dyDescent="0.25">
      <c r="A450" s="24">
        <v>41868</v>
      </c>
      <c r="B450" s="25" t="s">
        <v>36</v>
      </c>
      <c r="C450" s="9" t="s">
        <v>59</v>
      </c>
      <c r="D450" s="25" t="s">
        <v>121</v>
      </c>
      <c r="E450" s="25" t="s">
        <v>130</v>
      </c>
      <c r="F450" s="26">
        <v>857.7</v>
      </c>
      <c r="G450" s="27">
        <v>900.59</v>
      </c>
    </row>
    <row r="451" spans="1:7" ht="14.4" x14ac:dyDescent="0.25">
      <c r="A451" s="28">
        <v>41869</v>
      </c>
      <c r="B451" s="29" t="s">
        <v>6</v>
      </c>
      <c r="C451" s="14" t="s">
        <v>80</v>
      </c>
      <c r="D451" s="29" t="s">
        <v>118</v>
      </c>
      <c r="E451" s="29" t="s">
        <v>129</v>
      </c>
      <c r="F451" s="30">
        <v>511.15</v>
      </c>
      <c r="G451" s="31">
        <v>460.03</v>
      </c>
    </row>
    <row r="452" spans="1:7" ht="14.4" x14ac:dyDescent="0.25">
      <c r="A452" s="24">
        <v>41870</v>
      </c>
      <c r="B452" s="25" t="s">
        <v>14</v>
      </c>
      <c r="C452" s="9" t="s">
        <v>83</v>
      </c>
      <c r="D452" s="25" t="s">
        <v>118</v>
      </c>
      <c r="E452" s="25" t="s">
        <v>130</v>
      </c>
      <c r="F452" s="26">
        <v>437.73</v>
      </c>
      <c r="G452" s="27">
        <v>468.37</v>
      </c>
    </row>
    <row r="453" spans="1:7" ht="14.4" x14ac:dyDescent="0.25">
      <c r="A453" s="28">
        <v>41871</v>
      </c>
      <c r="B453" s="29" t="s">
        <v>4</v>
      </c>
      <c r="C453" s="14" t="s">
        <v>70</v>
      </c>
      <c r="D453" s="29" t="s">
        <v>118</v>
      </c>
      <c r="E453" s="29" t="s">
        <v>130</v>
      </c>
      <c r="F453" s="30">
        <v>768.89</v>
      </c>
      <c r="G453" s="31">
        <v>791.96</v>
      </c>
    </row>
    <row r="454" spans="1:7" ht="14.4" x14ac:dyDescent="0.25">
      <c r="A454" s="24">
        <v>41873</v>
      </c>
      <c r="B454" s="25" t="s">
        <v>8</v>
      </c>
      <c r="C454" s="9" t="s">
        <v>54</v>
      </c>
      <c r="D454" s="25" t="s">
        <v>118</v>
      </c>
      <c r="E454" s="25" t="s">
        <v>130</v>
      </c>
      <c r="F454" s="26">
        <v>438.03</v>
      </c>
      <c r="G454" s="27">
        <v>442.40999999999997</v>
      </c>
    </row>
    <row r="455" spans="1:7" ht="14.4" x14ac:dyDescent="0.25">
      <c r="A455" s="28">
        <v>41874</v>
      </c>
      <c r="B455" s="29" t="s">
        <v>7</v>
      </c>
      <c r="C455" s="14" t="s">
        <v>99</v>
      </c>
      <c r="D455" s="29" t="s">
        <v>118</v>
      </c>
      <c r="E455" s="29" t="s">
        <v>129</v>
      </c>
      <c r="F455" s="30">
        <v>202.08</v>
      </c>
      <c r="G455" s="31">
        <v>196.02</v>
      </c>
    </row>
    <row r="456" spans="1:7" ht="14.4" x14ac:dyDescent="0.25">
      <c r="A456" s="24">
        <v>41875</v>
      </c>
      <c r="B456" s="25" t="s">
        <v>41</v>
      </c>
      <c r="C456" s="9" t="s">
        <v>67</v>
      </c>
      <c r="D456" s="25" t="s">
        <v>122</v>
      </c>
      <c r="E456" s="25" t="s">
        <v>130</v>
      </c>
      <c r="F456" s="26">
        <v>117.71</v>
      </c>
      <c r="G456" s="27">
        <v>108.28999999999999</v>
      </c>
    </row>
    <row r="457" spans="1:7" ht="14.4" x14ac:dyDescent="0.25">
      <c r="A457" s="28">
        <v>41875</v>
      </c>
      <c r="B457" s="29" t="s">
        <v>32</v>
      </c>
      <c r="C457" s="14" t="s">
        <v>126</v>
      </c>
      <c r="D457" s="29" t="s">
        <v>120</v>
      </c>
      <c r="E457" s="29" t="s">
        <v>129</v>
      </c>
      <c r="F457" s="30">
        <v>759.99</v>
      </c>
      <c r="G457" s="31">
        <v>706.79</v>
      </c>
    </row>
    <row r="458" spans="1:7" ht="14.4" x14ac:dyDescent="0.25">
      <c r="A458" s="24">
        <v>41876</v>
      </c>
      <c r="B458" s="25" t="s">
        <v>18</v>
      </c>
      <c r="C458" s="9" t="s">
        <v>64</v>
      </c>
      <c r="D458" s="25" t="s">
        <v>119</v>
      </c>
      <c r="E458" s="25" t="s">
        <v>130</v>
      </c>
      <c r="F458" s="26">
        <v>32.15</v>
      </c>
      <c r="G458" s="27">
        <v>29.58</v>
      </c>
    </row>
    <row r="459" spans="1:7" ht="14.4" x14ac:dyDescent="0.25">
      <c r="A459" s="28">
        <v>41879</v>
      </c>
      <c r="B459" s="29" t="s">
        <v>19</v>
      </c>
      <c r="C459" s="14" t="s">
        <v>113</v>
      </c>
      <c r="D459" s="29" t="s">
        <v>119</v>
      </c>
      <c r="E459" s="29" t="s">
        <v>128</v>
      </c>
      <c r="F459" s="30">
        <v>384</v>
      </c>
      <c r="G459" s="31">
        <v>372.48</v>
      </c>
    </row>
    <row r="460" spans="1:7" ht="14.4" x14ac:dyDescent="0.25">
      <c r="A460" s="24">
        <v>41885</v>
      </c>
      <c r="B460" s="25" t="s">
        <v>48</v>
      </c>
      <c r="C460" s="9" t="s">
        <v>82</v>
      </c>
      <c r="D460" s="25" t="s">
        <v>122</v>
      </c>
      <c r="E460" s="25" t="s">
        <v>128</v>
      </c>
      <c r="F460" s="26">
        <v>992.39</v>
      </c>
      <c r="G460" s="27">
        <v>952.68999999999994</v>
      </c>
    </row>
    <row r="461" spans="1:7" ht="14.4" x14ac:dyDescent="0.25">
      <c r="A461" s="28">
        <v>41886</v>
      </c>
      <c r="B461" s="29" t="s">
        <v>41</v>
      </c>
      <c r="C461" s="14" t="s">
        <v>67</v>
      </c>
      <c r="D461" s="29" t="s">
        <v>122</v>
      </c>
      <c r="E461" s="29" t="s">
        <v>130</v>
      </c>
      <c r="F461" s="30">
        <v>896.19</v>
      </c>
      <c r="G461" s="31">
        <v>806.57</v>
      </c>
    </row>
    <row r="462" spans="1:7" ht="14.4" x14ac:dyDescent="0.25">
      <c r="A462" s="24">
        <v>41886</v>
      </c>
      <c r="B462" s="25" t="s">
        <v>45</v>
      </c>
      <c r="C462" s="9" t="s">
        <v>101</v>
      </c>
      <c r="D462" s="25" t="s">
        <v>122</v>
      </c>
      <c r="E462" s="25" t="s">
        <v>128</v>
      </c>
      <c r="F462" s="26">
        <v>211.55</v>
      </c>
      <c r="G462" s="27">
        <v>196.74</v>
      </c>
    </row>
    <row r="463" spans="1:7" ht="14.4" x14ac:dyDescent="0.25">
      <c r="A463" s="28">
        <v>41888</v>
      </c>
      <c r="B463" s="29" t="s">
        <v>18</v>
      </c>
      <c r="C463" s="14" t="s">
        <v>63</v>
      </c>
      <c r="D463" s="29" t="s">
        <v>119</v>
      </c>
      <c r="E463" s="29" t="s">
        <v>130</v>
      </c>
      <c r="F463" s="30">
        <v>951.4</v>
      </c>
      <c r="G463" s="31">
        <v>979.93999999999994</v>
      </c>
    </row>
    <row r="464" spans="1:7" ht="14.4" x14ac:dyDescent="0.25">
      <c r="A464" s="24">
        <v>41893</v>
      </c>
      <c r="B464" s="25" t="s">
        <v>9</v>
      </c>
      <c r="C464" s="9" t="s">
        <v>95</v>
      </c>
      <c r="D464" s="25" t="s">
        <v>118</v>
      </c>
      <c r="E464" s="25" t="s">
        <v>130</v>
      </c>
      <c r="F464" s="26">
        <v>435.41</v>
      </c>
      <c r="G464" s="27">
        <v>431.06</v>
      </c>
    </row>
    <row r="465" spans="1:7" ht="14.4" x14ac:dyDescent="0.25">
      <c r="A465" s="28">
        <v>41894</v>
      </c>
      <c r="B465" s="29" t="s">
        <v>22</v>
      </c>
      <c r="C465" s="14" t="s">
        <v>77</v>
      </c>
      <c r="D465" s="29" t="s">
        <v>119</v>
      </c>
      <c r="E465" s="29" t="s">
        <v>130</v>
      </c>
      <c r="F465" s="30">
        <v>997.23</v>
      </c>
      <c r="G465" s="31">
        <v>947.37</v>
      </c>
    </row>
    <row r="466" spans="1:7" ht="14.4" x14ac:dyDescent="0.25">
      <c r="A466" s="24">
        <v>41895</v>
      </c>
      <c r="B466" s="25" t="s">
        <v>23</v>
      </c>
      <c r="C466" s="9" t="s">
        <v>109</v>
      </c>
      <c r="D466" s="25" t="s">
        <v>119</v>
      </c>
      <c r="E466" s="25" t="s">
        <v>128</v>
      </c>
      <c r="F466" s="26">
        <v>383.7</v>
      </c>
      <c r="G466" s="27">
        <v>360.68</v>
      </c>
    </row>
    <row r="467" spans="1:7" ht="14.4" x14ac:dyDescent="0.25">
      <c r="A467" s="28">
        <v>41895</v>
      </c>
      <c r="B467" s="29" t="s">
        <v>2</v>
      </c>
      <c r="C467" s="14" t="s">
        <v>108</v>
      </c>
      <c r="D467" s="29" t="s">
        <v>118</v>
      </c>
      <c r="E467" s="29" t="s">
        <v>129</v>
      </c>
      <c r="F467" s="30">
        <v>829.05</v>
      </c>
      <c r="G467" s="31">
        <v>820.76</v>
      </c>
    </row>
    <row r="468" spans="1:7" ht="14.4" x14ac:dyDescent="0.25">
      <c r="A468" s="24">
        <v>41897</v>
      </c>
      <c r="B468" s="25" t="s">
        <v>34</v>
      </c>
      <c r="C468" s="9" t="s">
        <v>105</v>
      </c>
      <c r="D468" s="25" t="s">
        <v>121</v>
      </c>
      <c r="E468" s="25" t="s">
        <v>129</v>
      </c>
      <c r="F468" s="26">
        <v>401.94</v>
      </c>
      <c r="G468" s="27">
        <v>409.98</v>
      </c>
    </row>
    <row r="469" spans="1:7" ht="14.4" x14ac:dyDescent="0.25">
      <c r="A469" s="28">
        <v>41898</v>
      </c>
      <c r="B469" s="29" t="s">
        <v>0</v>
      </c>
      <c r="C469" s="14" t="s">
        <v>114</v>
      </c>
      <c r="D469" s="29" t="s">
        <v>118</v>
      </c>
      <c r="E469" s="29" t="s">
        <v>130</v>
      </c>
      <c r="F469" s="30">
        <v>757.23</v>
      </c>
      <c r="G469" s="31">
        <v>757.23</v>
      </c>
    </row>
    <row r="470" spans="1:7" ht="14.4" x14ac:dyDescent="0.25">
      <c r="A470" s="24">
        <v>41899</v>
      </c>
      <c r="B470" s="25" t="s">
        <v>37</v>
      </c>
      <c r="C470" s="9" t="s">
        <v>87</v>
      </c>
      <c r="D470" s="25" t="s">
        <v>121</v>
      </c>
      <c r="E470" s="25" t="s">
        <v>128</v>
      </c>
      <c r="F470" s="26">
        <v>322.41000000000003</v>
      </c>
      <c r="G470" s="27">
        <v>293.39000000000004</v>
      </c>
    </row>
    <row r="471" spans="1:7" ht="14.4" x14ac:dyDescent="0.25">
      <c r="A471" s="28">
        <v>41900</v>
      </c>
      <c r="B471" s="29" t="s">
        <v>1</v>
      </c>
      <c r="C471" s="14" t="s">
        <v>1</v>
      </c>
      <c r="D471" s="29" t="s">
        <v>118</v>
      </c>
      <c r="E471" s="29" t="s">
        <v>128</v>
      </c>
      <c r="F471" s="30">
        <v>818.68</v>
      </c>
      <c r="G471" s="31">
        <v>777.75</v>
      </c>
    </row>
    <row r="472" spans="1:7" ht="14.4" x14ac:dyDescent="0.25">
      <c r="A472" s="24">
        <v>41902</v>
      </c>
      <c r="B472" s="25" t="s">
        <v>40</v>
      </c>
      <c r="C472" s="9" t="s">
        <v>65</v>
      </c>
      <c r="D472" s="25" t="s">
        <v>122</v>
      </c>
      <c r="E472" s="25" t="s">
        <v>128</v>
      </c>
      <c r="F472" s="26">
        <v>263.10000000000002</v>
      </c>
      <c r="G472" s="27">
        <v>257.84000000000003</v>
      </c>
    </row>
    <row r="473" spans="1:7" ht="14.4" x14ac:dyDescent="0.25">
      <c r="A473" s="28">
        <v>41903</v>
      </c>
      <c r="B473" s="29" t="s">
        <v>27</v>
      </c>
      <c r="C473" s="14" t="s">
        <v>110</v>
      </c>
      <c r="D473" s="29" t="s">
        <v>120</v>
      </c>
      <c r="E473" s="29" t="s">
        <v>128</v>
      </c>
      <c r="F473" s="30">
        <v>654.41</v>
      </c>
      <c r="G473" s="31">
        <v>621.68999999999994</v>
      </c>
    </row>
    <row r="474" spans="1:7" ht="14.4" x14ac:dyDescent="0.25">
      <c r="A474" s="24">
        <v>41903</v>
      </c>
      <c r="B474" s="25" t="s">
        <v>50</v>
      </c>
      <c r="C474" s="9" t="s">
        <v>92</v>
      </c>
      <c r="D474" s="25" t="s">
        <v>122</v>
      </c>
      <c r="E474" s="25" t="s">
        <v>129</v>
      </c>
      <c r="F474" s="26">
        <v>345.05</v>
      </c>
      <c r="G474" s="27">
        <v>362.3</v>
      </c>
    </row>
    <row r="475" spans="1:7" ht="14.4" x14ac:dyDescent="0.25">
      <c r="A475" s="28">
        <v>41903</v>
      </c>
      <c r="B475" s="29" t="s">
        <v>16</v>
      </c>
      <c r="C475" s="14" t="s">
        <v>61</v>
      </c>
      <c r="D475" s="29" t="s">
        <v>118</v>
      </c>
      <c r="E475" s="29" t="s">
        <v>129</v>
      </c>
      <c r="F475" s="30">
        <v>758.17</v>
      </c>
      <c r="G475" s="31">
        <v>811.24</v>
      </c>
    </row>
    <row r="476" spans="1:7" ht="14.4" x14ac:dyDescent="0.25">
      <c r="A476" s="24">
        <v>41904</v>
      </c>
      <c r="B476" s="25" t="s">
        <v>38</v>
      </c>
      <c r="C476" s="9" t="s">
        <v>116</v>
      </c>
      <c r="D476" s="25" t="s">
        <v>122</v>
      </c>
      <c r="E476" s="25" t="s">
        <v>130</v>
      </c>
      <c r="F476" s="26">
        <v>152.03</v>
      </c>
      <c r="G476" s="27">
        <v>142.91</v>
      </c>
    </row>
    <row r="477" spans="1:7" ht="14.4" x14ac:dyDescent="0.25">
      <c r="A477" s="28">
        <v>41904</v>
      </c>
      <c r="B477" s="29" t="s">
        <v>40</v>
      </c>
      <c r="C477" s="14" t="s">
        <v>111</v>
      </c>
      <c r="D477" s="29" t="s">
        <v>122</v>
      </c>
      <c r="E477" s="29" t="s">
        <v>129</v>
      </c>
      <c r="F477" s="30">
        <v>701.13</v>
      </c>
      <c r="G477" s="31">
        <v>638.03</v>
      </c>
    </row>
    <row r="478" spans="1:7" ht="14.4" x14ac:dyDescent="0.25">
      <c r="A478" s="24">
        <v>41904</v>
      </c>
      <c r="B478" s="25" t="s">
        <v>28</v>
      </c>
      <c r="C478" s="9" t="s">
        <v>103</v>
      </c>
      <c r="D478" s="25" t="s">
        <v>120</v>
      </c>
      <c r="E478" s="25" t="s">
        <v>130</v>
      </c>
      <c r="F478" s="26">
        <v>183.31</v>
      </c>
      <c r="G478" s="27">
        <v>170.48</v>
      </c>
    </row>
    <row r="479" spans="1:7" ht="14.4" x14ac:dyDescent="0.25">
      <c r="A479" s="28">
        <v>41904</v>
      </c>
      <c r="B479" s="29" t="s">
        <v>10</v>
      </c>
      <c r="C479" s="14" t="s">
        <v>93</v>
      </c>
      <c r="D479" s="29" t="s">
        <v>118</v>
      </c>
      <c r="E479" s="29" t="s">
        <v>130</v>
      </c>
      <c r="F479" s="30">
        <v>94.94</v>
      </c>
      <c r="G479" s="31">
        <v>98.74</v>
      </c>
    </row>
    <row r="480" spans="1:7" ht="14.4" x14ac:dyDescent="0.25">
      <c r="A480" s="24">
        <v>41905</v>
      </c>
      <c r="B480" s="25" t="s">
        <v>11</v>
      </c>
      <c r="C480" s="9" t="s">
        <v>91</v>
      </c>
      <c r="D480" s="25" t="s">
        <v>118</v>
      </c>
      <c r="E480" s="25" t="s">
        <v>128</v>
      </c>
      <c r="F480" s="26">
        <v>515.86</v>
      </c>
      <c r="G480" s="27">
        <v>479.75</v>
      </c>
    </row>
    <row r="481" spans="1:7" ht="14.4" x14ac:dyDescent="0.25">
      <c r="A481" s="28">
        <v>41905</v>
      </c>
      <c r="B481" s="29" t="s">
        <v>15</v>
      </c>
      <c r="C481" s="14" t="s">
        <v>60</v>
      </c>
      <c r="D481" s="29" t="s">
        <v>118</v>
      </c>
      <c r="E481" s="29" t="s">
        <v>128</v>
      </c>
      <c r="F481" s="30">
        <v>226.85</v>
      </c>
      <c r="G481" s="31">
        <v>208.7</v>
      </c>
    </row>
    <row r="482" spans="1:7" ht="14.4" x14ac:dyDescent="0.25">
      <c r="A482" s="24">
        <v>41906</v>
      </c>
      <c r="B482" s="25" t="s">
        <v>30</v>
      </c>
      <c r="C482" s="9" t="s">
        <v>88</v>
      </c>
      <c r="D482" s="25" t="s">
        <v>120</v>
      </c>
      <c r="E482" s="25" t="s">
        <v>130</v>
      </c>
      <c r="F482" s="26">
        <v>657.03</v>
      </c>
      <c r="G482" s="27">
        <v>650.45999999999992</v>
      </c>
    </row>
    <row r="483" spans="1:7" ht="14.4" x14ac:dyDescent="0.25">
      <c r="A483" s="28">
        <v>41907</v>
      </c>
      <c r="B483" s="29" t="s">
        <v>41</v>
      </c>
      <c r="C483" s="14" t="s">
        <v>68</v>
      </c>
      <c r="D483" s="29" t="s">
        <v>122</v>
      </c>
      <c r="E483" s="29" t="s">
        <v>128</v>
      </c>
      <c r="F483" s="30">
        <v>382.61</v>
      </c>
      <c r="G483" s="31">
        <v>382.61</v>
      </c>
    </row>
    <row r="484" spans="1:7" ht="14.4" x14ac:dyDescent="0.25">
      <c r="A484" s="24">
        <v>41908</v>
      </c>
      <c r="B484" s="25" t="s">
        <v>38</v>
      </c>
      <c r="C484" s="9" t="s">
        <v>62</v>
      </c>
      <c r="D484" s="25" t="s">
        <v>122</v>
      </c>
      <c r="E484" s="25" t="s">
        <v>129</v>
      </c>
      <c r="F484" s="26">
        <v>506.77</v>
      </c>
      <c r="G484" s="27">
        <v>547.30999999999995</v>
      </c>
    </row>
    <row r="485" spans="1:7" ht="14.4" x14ac:dyDescent="0.25">
      <c r="A485" s="28">
        <v>41908</v>
      </c>
      <c r="B485" s="29" t="s">
        <v>42</v>
      </c>
      <c r="C485" s="14" t="s">
        <v>69</v>
      </c>
      <c r="D485" s="29" t="s">
        <v>122</v>
      </c>
      <c r="E485" s="29" t="s">
        <v>128</v>
      </c>
      <c r="F485" s="30">
        <v>197.63</v>
      </c>
      <c r="G485" s="31">
        <v>195.65</v>
      </c>
    </row>
    <row r="486" spans="1:7" ht="14.4" x14ac:dyDescent="0.25">
      <c r="A486" s="24">
        <v>41908</v>
      </c>
      <c r="B486" s="25" t="s">
        <v>10</v>
      </c>
      <c r="C486" s="9" t="s">
        <v>93</v>
      </c>
      <c r="D486" s="25" t="s">
        <v>118</v>
      </c>
      <c r="E486" s="25" t="s">
        <v>129</v>
      </c>
      <c r="F486" s="26">
        <v>447.46</v>
      </c>
      <c r="G486" s="27">
        <v>478.78</v>
      </c>
    </row>
    <row r="487" spans="1:7" ht="14.4" x14ac:dyDescent="0.25">
      <c r="A487" s="28">
        <v>41908</v>
      </c>
      <c r="B487" s="29" t="s">
        <v>11</v>
      </c>
      <c r="C487" s="14" t="s">
        <v>91</v>
      </c>
      <c r="D487" s="29" t="s">
        <v>118</v>
      </c>
      <c r="E487" s="29" t="s">
        <v>130</v>
      </c>
      <c r="F487" s="30">
        <v>947.2</v>
      </c>
      <c r="G487" s="31">
        <v>899.84</v>
      </c>
    </row>
    <row r="488" spans="1:7" ht="14.4" x14ac:dyDescent="0.25">
      <c r="A488" s="24">
        <v>41910</v>
      </c>
      <c r="B488" s="25" t="s">
        <v>24</v>
      </c>
      <c r="C488" s="9" t="s">
        <v>107</v>
      </c>
      <c r="D488" s="25" t="s">
        <v>119</v>
      </c>
      <c r="E488" s="25" t="s">
        <v>128</v>
      </c>
      <c r="F488" s="26">
        <v>53.37</v>
      </c>
      <c r="G488" s="27">
        <v>57.64</v>
      </c>
    </row>
    <row r="489" spans="1:7" ht="14.4" x14ac:dyDescent="0.25">
      <c r="A489" s="28">
        <v>41910</v>
      </c>
      <c r="B489" s="29" t="s">
        <v>36</v>
      </c>
      <c r="C489" s="14" t="s">
        <v>58</v>
      </c>
      <c r="D489" s="29" t="s">
        <v>121</v>
      </c>
      <c r="E489" s="29" t="s">
        <v>130</v>
      </c>
      <c r="F489" s="30">
        <v>981.73</v>
      </c>
      <c r="G489" s="31">
        <v>942.46</v>
      </c>
    </row>
    <row r="490" spans="1:7" ht="14.4" x14ac:dyDescent="0.25">
      <c r="A490" s="24">
        <v>41914</v>
      </c>
      <c r="B490" s="25" t="s">
        <v>32</v>
      </c>
      <c r="C490" s="9" t="s">
        <v>126</v>
      </c>
      <c r="D490" s="25" t="s">
        <v>120</v>
      </c>
      <c r="E490" s="25" t="s">
        <v>128</v>
      </c>
      <c r="F490" s="26">
        <v>216.43</v>
      </c>
      <c r="G490" s="27">
        <v>227.25</v>
      </c>
    </row>
    <row r="491" spans="1:7" ht="14.4" x14ac:dyDescent="0.25">
      <c r="A491" s="28">
        <v>41915</v>
      </c>
      <c r="B491" s="29" t="s">
        <v>4</v>
      </c>
      <c r="C491" s="14" t="s">
        <v>70</v>
      </c>
      <c r="D491" s="29" t="s">
        <v>118</v>
      </c>
      <c r="E491" s="29" t="s">
        <v>130</v>
      </c>
      <c r="F491" s="30">
        <v>606.12</v>
      </c>
      <c r="G491" s="31">
        <v>581.88</v>
      </c>
    </row>
    <row r="492" spans="1:7" ht="14.4" x14ac:dyDescent="0.25">
      <c r="A492" s="24">
        <v>41918</v>
      </c>
      <c r="B492" s="25" t="s">
        <v>25</v>
      </c>
      <c r="C492" s="9" t="s">
        <v>94</v>
      </c>
      <c r="D492" s="25" t="s">
        <v>119</v>
      </c>
      <c r="E492" s="25" t="s">
        <v>128</v>
      </c>
      <c r="F492" s="26">
        <v>973.62</v>
      </c>
      <c r="G492" s="27">
        <v>973.62</v>
      </c>
    </row>
    <row r="493" spans="1:7" ht="14.4" x14ac:dyDescent="0.25">
      <c r="A493" s="28">
        <v>41923</v>
      </c>
      <c r="B493" s="29" t="s">
        <v>20</v>
      </c>
      <c r="C493" s="14" t="s">
        <v>112</v>
      </c>
      <c r="D493" s="29" t="s">
        <v>119</v>
      </c>
      <c r="E493" s="29" t="s">
        <v>130</v>
      </c>
      <c r="F493" s="30">
        <v>895.52</v>
      </c>
      <c r="G493" s="31">
        <v>877.61</v>
      </c>
    </row>
    <row r="494" spans="1:7" ht="14.4" x14ac:dyDescent="0.25">
      <c r="A494" s="24">
        <v>41927</v>
      </c>
      <c r="B494" s="25" t="s">
        <v>8</v>
      </c>
      <c r="C494" s="9" t="s">
        <v>54</v>
      </c>
      <c r="D494" s="25" t="s">
        <v>118</v>
      </c>
      <c r="E494" s="25" t="s">
        <v>129</v>
      </c>
      <c r="F494" s="26">
        <v>393.33</v>
      </c>
      <c r="G494" s="27">
        <v>357.93</v>
      </c>
    </row>
    <row r="495" spans="1:7" ht="14.4" x14ac:dyDescent="0.25">
      <c r="A495" s="28">
        <v>41931</v>
      </c>
      <c r="B495" s="29" t="s">
        <v>0</v>
      </c>
      <c r="C495" s="14" t="s">
        <v>114</v>
      </c>
      <c r="D495" s="29" t="s">
        <v>118</v>
      </c>
      <c r="E495" s="29" t="s">
        <v>128</v>
      </c>
      <c r="F495" s="30">
        <v>644.42999999999995</v>
      </c>
      <c r="G495" s="31">
        <v>650.87</v>
      </c>
    </row>
    <row r="496" spans="1:7" ht="14.4" x14ac:dyDescent="0.25">
      <c r="A496" s="24">
        <v>41931</v>
      </c>
      <c r="B496" s="25" t="s">
        <v>3</v>
      </c>
      <c r="C496" s="9" t="s">
        <v>66</v>
      </c>
      <c r="D496" s="25" t="s">
        <v>118</v>
      </c>
      <c r="E496" s="25" t="s">
        <v>130</v>
      </c>
      <c r="F496" s="26">
        <v>751.02</v>
      </c>
      <c r="G496" s="27">
        <v>766.04</v>
      </c>
    </row>
    <row r="497" spans="1:7" ht="14.4" x14ac:dyDescent="0.25">
      <c r="A497" s="28">
        <v>41932</v>
      </c>
      <c r="B497" s="29" t="s">
        <v>12</v>
      </c>
      <c r="C497" s="14" t="s">
        <v>89</v>
      </c>
      <c r="D497" s="29" t="s">
        <v>118</v>
      </c>
      <c r="E497" s="29" t="s">
        <v>128</v>
      </c>
      <c r="F497" s="30">
        <v>330.27</v>
      </c>
      <c r="G497" s="31">
        <v>303.84999999999997</v>
      </c>
    </row>
    <row r="498" spans="1:7" ht="14.4" x14ac:dyDescent="0.25">
      <c r="A498" s="24">
        <v>41934</v>
      </c>
      <c r="B498" s="25" t="s">
        <v>13</v>
      </c>
      <c r="C498" s="9" t="s">
        <v>73</v>
      </c>
      <c r="D498" s="25" t="s">
        <v>118</v>
      </c>
      <c r="E498" s="25" t="s">
        <v>128</v>
      </c>
      <c r="F498" s="26">
        <v>696.6</v>
      </c>
      <c r="G498" s="27">
        <v>626.94000000000005</v>
      </c>
    </row>
    <row r="499" spans="1:7" ht="14.4" x14ac:dyDescent="0.25">
      <c r="A499" s="28">
        <v>41939</v>
      </c>
      <c r="B499" s="29" t="s">
        <v>18</v>
      </c>
      <c r="C499" s="14" t="s">
        <v>64</v>
      </c>
      <c r="D499" s="29" t="s">
        <v>119</v>
      </c>
      <c r="E499" s="29" t="s">
        <v>130</v>
      </c>
      <c r="F499" s="30">
        <v>549.16</v>
      </c>
      <c r="G499" s="31">
        <v>521.69999999999993</v>
      </c>
    </row>
    <row r="500" spans="1:7" ht="14.4" x14ac:dyDescent="0.25">
      <c r="A500" s="24">
        <v>41940</v>
      </c>
      <c r="B500" s="25" t="s">
        <v>26</v>
      </c>
      <c r="C500" s="9" t="s">
        <v>117</v>
      </c>
      <c r="D500" s="25" t="s">
        <v>120</v>
      </c>
      <c r="E500" s="25" t="s">
        <v>130</v>
      </c>
      <c r="F500" s="26">
        <v>902.45</v>
      </c>
      <c r="G500" s="27">
        <v>911.47</v>
      </c>
    </row>
    <row r="501" spans="1:7" ht="14.4" x14ac:dyDescent="0.25">
      <c r="A501" s="28">
        <v>41945</v>
      </c>
      <c r="B501" s="29" t="s">
        <v>22</v>
      </c>
      <c r="C501" s="14" t="s">
        <v>76</v>
      </c>
      <c r="D501" s="29" t="s">
        <v>119</v>
      </c>
      <c r="E501" s="29" t="s">
        <v>130</v>
      </c>
      <c r="F501" s="30">
        <v>895.19</v>
      </c>
      <c r="G501" s="31">
        <v>948.90000000000009</v>
      </c>
    </row>
    <row r="502" spans="1:7" ht="14.4" x14ac:dyDescent="0.25">
      <c r="A502" s="24">
        <v>41946</v>
      </c>
      <c r="B502" s="25" t="s">
        <v>48</v>
      </c>
      <c r="C502" s="9" t="s">
        <v>55</v>
      </c>
      <c r="D502" s="25" t="s">
        <v>122</v>
      </c>
      <c r="E502" s="25" t="s">
        <v>129</v>
      </c>
      <c r="F502" s="26">
        <v>481.11</v>
      </c>
      <c r="G502" s="27">
        <v>457.05</v>
      </c>
    </row>
    <row r="503" spans="1:7" ht="14.4" x14ac:dyDescent="0.25">
      <c r="A503" s="28">
        <v>41947</v>
      </c>
      <c r="B503" s="29" t="s">
        <v>48</v>
      </c>
      <c r="C503" s="14" t="s">
        <v>56</v>
      </c>
      <c r="D503" s="29" t="s">
        <v>122</v>
      </c>
      <c r="E503" s="29" t="s">
        <v>128</v>
      </c>
      <c r="F503" s="30">
        <v>66.13</v>
      </c>
      <c r="G503" s="31">
        <v>66.789999999999992</v>
      </c>
    </row>
    <row r="504" spans="1:7" ht="14.4" x14ac:dyDescent="0.25">
      <c r="A504" s="24">
        <v>41948</v>
      </c>
      <c r="B504" s="25" t="s">
        <v>33</v>
      </c>
      <c r="C504" s="9" t="s">
        <v>115</v>
      </c>
      <c r="D504" s="25" t="s">
        <v>121</v>
      </c>
      <c r="E504" s="25" t="s">
        <v>130</v>
      </c>
      <c r="F504" s="26">
        <v>197.18</v>
      </c>
      <c r="G504" s="27">
        <v>203.1</v>
      </c>
    </row>
    <row r="505" spans="1:7" ht="14.4" x14ac:dyDescent="0.25">
      <c r="A505" s="28">
        <v>41948</v>
      </c>
      <c r="B505" s="29" t="s">
        <v>5</v>
      </c>
      <c r="C505" s="14" t="s">
        <v>102</v>
      </c>
      <c r="D505" s="29" t="s">
        <v>118</v>
      </c>
      <c r="E505" s="29" t="s">
        <v>130</v>
      </c>
      <c r="F505" s="30">
        <v>859.08</v>
      </c>
      <c r="G505" s="31">
        <v>884.85</v>
      </c>
    </row>
    <row r="506" spans="1:7" ht="14.4" x14ac:dyDescent="0.25">
      <c r="A506" s="24">
        <v>41950</v>
      </c>
      <c r="B506" s="25" t="s">
        <v>44</v>
      </c>
      <c r="C506" s="9" t="s">
        <v>104</v>
      </c>
      <c r="D506" s="25" t="s">
        <v>122</v>
      </c>
      <c r="E506" s="25" t="s">
        <v>130</v>
      </c>
      <c r="F506" s="26">
        <v>778.49</v>
      </c>
      <c r="G506" s="27">
        <v>724</v>
      </c>
    </row>
    <row r="507" spans="1:7" ht="14.4" x14ac:dyDescent="0.25">
      <c r="A507" s="28">
        <v>41950</v>
      </c>
      <c r="B507" s="29" t="s">
        <v>16</v>
      </c>
      <c r="C507" s="14" t="s">
        <v>61</v>
      </c>
      <c r="D507" s="29" t="s">
        <v>118</v>
      </c>
      <c r="E507" s="29" t="s">
        <v>130</v>
      </c>
      <c r="F507" s="30">
        <v>641.5</v>
      </c>
      <c r="G507" s="31">
        <v>654.33000000000004</v>
      </c>
    </row>
    <row r="508" spans="1:7" ht="14.4" x14ac:dyDescent="0.25">
      <c r="A508" s="24">
        <v>41951</v>
      </c>
      <c r="B508" s="25" t="s">
        <v>50</v>
      </c>
      <c r="C508" s="9" t="s">
        <v>92</v>
      </c>
      <c r="D508" s="25" t="s">
        <v>122</v>
      </c>
      <c r="E508" s="25" t="s">
        <v>128</v>
      </c>
      <c r="F508" s="26">
        <v>364.23</v>
      </c>
      <c r="G508" s="27">
        <v>364.23</v>
      </c>
    </row>
    <row r="509" spans="1:7" ht="14.4" x14ac:dyDescent="0.25">
      <c r="A509" s="28">
        <v>41953</v>
      </c>
      <c r="B509" s="29" t="s">
        <v>47</v>
      </c>
      <c r="C509" s="14" t="s">
        <v>96</v>
      </c>
      <c r="D509" s="29" t="s">
        <v>122</v>
      </c>
      <c r="E509" s="29" t="s">
        <v>129</v>
      </c>
      <c r="F509" s="30">
        <v>958.9</v>
      </c>
      <c r="G509" s="31">
        <v>997.26</v>
      </c>
    </row>
    <row r="510" spans="1:7" ht="14.4" x14ac:dyDescent="0.25">
      <c r="A510" s="24">
        <v>41954</v>
      </c>
      <c r="B510" s="25" t="s">
        <v>40</v>
      </c>
      <c r="C510" s="9" t="s">
        <v>111</v>
      </c>
      <c r="D510" s="25" t="s">
        <v>122</v>
      </c>
      <c r="E510" s="25" t="s">
        <v>129</v>
      </c>
      <c r="F510" s="26">
        <v>294.18</v>
      </c>
      <c r="G510" s="27">
        <v>317.71000000000004</v>
      </c>
    </row>
    <row r="511" spans="1:7" ht="14.4" x14ac:dyDescent="0.25">
      <c r="A511" s="28">
        <v>41957</v>
      </c>
      <c r="B511" s="29" t="s">
        <v>22</v>
      </c>
      <c r="C511" s="14" t="s">
        <v>78</v>
      </c>
      <c r="D511" s="29" t="s">
        <v>119</v>
      </c>
      <c r="E511" s="29" t="s">
        <v>130</v>
      </c>
      <c r="F511" s="30">
        <v>698.31</v>
      </c>
      <c r="G511" s="31">
        <v>712.28</v>
      </c>
    </row>
    <row r="512" spans="1:7" ht="14.4" x14ac:dyDescent="0.25">
      <c r="A512" s="24">
        <v>41958</v>
      </c>
      <c r="B512" s="25" t="s">
        <v>24</v>
      </c>
      <c r="C512" s="9" t="s">
        <v>107</v>
      </c>
      <c r="D512" s="25" t="s">
        <v>119</v>
      </c>
      <c r="E512" s="25" t="s">
        <v>128</v>
      </c>
      <c r="F512" s="26">
        <v>692.57</v>
      </c>
      <c r="G512" s="27">
        <v>692.57</v>
      </c>
    </row>
    <row r="513" spans="1:7" ht="14.4" x14ac:dyDescent="0.25">
      <c r="A513" s="28">
        <v>41959</v>
      </c>
      <c r="B513" s="29" t="s">
        <v>30</v>
      </c>
      <c r="C513" s="14" t="s">
        <v>88</v>
      </c>
      <c r="D513" s="29" t="s">
        <v>120</v>
      </c>
      <c r="E513" s="29" t="s">
        <v>128</v>
      </c>
      <c r="F513" s="30">
        <v>984.51</v>
      </c>
      <c r="G513" s="31">
        <v>954.97</v>
      </c>
    </row>
    <row r="514" spans="1:7" ht="14.4" x14ac:dyDescent="0.25">
      <c r="A514" s="24">
        <v>41963</v>
      </c>
      <c r="B514" s="25" t="s">
        <v>17</v>
      </c>
      <c r="C514" s="9" t="s">
        <v>74</v>
      </c>
      <c r="D514" s="25" t="s">
        <v>119</v>
      </c>
      <c r="E514" s="25" t="s">
        <v>130</v>
      </c>
      <c r="F514" s="26">
        <v>573.24</v>
      </c>
      <c r="G514" s="27">
        <v>613.37</v>
      </c>
    </row>
    <row r="515" spans="1:7" ht="14.4" x14ac:dyDescent="0.25">
      <c r="A515" s="28">
        <v>41964</v>
      </c>
      <c r="B515" s="29" t="s">
        <v>49</v>
      </c>
      <c r="C515" s="14" t="s">
        <v>72</v>
      </c>
      <c r="D515" s="29" t="s">
        <v>122</v>
      </c>
      <c r="E515" s="29" t="s">
        <v>129</v>
      </c>
      <c r="F515" s="30">
        <v>699.02</v>
      </c>
      <c r="G515" s="31">
        <v>719.99</v>
      </c>
    </row>
    <row r="516" spans="1:7" ht="14.4" x14ac:dyDescent="0.25">
      <c r="A516" s="24">
        <v>41966</v>
      </c>
      <c r="B516" s="25" t="s">
        <v>21</v>
      </c>
      <c r="C516" s="9" t="s">
        <v>79</v>
      </c>
      <c r="D516" s="25" t="s">
        <v>119</v>
      </c>
      <c r="E516" s="25" t="s">
        <v>130</v>
      </c>
      <c r="F516" s="26">
        <v>59.11</v>
      </c>
      <c r="G516" s="27">
        <v>54.379999999999995</v>
      </c>
    </row>
    <row r="517" spans="1:7" ht="14.4" x14ac:dyDescent="0.25">
      <c r="A517" s="28">
        <v>41966</v>
      </c>
      <c r="B517" s="29" t="s">
        <v>36</v>
      </c>
      <c r="C517" s="14" t="s">
        <v>57</v>
      </c>
      <c r="D517" s="29" t="s">
        <v>121</v>
      </c>
      <c r="E517" s="29" t="s">
        <v>128</v>
      </c>
      <c r="F517" s="30">
        <v>406.44</v>
      </c>
      <c r="G517" s="31">
        <v>377.99</v>
      </c>
    </row>
    <row r="518" spans="1:7" ht="14.4" x14ac:dyDescent="0.25">
      <c r="A518" s="24">
        <v>41966</v>
      </c>
      <c r="B518" s="25" t="s">
        <v>31</v>
      </c>
      <c r="C518" s="9" t="s">
        <v>85</v>
      </c>
      <c r="D518" s="25" t="s">
        <v>120</v>
      </c>
      <c r="E518" s="25" t="s">
        <v>128</v>
      </c>
      <c r="F518" s="26">
        <v>253.34</v>
      </c>
      <c r="G518" s="27">
        <v>243.21</v>
      </c>
    </row>
    <row r="519" spans="1:7" ht="14.4" x14ac:dyDescent="0.25">
      <c r="A519" s="28">
        <v>41969</v>
      </c>
      <c r="B519" s="29" t="s">
        <v>39</v>
      </c>
      <c r="C519" s="14" t="s">
        <v>75</v>
      </c>
      <c r="D519" s="29" t="s">
        <v>122</v>
      </c>
      <c r="E519" s="29" t="s">
        <v>130</v>
      </c>
      <c r="F519" s="30">
        <v>608.71</v>
      </c>
      <c r="G519" s="31">
        <v>547.84</v>
      </c>
    </row>
    <row r="520" spans="1:7" ht="14.4" x14ac:dyDescent="0.25">
      <c r="A520" s="24">
        <v>41969</v>
      </c>
      <c r="B520" s="25" t="s">
        <v>2</v>
      </c>
      <c r="C520" s="9" t="s">
        <v>108</v>
      </c>
      <c r="D520" s="25" t="s">
        <v>118</v>
      </c>
      <c r="E520" s="25" t="s">
        <v>128</v>
      </c>
      <c r="F520" s="26">
        <v>699.51</v>
      </c>
      <c r="G520" s="27">
        <v>706.51</v>
      </c>
    </row>
    <row r="521" spans="1:7" ht="14.4" x14ac:dyDescent="0.25">
      <c r="A521" s="28">
        <v>41969</v>
      </c>
      <c r="B521" s="29" t="s">
        <v>51</v>
      </c>
      <c r="C521" s="14" t="s">
        <v>86</v>
      </c>
      <c r="D521" s="29" t="s">
        <v>122</v>
      </c>
      <c r="E521" s="29" t="s">
        <v>129</v>
      </c>
      <c r="F521" s="30">
        <v>175.47</v>
      </c>
      <c r="G521" s="31">
        <v>175.47</v>
      </c>
    </row>
    <row r="522" spans="1:7" ht="14.4" x14ac:dyDescent="0.25">
      <c r="A522" s="24">
        <v>41970</v>
      </c>
      <c r="B522" s="25" t="s">
        <v>42</v>
      </c>
      <c r="C522" s="9" t="s">
        <v>69</v>
      </c>
      <c r="D522" s="25" t="s">
        <v>122</v>
      </c>
      <c r="E522" s="25" t="s">
        <v>129</v>
      </c>
      <c r="F522" s="26">
        <v>371.08</v>
      </c>
      <c r="G522" s="27">
        <v>374.78999999999996</v>
      </c>
    </row>
    <row r="523" spans="1:7" ht="14.4" x14ac:dyDescent="0.25">
      <c r="A523" s="28">
        <v>41976</v>
      </c>
      <c r="B523" s="29" t="s">
        <v>36</v>
      </c>
      <c r="C523" s="14" t="s">
        <v>90</v>
      </c>
      <c r="D523" s="29" t="s">
        <v>121</v>
      </c>
      <c r="E523" s="29" t="s">
        <v>129</v>
      </c>
      <c r="F523" s="30">
        <v>695.93</v>
      </c>
      <c r="G523" s="31">
        <v>675.05</v>
      </c>
    </row>
    <row r="524" spans="1:7" ht="14.4" x14ac:dyDescent="0.25">
      <c r="A524" s="24">
        <v>41977</v>
      </c>
      <c r="B524" s="25" t="s">
        <v>48</v>
      </c>
      <c r="C524" s="9" t="s">
        <v>82</v>
      </c>
      <c r="D524" s="25" t="s">
        <v>122</v>
      </c>
      <c r="E524" s="25" t="s">
        <v>130</v>
      </c>
      <c r="F524" s="26">
        <v>66.06</v>
      </c>
      <c r="G524" s="27">
        <v>65.400000000000006</v>
      </c>
    </row>
    <row r="525" spans="1:7" ht="14.4" x14ac:dyDescent="0.25">
      <c r="A525" s="28">
        <v>41981</v>
      </c>
      <c r="B525" s="29" t="s">
        <v>41</v>
      </c>
      <c r="C525" s="14" t="s">
        <v>68</v>
      </c>
      <c r="D525" s="29" t="s">
        <v>122</v>
      </c>
      <c r="E525" s="29" t="s">
        <v>129</v>
      </c>
      <c r="F525" s="30">
        <v>432.15</v>
      </c>
      <c r="G525" s="31">
        <v>388.92999999999995</v>
      </c>
    </row>
    <row r="526" spans="1:7" ht="14.4" x14ac:dyDescent="0.25">
      <c r="A526" s="24">
        <v>41994</v>
      </c>
      <c r="B526" s="25" t="s">
        <v>14</v>
      </c>
      <c r="C526" s="9" t="s">
        <v>83</v>
      </c>
      <c r="D526" s="25" t="s">
        <v>118</v>
      </c>
      <c r="E526" s="25" t="s">
        <v>130</v>
      </c>
      <c r="F526" s="26">
        <v>70.25</v>
      </c>
      <c r="G526" s="27">
        <v>64.63</v>
      </c>
    </row>
    <row r="527" spans="1:7" ht="14.4" x14ac:dyDescent="0.25">
      <c r="A527" s="28">
        <v>41998</v>
      </c>
      <c r="B527" s="29" t="s">
        <v>48</v>
      </c>
      <c r="C527" s="14" t="s">
        <v>71</v>
      </c>
      <c r="D527" s="29" t="s">
        <v>122</v>
      </c>
      <c r="E527" s="29" t="s">
        <v>130</v>
      </c>
      <c r="F527" s="30">
        <v>646.36</v>
      </c>
      <c r="G527" s="31">
        <v>698.07</v>
      </c>
    </row>
    <row r="528" spans="1:7" ht="14.4" x14ac:dyDescent="0.25">
      <c r="A528" s="24">
        <v>42000</v>
      </c>
      <c r="B528" s="25" t="s">
        <v>29</v>
      </c>
      <c r="C528" s="9" t="s">
        <v>98</v>
      </c>
      <c r="D528" s="25" t="s">
        <v>120</v>
      </c>
      <c r="E528" s="25" t="s">
        <v>129</v>
      </c>
      <c r="F528" s="26">
        <v>43.55</v>
      </c>
      <c r="G528" s="27">
        <v>40.94</v>
      </c>
    </row>
    <row r="529" spans="1:7" ht="14.4" x14ac:dyDescent="0.25">
      <c r="A529" s="28">
        <v>42005</v>
      </c>
      <c r="B529" s="29" t="s">
        <v>17</v>
      </c>
      <c r="C529" s="14" t="s">
        <v>74</v>
      </c>
      <c r="D529" s="29" t="s">
        <v>119</v>
      </c>
      <c r="E529" s="29" t="s">
        <v>129</v>
      </c>
      <c r="F529" s="30">
        <v>421.39</v>
      </c>
      <c r="G529" s="31">
        <v>446.66999999999996</v>
      </c>
    </row>
    <row r="530" spans="1:7" ht="14.4" x14ac:dyDescent="0.25">
      <c r="A530" s="24">
        <v>42005</v>
      </c>
      <c r="B530" s="25" t="s">
        <v>18</v>
      </c>
      <c r="C530" s="9" t="s">
        <v>63</v>
      </c>
      <c r="D530" s="25" t="s">
        <v>119</v>
      </c>
      <c r="E530" s="25" t="s">
        <v>130</v>
      </c>
      <c r="F530" s="26">
        <v>215.26</v>
      </c>
      <c r="G530" s="27">
        <v>206.64999999999998</v>
      </c>
    </row>
    <row r="531" spans="1:7" ht="14.4" x14ac:dyDescent="0.25">
      <c r="A531" s="28">
        <v>42006</v>
      </c>
      <c r="B531" s="29" t="s">
        <v>33</v>
      </c>
      <c r="C531" s="14" t="s">
        <v>115</v>
      </c>
      <c r="D531" s="29" t="s">
        <v>121</v>
      </c>
      <c r="E531" s="29" t="s">
        <v>129</v>
      </c>
      <c r="F531" s="30">
        <v>471.08</v>
      </c>
      <c r="G531" s="31">
        <v>471.08</v>
      </c>
    </row>
    <row r="532" spans="1:7" ht="14.4" x14ac:dyDescent="0.25">
      <c r="A532" s="24">
        <v>42006</v>
      </c>
      <c r="B532" s="25" t="s">
        <v>27</v>
      </c>
      <c r="C532" s="9" t="s">
        <v>110</v>
      </c>
      <c r="D532" s="25" t="s">
        <v>120</v>
      </c>
      <c r="E532" s="25" t="s">
        <v>130</v>
      </c>
      <c r="F532" s="26">
        <v>435.44</v>
      </c>
      <c r="G532" s="27">
        <v>413.67</v>
      </c>
    </row>
    <row r="533" spans="1:7" ht="14.4" x14ac:dyDescent="0.25">
      <c r="A533" s="28">
        <v>42006</v>
      </c>
      <c r="B533" s="29" t="s">
        <v>23</v>
      </c>
      <c r="C533" s="14" t="s">
        <v>109</v>
      </c>
      <c r="D533" s="29" t="s">
        <v>119</v>
      </c>
      <c r="E533" s="29" t="s">
        <v>128</v>
      </c>
      <c r="F533" s="30">
        <v>207.77</v>
      </c>
      <c r="G533" s="31">
        <v>201.54000000000002</v>
      </c>
    </row>
    <row r="534" spans="1:7" ht="14.4" x14ac:dyDescent="0.25">
      <c r="A534" s="24">
        <v>42006</v>
      </c>
      <c r="B534" s="25" t="s">
        <v>45</v>
      </c>
      <c r="C534" s="9" t="s">
        <v>101</v>
      </c>
      <c r="D534" s="25" t="s">
        <v>122</v>
      </c>
      <c r="E534" s="25" t="s">
        <v>128</v>
      </c>
      <c r="F534" s="26">
        <v>242.66</v>
      </c>
      <c r="G534" s="27">
        <v>223.25</v>
      </c>
    </row>
    <row r="535" spans="1:7" ht="14.4" x14ac:dyDescent="0.25">
      <c r="A535" s="28">
        <v>42007</v>
      </c>
      <c r="B535" s="29" t="s">
        <v>8</v>
      </c>
      <c r="C535" s="14" t="s">
        <v>54</v>
      </c>
      <c r="D535" s="29" t="s">
        <v>118</v>
      </c>
      <c r="E535" s="29" t="s">
        <v>128</v>
      </c>
      <c r="F535" s="30">
        <v>549.94000000000005</v>
      </c>
      <c r="G535" s="31">
        <v>511.44000000000005</v>
      </c>
    </row>
    <row r="536" spans="1:7" ht="14.4" x14ac:dyDescent="0.25">
      <c r="A536" s="24">
        <v>42007</v>
      </c>
      <c r="B536" s="25" t="s">
        <v>16</v>
      </c>
      <c r="C536" s="9" t="s">
        <v>61</v>
      </c>
      <c r="D536" s="25" t="s">
        <v>118</v>
      </c>
      <c r="E536" s="25" t="s">
        <v>128</v>
      </c>
      <c r="F536" s="26">
        <v>438.85</v>
      </c>
      <c r="G536" s="27">
        <v>412.52000000000004</v>
      </c>
    </row>
    <row r="537" spans="1:7" ht="14.4" x14ac:dyDescent="0.25">
      <c r="A537" s="28">
        <v>42008</v>
      </c>
      <c r="B537" s="29" t="s">
        <v>6</v>
      </c>
      <c r="C537" s="14" t="s">
        <v>81</v>
      </c>
      <c r="D537" s="29" t="s">
        <v>118</v>
      </c>
      <c r="E537" s="29" t="s">
        <v>129</v>
      </c>
      <c r="F537" s="30">
        <v>538.35</v>
      </c>
      <c r="G537" s="31">
        <v>538.35</v>
      </c>
    </row>
    <row r="538" spans="1:7" ht="14.4" x14ac:dyDescent="0.25">
      <c r="A538" s="24">
        <v>42008</v>
      </c>
      <c r="B538" s="25" t="s">
        <v>7</v>
      </c>
      <c r="C538" s="9" t="s">
        <v>99</v>
      </c>
      <c r="D538" s="25" t="s">
        <v>118</v>
      </c>
      <c r="E538" s="25" t="s">
        <v>130</v>
      </c>
      <c r="F538" s="26">
        <v>444.48</v>
      </c>
      <c r="G538" s="27">
        <v>431.15000000000003</v>
      </c>
    </row>
    <row r="539" spans="1:7" ht="14.4" x14ac:dyDescent="0.25">
      <c r="A539" s="28">
        <v>42009</v>
      </c>
      <c r="B539" s="29" t="s">
        <v>43</v>
      </c>
      <c r="C539" s="14" t="s">
        <v>106</v>
      </c>
      <c r="D539" s="29" t="s">
        <v>122</v>
      </c>
      <c r="E539" s="29" t="s">
        <v>129</v>
      </c>
      <c r="F539" s="30">
        <v>119.64</v>
      </c>
      <c r="G539" s="31">
        <v>108.87</v>
      </c>
    </row>
    <row r="540" spans="1:7" ht="14.4" x14ac:dyDescent="0.25">
      <c r="A540" s="24">
        <v>42009</v>
      </c>
      <c r="B540" s="25" t="s">
        <v>25</v>
      </c>
      <c r="C540" s="9" t="s">
        <v>94</v>
      </c>
      <c r="D540" s="25" t="s">
        <v>119</v>
      </c>
      <c r="E540" s="25" t="s">
        <v>130</v>
      </c>
      <c r="F540" s="26">
        <v>246.07</v>
      </c>
      <c r="G540" s="27">
        <v>253.45</v>
      </c>
    </row>
    <row r="541" spans="1:7" ht="14.4" x14ac:dyDescent="0.25">
      <c r="A541" s="28">
        <v>42009</v>
      </c>
      <c r="B541" s="29" t="s">
        <v>50</v>
      </c>
      <c r="C541" s="14" t="s">
        <v>92</v>
      </c>
      <c r="D541" s="29" t="s">
        <v>122</v>
      </c>
      <c r="E541" s="29" t="s">
        <v>130</v>
      </c>
      <c r="F541" s="30">
        <v>490.82</v>
      </c>
      <c r="G541" s="31">
        <v>495.73</v>
      </c>
    </row>
    <row r="542" spans="1:7" ht="14.4" x14ac:dyDescent="0.25">
      <c r="A542" s="24">
        <v>42010</v>
      </c>
      <c r="B542" s="25" t="s">
        <v>37</v>
      </c>
      <c r="C542" s="9" t="s">
        <v>87</v>
      </c>
      <c r="D542" s="25" t="s">
        <v>121</v>
      </c>
      <c r="E542" s="25" t="s">
        <v>128</v>
      </c>
      <c r="F542" s="26">
        <v>276.93</v>
      </c>
      <c r="G542" s="27">
        <v>263.08</v>
      </c>
    </row>
    <row r="543" spans="1:7" ht="14.4" x14ac:dyDescent="0.25">
      <c r="A543" s="28">
        <v>42011</v>
      </c>
      <c r="B543" s="29" t="s">
        <v>22</v>
      </c>
      <c r="C543" s="14" t="s">
        <v>77</v>
      </c>
      <c r="D543" s="29" t="s">
        <v>119</v>
      </c>
      <c r="E543" s="29" t="s">
        <v>129</v>
      </c>
      <c r="F543" s="30">
        <v>801.68</v>
      </c>
      <c r="G543" s="31">
        <v>729.53</v>
      </c>
    </row>
    <row r="544" spans="1:7" ht="14.4" x14ac:dyDescent="0.25">
      <c r="A544" s="24">
        <v>42012</v>
      </c>
      <c r="B544" s="25" t="s">
        <v>39</v>
      </c>
      <c r="C544" s="9" t="s">
        <v>75</v>
      </c>
      <c r="D544" s="25" t="s">
        <v>122</v>
      </c>
      <c r="E544" s="25" t="s">
        <v>130</v>
      </c>
      <c r="F544" s="26">
        <v>685.99</v>
      </c>
      <c r="G544" s="27">
        <v>658.55</v>
      </c>
    </row>
    <row r="545" spans="1:7" ht="14.4" x14ac:dyDescent="0.25">
      <c r="A545" s="28">
        <v>42012</v>
      </c>
      <c r="B545" s="29" t="s">
        <v>44</v>
      </c>
      <c r="C545" s="14" t="s">
        <v>104</v>
      </c>
      <c r="D545" s="29" t="s">
        <v>122</v>
      </c>
      <c r="E545" s="29" t="s">
        <v>129</v>
      </c>
      <c r="F545" s="30">
        <v>65.349999999999994</v>
      </c>
      <c r="G545" s="31">
        <v>66.66</v>
      </c>
    </row>
    <row r="546" spans="1:7" ht="14.4" x14ac:dyDescent="0.25">
      <c r="A546" s="24">
        <v>42012</v>
      </c>
      <c r="B546" s="25" t="s">
        <v>10</v>
      </c>
      <c r="C546" s="9" t="s">
        <v>93</v>
      </c>
      <c r="D546" s="25" t="s">
        <v>118</v>
      </c>
      <c r="E546" s="25" t="s">
        <v>129</v>
      </c>
      <c r="F546" s="26">
        <v>793.93</v>
      </c>
      <c r="G546" s="27">
        <v>857.43999999999994</v>
      </c>
    </row>
    <row r="547" spans="1:7" ht="14.4" x14ac:dyDescent="0.25">
      <c r="A547" s="28">
        <v>42012</v>
      </c>
      <c r="B547" s="29" t="s">
        <v>36</v>
      </c>
      <c r="C547" s="14" t="s">
        <v>57</v>
      </c>
      <c r="D547" s="29" t="s">
        <v>121</v>
      </c>
      <c r="E547" s="29" t="s">
        <v>128</v>
      </c>
      <c r="F547" s="30">
        <v>664.97</v>
      </c>
      <c r="G547" s="31">
        <v>704.87</v>
      </c>
    </row>
    <row r="548" spans="1:7" ht="14.4" x14ac:dyDescent="0.25">
      <c r="A548" s="24">
        <v>42012</v>
      </c>
      <c r="B548" s="25" t="s">
        <v>30</v>
      </c>
      <c r="C548" s="9" t="s">
        <v>88</v>
      </c>
      <c r="D548" s="25" t="s">
        <v>120</v>
      </c>
      <c r="E548" s="25" t="s">
        <v>128</v>
      </c>
      <c r="F548" s="26">
        <v>982.34</v>
      </c>
      <c r="G548" s="27">
        <v>943.05000000000007</v>
      </c>
    </row>
    <row r="549" spans="1:7" ht="14.4" x14ac:dyDescent="0.25">
      <c r="A549" s="28">
        <v>42013</v>
      </c>
      <c r="B549" s="29" t="s">
        <v>21</v>
      </c>
      <c r="C549" s="14" t="s">
        <v>79</v>
      </c>
      <c r="D549" s="29" t="s">
        <v>119</v>
      </c>
      <c r="E549" s="29" t="s">
        <v>129</v>
      </c>
      <c r="F549" s="30">
        <v>850.34</v>
      </c>
      <c r="G549" s="31">
        <v>765.31000000000006</v>
      </c>
    </row>
    <row r="550" spans="1:7" ht="14.4" x14ac:dyDescent="0.25">
      <c r="A550" s="24">
        <v>42013</v>
      </c>
      <c r="B550" s="25" t="s">
        <v>1</v>
      </c>
      <c r="C550" s="9" t="s">
        <v>1</v>
      </c>
      <c r="D550" s="25" t="s">
        <v>118</v>
      </c>
      <c r="E550" s="25" t="s">
        <v>130</v>
      </c>
      <c r="F550" s="26">
        <v>833.21</v>
      </c>
      <c r="G550" s="27">
        <v>816.55000000000007</v>
      </c>
    </row>
    <row r="551" spans="1:7" ht="14.4" x14ac:dyDescent="0.25">
      <c r="A551" s="28">
        <v>42013</v>
      </c>
      <c r="B551" s="29" t="s">
        <v>6</v>
      </c>
      <c r="C551" s="14" t="s">
        <v>80</v>
      </c>
      <c r="D551" s="29" t="s">
        <v>118</v>
      </c>
      <c r="E551" s="29" t="s">
        <v>128</v>
      </c>
      <c r="F551" s="30">
        <v>74.760000000000005</v>
      </c>
      <c r="G551" s="31">
        <v>80.740000000000009</v>
      </c>
    </row>
    <row r="552" spans="1:7" ht="14.4" x14ac:dyDescent="0.25">
      <c r="A552" s="24">
        <v>42014</v>
      </c>
      <c r="B552" s="25" t="s">
        <v>24</v>
      </c>
      <c r="C552" s="9" t="s">
        <v>107</v>
      </c>
      <c r="D552" s="25" t="s">
        <v>119</v>
      </c>
      <c r="E552" s="25" t="s">
        <v>130</v>
      </c>
      <c r="F552" s="26">
        <v>46.01</v>
      </c>
      <c r="G552" s="27">
        <v>41.41</v>
      </c>
    </row>
    <row r="553" spans="1:7" ht="14.4" x14ac:dyDescent="0.25">
      <c r="A553" s="28">
        <v>42014</v>
      </c>
      <c r="B553" s="29" t="s">
        <v>41</v>
      </c>
      <c r="C553" s="14" t="s">
        <v>68</v>
      </c>
      <c r="D553" s="29" t="s">
        <v>122</v>
      </c>
      <c r="E553" s="29" t="s">
        <v>130</v>
      </c>
      <c r="F553" s="30">
        <v>992.12</v>
      </c>
      <c r="G553" s="31">
        <v>972.28</v>
      </c>
    </row>
    <row r="554" spans="1:7" ht="14.4" x14ac:dyDescent="0.25">
      <c r="A554" s="24">
        <v>42014</v>
      </c>
      <c r="B554" s="25" t="s">
        <v>48</v>
      </c>
      <c r="C554" s="9" t="s">
        <v>56</v>
      </c>
      <c r="D554" s="25" t="s">
        <v>122</v>
      </c>
      <c r="E554" s="25" t="s">
        <v>130</v>
      </c>
      <c r="F554" s="26">
        <v>364.23</v>
      </c>
      <c r="G554" s="27">
        <v>342.38</v>
      </c>
    </row>
    <row r="555" spans="1:7" ht="14.4" x14ac:dyDescent="0.25">
      <c r="A555" s="28">
        <v>42015</v>
      </c>
      <c r="B555" s="29" t="s">
        <v>5</v>
      </c>
      <c r="C555" s="14" t="s">
        <v>102</v>
      </c>
      <c r="D555" s="29" t="s">
        <v>118</v>
      </c>
      <c r="E555" s="29" t="s">
        <v>130</v>
      </c>
      <c r="F555" s="30">
        <v>134.01</v>
      </c>
      <c r="G555" s="31">
        <v>128.64999999999998</v>
      </c>
    </row>
    <row r="556" spans="1:7" ht="14.4" x14ac:dyDescent="0.25">
      <c r="A556" s="24">
        <v>42016</v>
      </c>
      <c r="B556" s="25" t="s">
        <v>0</v>
      </c>
      <c r="C556" s="9" t="s">
        <v>114</v>
      </c>
      <c r="D556" s="25" t="s">
        <v>118</v>
      </c>
      <c r="E556" s="25" t="s">
        <v>129</v>
      </c>
      <c r="F556" s="26">
        <v>118.96</v>
      </c>
      <c r="G556" s="27">
        <v>121.33999999999999</v>
      </c>
    </row>
    <row r="557" spans="1:7" ht="14.4" x14ac:dyDescent="0.25">
      <c r="A557" s="28">
        <v>42016</v>
      </c>
      <c r="B557" s="29" t="s">
        <v>35</v>
      </c>
      <c r="C557" s="14" t="s">
        <v>97</v>
      </c>
      <c r="D557" s="29" t="s">
        <v>121</v>
      </c>
      <c r="E557" s="29" t="s">
        <v>129</v>
      </c>
      <c r="F557" s="30">
        <v>927.03</v>
      </c>
      <c r="G557" s="31">
        <v>880.68</v>
      </c>
    </row>
    <row r="558" spans="1:7" ht="14.4" x14ac:dyDescent="0.25">
      <c r="A558" s="24">
        <v>42016</v>
      </c>
      <c r="B558" s="25" t="s">
        <v>15</v>
      </c>
      <c r="C558" s="9" t="s">
        <v>60</v>
      </c>
      <c r="D558" s="25" t="s">
        <v>118</v>
      </c>
      <c r="E558" s="25" t="s">
        <v>130</v>
      </c>
      <c r="F558" s="26">
        <v>182.1</v>
      </c>
      <c r="G558" s="27">
        <v>183.92</v>
      </c>
    </row>
    <row r="559" spans="1:7" ht="14.4" x14ac:dyDescent="0.25">
      <c r="A559" s="28">
        <v>42017</v>
      </c>
      <c r="B559" s="29" t="s">
        <v>19</v>
      </c>
      <c r="C559" s="14" t="s">
        <v>113</v>
      </c>
      <c r="D559" s="29" t="s">
        <v>119</v>
      </c>
      <c r="E559" s="29" t="s">
        <v>128</v>
      </c>
      <c r="F559" s="30">
        <v>743.9</v>
      </c>
      <c r="G559" s="31">
        <v>691.82999999999993</v>
      </c>
    </row>
    <row r="560" spans="1:7" ht="14.4" x14ac:dyDescent="0.25">
      <c r="A560" s="24">
        <v>42017</v>
      </c>
      <c r="B560" s="25" t="s">
        <v>12</v>
      </c>
      <c r="C560" s="9" t="s">
        <v>89</v>
      </c>
      <c r="D560" s="25" t="s">
        <v>118</v>
      </c>
      <c r="E560" s="25" t="s">
        <v>129</v>
      </c>
      <c r="F560" s="26">
        <v>619.94000000000005</v>
      </c>
      <c r="G560" s="27">
        <v>669.54000000000008</v>
      </c>
    </row>
    <row r="561" spans="1:7" ht="14.4" x14ac:dyDescent="0.25">
      <c r="A561" s="28">
        <v>42017</v>
      </c>
      <c r="B561" s="29" t="s">
        <v>31</v>
      </c>
      <c r="C561" s="14" t="s">
        <v>85</v>
      </c>
      <c r="D561" s="29" t="s">
        <v>120</v>
      </c>
      <c r="E561" s="29" t="s">
        <v>130</v>
      </c>
      <c r="F561" s="30">
        <v>272.94</v>
      </c>
      <c r="G561" s="31">
        <v>245.65</v>
      </c>
    </row>
    <row r="562" spans="1:7" ht="14.4" x14ac:dyDescent="0.25">
      <c r="A562" s="24">
        <v>42018</v>
      </c>
      <c r="B562" s="25" t="s">
        <v>26</v>
      </c>
      <c r="C562" s="9" t="s">
        <v>117</v>
      </c>
      <c r="D562" s="25" t="s">
        <v>120</v>
      </c>
      <c r="E562" s="25" t="s">
        <v>129</v>
      </c>
      <c r="F562" s="26">
        <v>477.01</v>
      </c>
      <c r="G562" s="27">
        <v>481.78</v>
      </c>
    </row>
    <row r="563" spans="1:7" ht="14.4" x14ac:dyDescent="0.25">
      <c r="A563" s="28">
        <v>42018</v>
      </c>
      <c r="B563" s="29" t="s">
        <v>22</v>
      </c>
      <c r="C563" s="14" t="s">
        <v>78</v>
      </c>
      <c r="D563" s="29" t="s">
        <v>119</v>
      </c>
      <c r="E563" s="29" t="s">
        <v>130</v>
      </c>
      <c r="F563" s="30">
        <v>897.4</v>
      </c>
      <c r="G563" s="31">
        <v>807.66</v>
      </c>
    </row>
    <row r="564" spans="1:7" ht="14.4" x14ac:dyDescent="0.25">
      <c r="A564" s="24">
        <v>42019</v>
      </c>
      <c r="B564" s="25" t="s">
        <v>34</v>
      </c>
      <c r="C564" s="9" t="s">
        <v>105</v>
      </c>
      <c r="D564" s="25" t="s">
        <v>121</v>
      </c>
      <c r="E564" s="25" t="s">
        <v>128</v>
      </c>
      <c r="F564" s="26">
        <v>264.39999999999998</v>
      </c>
      <c r="G564" s="27">
        <v>240.59999999999997</v>
      </c>
    </row>
    <row r="565" spans="1:7" ht="14.4" x14ac:dyDescent="0.25">
      <c r="A565" s="28">
        <v>42019</v>
      </c>
      <c r="B565" s="29" t="s">
        <v>9</v>
      </c>
      <c r="C565" s="14" t="s">
        <v>95</v>
      </c>
      <c r="D565" s="29" t="s">
        <v>118</v>
      </c>
      <c r="E565" s="29" t="s">
        <v>128</v>
      </c>
      <c r="F565" s="30">
        <v>543.44000000000005</v>
      </c>
      <c r="G565" s="31">
        <v>510.83000000000004</v>
      </c>
    </row>
    <row r="566" spans="1:7" ht="14.4" x14ac:dyDescent="0.25">
      <c r="A566" s="24">
        <v>42020</v>
      </c>
      <c r="B566" s="25" t="s">
        <v>2</v>
      </c>
      <c r="C566" s="9" t="s">
        <v>108</v>
      </c>
      <c r="D566" s="25" t="s">
        <v>118</v>
      </c>
      <c r="E566" s="25" t="s">
        <v>129</v>
      </c>
      <c r="F566" s="26">
        <v>506.01</v>
      </c>
      <c r="G566" s="27">
        <v>455.40999999999997</v>
      </c>
    </row>
    <row r="567" spans="1:7" ht="14.4" x14ac:dyDescent="0.25">
      <c r="A567" s="28">
        <v>42020</v>
      </c>
      <c r="B567" s="29" t="s">
        <v>48</v>
      </c>
      <c r="C567" s="14" t="s">
        <v>55</v>
      </c>
      <c r="D567" s="29" t="s">
        <v>122</v>
      </c>
      <c r="E567" s="29" t="s">
        <v>129</v>
      </c>
      <c r="F567" s="30">
        <v>113.28</v>
      </c>
      <c r="G567" s="31">
        <v>122.34</v>
      </c>
    </row>
    <row r="568" spans="1:7" ht="14.4" x14ac:dyDescent="0.25">
      <c r="A568" s="24">
        <v>42020</v>
      </c>
      <c r="B568" s="25" t="s">
        <v>32</v>
      </c>
      <c r="C568" s="9" t="s">
        <v>126</v>
      </c>
      <c r="D568" s="25" t="s">
        <v>120</v>
      </c>
      <c r="E568" s="25" t="s">
        <v>128</v>
      </c>
      <c r="F568" s="26">
        <v>388.17</v>
      </c>
      <c r="G568" s="27">
        <v>368.76</v>
      </c>
    </row>
    <row r="569" spans="1:7" ht="14.4" x14ac:dyDescent="0.25">
      <c r="A569" s="28">
        <v>42021</v>
      </c>
      <c r="B569" s="29" t="s">
        <v>4</v>
      </c>
      <c r="C569" s="14" t="s">
        <v>70</v>
      </c>
      <c r="D569" s="29" t="s">
        <v>118</v>
      </c>
      <c r="E569" s="29" t="s">
        <v>130</v>
      </c>
      <c r="F569" s="30">
        <v>344.77</v>
      </c>
      <c r="G569" s="31">
        <v>358.56</v>
      </c>
    </row>
    <row r="570" spans="1:7" ht="14.4" x14ac:dyDescent="0.25">
      <c r="A570" s="24">
        <v>42022</v>
      </c>
      <c r="B570" s="25" t="s">
        <v>41</v>
      </c>
      <c r="C570" s="9" t="s">
        <v>67</v>
      </c>
      <c r="D570" s="25" t="s">
        <v>122</v>
      </c>
      <c r="E570" s="25" t="s">
        <v>130</v>
      </c>
      <c r="F570" s="26">
        <v>797</v>
      </c>
      <c r="G570" s="27">
        <v>717.3</v>
      </c>
    </row>
    <row r="571" spans="1:7" ht="14.4" x14ac:dyDescent="0.25">
      <c r="A571" s="28">
        <v>42022</v>
      </c>
      <c r="B571" s="29" t="s">
        <v>46</v>
      </c>
      <c r="C571" s="14" t="s">
        <v>100</v>
      </c>
      <c r="D571" s="29" t="s">
        <v>122</v>
      </c>
      <c r="E571" s="29" t="s">
        <v>128</v>
      </c>
      <c r="F571" s="30">
        <v>308.86</v>
      </c>
      <c r="G571" s="31">
        <v>324.3</v>
      </c>
    </row>
    <row r="572" spans="1:7" ht="14.4" x14ac:dyDescent="0.25">
      <c r="A572" s="24">
        <v>42024</v>
      </c>
      <c r="B572" s="25" t="s">
        <v>28</v>
      </c>
      <c r="C572" s="9" t="s">
        <v>103</v>
      </c>
      <c r="D572" s="25" t="s">
        <v>120</v>
      </c>
      <c r="E572" s="25" t="s">
        <v>129</v>
      </c>
      <c r="F572" s="26">
        <v>492.08</v>
      </c>
      <c r="G572" s="27">
        <v>521.6</v>
      </c>
    </row>
    <row r="573" spans="1:7" ht="14.4" x14ac:dyDescent="0.25">
      <c r="A573" s="28">
        <v>42025</v>
      </c>
      <c r="B573" s="29" t="s">
        <v>22</v>
      </c>
      <c r="C573" s="14" t="s">
        <v>76</v>
      </c>
      <c r="D573" s="29" t="s">
        <v>119</v>
      </c>
      <c r="E573" s="29" t="s">
        <v>128</v>
      </c>
      <c r="F573" s="30">
        <v>98.66</v>
      </c>
      <c r="G573" s="31">
        <v>95.7</v>
      </c>
    </row>
    <row r="574" spans="1:7" ht="14.4" x14ac:dyDescent="0.25">
      <c r="A574" s="24">
        <v>42025</v>
      </c>
      <c r="B574" s="25" t="s">
        <v>3</v>
      </c>
      <c r="C574" s="9" t="s">
        <v>66</v>
      </c>
      <c r="D574" s="25" t="s">
        <v>118</v>
      </c>
      <c r="E574" s="25" t="s">
        <v>128</v>
      </c>
      <c r="F574" s="26">
        <v>447.81</v>
      </c>
      <c r="G574" s="27">
        <v>443.33</v>
      </c>
    </row>
    <row r="575" spans="1:7" ht="14.4" x14ac:dyDescent="0.25">
      <c r="A575" s="28">
        <v>42025</v>
      </c>
      <c r="B575" s="29" t="s">
        <v>48</v>
      </c>
      <c r="C575" s="14" t="s">
        <v>71</v>
      </c>
      <c r="D575" s="29" t="s">
        <v>122</v>
      </c>
      <c r="E575" s="29" t="s">
        <v>130</v>
      </c>
      <c r="F575" s="30">
        <v>309.47000000000003</v>
      </c>
      <c r="G575" s="31">
        <v>318.75</v>
      </c>
    </row>
    <row r="576" spans="1:7" ht="14.4" x14ac:dyDescent="0.25">
      <c r="A576" s="24">
        <v>42025</v>
      </c>
      <c r="B576" s="25" t="s">
        <v>49</v>
      </c>
      <c r="C576" s="9" t="s">
        <v>72</v>
      </c>
      <c r="D576" s="25" t="s">
        <v>122</v>
      </c>
      <c r="E576" s="25" t="s">
        <v>130</v>
      </c>
      <c r="F576" s="26">
        <v>153.18</v>
      </c>
      <c r="G576" s="27">
        <v>139.39000000000001</v>
      </c>
    </row>
    <row r="577" spans="1:7" ht="14.4" x14ac:dyDescent="0.25">
      <c r="A577" s="28">
        <v>42026</v>
      </c>
      <c r="B577" s="29" t="s">
        <v>38</v>
      </c>
      <c r="C577" s="14" t="s">
        <v>62</v>
      </c>
      <c r="D577" s="29" t="s">
        <v>122</v>
      </c>
      <c r="E577" s="29" t="s">
        <v>129</v>
      </c>
      <c r="F577" s="30">
        <v>400.69</v>
      </c>
      <c r="G577" s="31">
        <v>364.63</v>
      </c>
    </row>
    <row r="578" spans="1:7" ht="14.4" x14ac:dyDescent="0.25">
      <c r="A578" s="24">
        <v>42026</v>
      </c>
      <c r="B578" s="25" t="s">
        <v>40</v>
      </c>
      <c r="C578" s="9" t="s">
        <v>65</v>
      </c>
      <c r="D578" s="25" t="s">
        <v>122</v>
      </c>
      <c r="E578" s="25" t="s">
        <v>129</v>
      </c>
      <c r="F578" s="26">
        <v>783.96</v>
      </c>
      <c r="G578" s="27">
        <v>799.64</v>
      </c>
    </row>
    <row r="579" spans="1:7" ht="14.4" x14ac:dyDescent="0.25">
      <c r="A579" s="28">
        <v>42026</v>
      </c>
      <c r="B579" s="29" t="s">
        <v>40</v>
      </c>
      <c r="C579" s="14" t="s">
        <v>111</v>
      </c>
      <c r="D579" s="29" t="s">
        <v>122</v>
      </c>
      <c r="E579" s="29" t="s">
        <v>130</v>
      </c>
      <c r="F579" s="30">
        <v>961.4</v>
      </c>
      <c r="G579" s="31">
        <v>1028.7</v>
      </c>
    </row>
    <row r="580" spans="1:7" ht="14.4" x14ac:dyDescent="0.25">
      <c r="A580" s="24">
        <v>42026</v>
      </c>
      <c r="B580" s="25" t="s">
        <v>29</v>
      </c>
      <c r="C580" s="9" t="s">
        <v>98</v>
      </c>
      <c r="D580" s="25" t="s">
        <v>120</v>
      </c>
      <c r="E580" s="25" t="s">
        <v>129</v>
      </c>
      <c r="F580" s="26">
        <v>101.49</v>
      </c>
      <c r="G580" s="27">
        <v>93.36999999999999</v>
      </c>
    </row>
    <row r="581" spans="1:7" ht="14.4" x14ac:dyDescent="0.25">
      <c r="A581" s="28">
        <v>42026</v>
      </c>
      <c r="B581" s="29" t="s">
        <v>51</v>
      </c>
      <c r="C581" s="14" t="s">
        <v>86</v>
      </c>
      <c r="D581" s="29" t="s">
        <v>122</v>
      </c>
      <c r="E581" s="29" t="s">
        <v>128</v>
      </c>
      <c r="F581" s="30">
        <v>366.52</v>
      </c>
      <c r="G581" s="31">
        <v>329.87</v>
      </c>
    </row>
    <row r="582" spans="1:7" ht="14.4" x14ac:dyDescent="0.25">
      <c r="A582" s="24">
        <v>42027</v>
      </c>
      <c r="B582" s="25" t="s">
        <v>38</v>
      </c>
      <c r="C582" s="9" t="s">
        <v>116</v>
      </c>
      <c r="D582" s="25" t="s">
        <v>122</v>
      </c>
      <c r="E582" s="25" t="s">
        <v>129</v>
      </c>
      <c r="F582" s="26">
        <v>285.95999999999998</v>
      </c>
      <c r="G582" s="27">
        <v>277.38</v>
      </c>
    </row>
    <row r="583" spans="1:7" ht="14.4" x14ac:dyDescent="0.25">
      <c r="A583" s="28">
        <v>42027</v>
      </c>
      <c r="B583" s="29" t="s">
        <v>48</v>
      </c>
      <c r="C583" s="14" t="s">
        <v>82</v>
      </c>
      <c r="D583" s="29" t="s">
        <v>122</v>
      </c>
      <c r="E583" s="29" t="s">
        <v>130</v>
      </c>
      <c r="F583" s="30">
        <v>357.36</v>
      </c>
      <c r="G583" s="31">
        <v>364.51</v>
      </c>
    </row>
    <row r="584" spans="1:7" ht="14.4" x14ac:dyDescent="0.25">
      <c r="A584" s="24">
        <v>42027</v>
      </c>
      <c r="B584" s="25" t="s">
        <v>13</v>
      </c>
      <c r="C584" s="9" t="s">
        <v>73</v>
      </c>
      <c r="D584" s="25" t="s">
        <v>118</v>
      </c>
      <c r="E584" s="25" t="s">
        <v>130</v>
      </c>
      <c r="F584" s="26">
        <v>455.3</v>
      </c>
      <c r="G584" s="27">
        <v>473.51</v>
      </c>
    </row>
    <row r="585" spans="1:7" ht="14.4" x14ac:dyDescent="0.25">
      <c r="A585" s="28">
        <v>42027</v>
      </c>
      <c r="B585" s="29" t="s">
        <v>14</v>
      </c>
      <c r="C585" s="14" t="s">
        <v>83</v>
      </c>
      <c r="D585" s="29" t="s">
        <v>118</v>
      </c>
      <c r="E585" s="29" t="s">
        <v>129</v>
      </c>
      <c r="F585" s="30">
        <v>661.42</v>
      </c>
      <c r="G585" s="31">
        <v>654.80999999999995</v>
      </c>
    </row>
    <row r="586" spans="1:7" ht="14.4" x14ac:dyDescent="0.25">
      <c r="A586" s="24">
        <v>42029</v>
      </c>
      <c r="B586" s="25" t="s">
        <v>42</v>
      </c>
      <c r="C586" s="9" t="s">
        <v>69</v>
      </c>
      <c r="D586" s="25" t="s">
        <v>122</v>
      </c>
      <c r="E586" s="25" t="s">
        <v>130</v>
      </c>
      <c r="F586" s="26">
        <v>784.48</v>
      </c>
      <c r="G586" s="27">
        <v>823.7</v>
      </c>
    </row>
    <row r="587" spans="1:7" ht="14.4" x14ac:dyDescent="0.25">
      <c r="A587" s="28">
        <v>42029</v>
      </c>
      <c r="B587" s="29" t="s">
        <v>47</v>
      </c>
      <c r="C587" s="14" t="s">
        <v>96</v>
      </c>
      <c r="D587" s="29" t="s">
        <v>122</v>
      </c>
      <c r="E587" s="29" t="s">
        <v>130</v>
      </c>
      <c r="F587" s="30">
        <v>815.71</v>
      </c>
      <c r="G587" s="31">
        <v>848.34</v>
      </c>
    </row>
    <row r="588" spans="1:7" ht="14.4" x14ac:dyDescent="0.25">
      <c r="A588" s="24">
        <v>42029</v>
      </c>
      <c r="B588" s="25" t="s">
        <v>36</v>
      </c>
      <c r="C588" s="9" t="s">
        <v>59</v>
      </c>
      <c r="D588" s="25" t="s">
        <v>121</v>
      </c>
      <c r="E588" s="25" t="s">
        <v>128</v>
      </c>
      <c r="F588" s="26">
        <v>162</v>
      </c>
      <c r="G588" s="27">
        <v>152.28</v>
      </c>
    </row>
    <row r="589" spans="1:7" ht="14.4" x14ac:dyDescent="0.25">
      <c r="A589" s="28">
        <v>42030</v>
      </c>
      <c r="B589" s="29" t="s">
        <v>18</v>
      </c>
      <c r="C589" s="14" t="s">
        <v>64</v>
      </c>
      <c r="D589" s="29" t="s">
        <v>119</v>
      </c>
      <c r="E589" s="29" t="s">
        <v>130</v>
      </c>
      <c r="F589" s="30">
        <v>984.72</v>
      </c>
      <c r="G589" s="31">
        <v>905.94</v>
      </c>
    </row>
    <row r="590" spans="1:7" ht="14.4" x14ac:dyDescent="0.25">
      <c r="A590" s="24">
        <v>42030</v>
      </c>
      <c r="B590" s="25" t="s">
        <v>20</v>
      </c>
      <c r="C590" s="9" t="s">
        <v>112</v>
      </c>
      <c r="D590" s="25" t="s">
        <v>119</v>
      </c>
      <c r="E590" s="25" t="s">
        <v>128</v>
      </c>
      <c r="F590" s="26">
        <v>112.67</v>
      </c>
      <c r="G590" s="27">
        <v>117.18</v>
      </c>
    </row>
    <row r="591" spans="1:7" ht="14.4" x14ac:dyDescent="0.25">
      <c r="A591" s="28">
        <v>42030</v>
      </c>
      <c r="B591" s="29" t="s">
        <v>36</v>
      </c>
      <c r="C591" s="14" t="s">
        <v>90</v>
      </c>
      <c r="D591" s="29" t="s">
        <v>121</v>
      </c>
      <c r="E591" s="29" t="s">
        <v>129</v>
      </c>
      <c r="F591" s="30">
        <v>621.79</v>
      </c>
      <c r="G591" s="31">
        <v>603.14</v>
      </c>
    </row>
    <row r="592" spans="1:7" ht="14.4" x14ac:dyDescent="0.25">
      <c r="A592" s="24">
        <v>42031</v>
      </c>
      <c r="B592" s="25" t="s">
        <v>30</v>
      </c>
      <c r="C592" s="9" t="s">
        <v>88</v>
      </c>
      <c r="D592" s="25" t="s">
        <v>120</v>
      </c>
      <c r="E592" s="25" t="s">
        <v>130</v>
      </c>
      <c r="F592" s="26">
        <v>209.66</v>
      </c>
      <c r="G592" s="27">
        <v>194.98</v>
      </c>
    </row>
    <row r="593" spans="1:7" ht="14.4" x14ac:dyDescent="0.25">
      <c r="A593" s="28">
        <v>42032</v>
      </c>
      <c r="B593" s="29" t="s">
        <v>11</v>
      </c>
      <c r="C593" s="14" t="s">
        <v>91</v>
      </c>
      <c r="D593" s="29" t="s">
        <v>118</v>
      </c>
      <c r="E593" s="29" t="s">
        <v>129</v>
      </c>
      <c r="F593" s="30">
        <v>985.13</v>
      </c>
      <c r="G593" s="31">
        <v>926.02</v>
      </c>
    </row>
    <row r="594" spans="1:7" ht="14.4" x14ac:dyDescent="0.25">
      <c r="A594" s="24">
        <v>42032</v>
      </c>
      <c r="B594" s="25" t="s">
        <v>36</v>
      </c>
      <c r="C594" s="9" t="s">
        <v>58</v>
      </c>
      <c r="D594" s="25" t="s">
        <v>121</v>
      </c>
      <c r="E594" s="25" t="s">
        <v>128</v>
      </c>
      <c r="F594" s="26">
        <v>90.93</v>
      </c>
      <c r="G594" s="27">
        <v>96.39</v>
      </c>
    </row>
    <row r="595" spans="1:7" ht="14.4" x14ac:dyDescent="0.25">
      <c r="A595" s="28">
        <v>42038</v>
      </c>
      <c r="B595" s="29" t="s">
        <v>6</v>
      </c>
      <c r="C595" s="14" t="s">
        <v>80</v>
      </c>
      <c r="D595" s="29" t="s">
        <v>118</v>
      </c>
      <c r="E595" s="29" t="s">
        <v>129</v>
      </c>
      <c r="F595" s="30">
        <v>420.39</v>
      </c>
      <c r="G595" s="31">
        <v>445.61</v>
      </c>
    </row>
    <row r="596" spans="1:7" ht="14.4" x14ac:dyDescent="0.25">
      <c r="A596" s="24">
        <v>42040</v>
      </c>
      <c r="B596" s="25" t="s">
        <v>31</v>
      </c>
      <c r="C596" s="9" t="s">
        <v>85</v>
      </c>
      <c r="D596" s="25" t="s">
        <v>120</v>
      </c>
      <c r="E596" s="25" t="s">
        <v>130</v>
      </c>
      <c r="F596" s="26">
        <v>22.19</v>
      </c>
      <c r="G596" s="27">
        <v>22.860000000000003</v>
      </c>
    </row>
    <row r="597" spans="1:7" ht="14.4" x14ac:dyDescent="0.25">
      <c r="A597" s="28">
        <v>42041</v>
      </c>
      <c r="B597" s="29" t="s">
        <v>36</v>
      </c>
      <c r="C597" s="14" t="s">
        <v>57</v>
      </c>
      <c r="D597" s="29" t="s">
        <v>121</v>
      </c>
      <c r="E597" s="29" t="s">
        <v>129</v>
      </c>
      <c r="F597" s="30">
        <v>313.10000000000002</v>
      </c>
      <c r="G597" s="31">
        <v>288.05</v>
      </c>
    </row>
    <row r="598" spans="1:7" ht="14.4" x14ac:dyDescent="0.25">
      <c r="A598" s="24">
        <v>42042</v>
      </c>
      <c r="B598" s="25" t="s">
        <v>51</v>
      </c>
      <c r="C598" s="9" t="s">
        <v>86</v>
      </c>
      <c r="D598" s="25" t="s">
        <v>122</v>
      </c>
      <c r="E598" s="25" t="s">
        <v>128</v>
      </c>
      <c r="F598" s="26">
        <v>354.5</v>
      </c>
      <c r="G598" s="27">
        <v>350.95</v>
      </c>
    </row>
    <row r="599" spans="1:7" ht="14.4" x14ac:dyDescent="0.25">
      <c r="A599" s="28">
        <v>42045</v>
      </c>
      <c r="B599" s="29" t="s">
        <v>26</v>
      </c>
      <c r="C599" s="14" t="s">
        <v>117</v>
      </c>
      <c r="D599" s="29" t="s">
        <v>120</v>
      </c>
      <c r="E599" s="29" t="s">
        <v>128</v>
      </c>
      <c r="F599" s="30">
        <v>120.45</v>
      </c>
      <c r="G599" s="31">
        <v>120.45</v>
      </c>
    </row>
    <row r="600" spans="1:7" ht="14.4" x14ac:dyDescent="0.25">
      <c r="A600" s="24">
        <v>42048</v>
      </c>
      <c r="B600" s="25" t="s">
        <v>2</v>
      </c>
      <c r="C600" s="9" t="s">
        <v>108</v>
      </c>
      <c r="D600" s="25" t="s">
        <v>118</v>
      </c>
      <c r="E600" s="25" t="s">
        <v>130</v>
      </c>
      <c r="F600" s="26">
        <v>326.44</v>
      </c>
      <c r="G600" s="27">
        <v>300.32</v>
      </c>
    </row>
    <row r="601" spans="1:7" ht="14.4" x14ac:dyDescent="0.25">
      <c r="A601" s="28">
        <v>42049</v>
      </c>
      <c r="B601" s="29" t="s">
        <v>3</v>
      </c>
      <c r="C601" s="14" t="s">
        <v>66</v>
      </c>
      <c r="D601" s="29" t="s">
        <v>118</v>
      </c>
      <c r="E601" s="29" t="s">
        <v>129</v>
      </c>
      <c r="F601" s="30">
        <v>151.22999999999999</v>
      </c>
      <c r="G601" s="31">
        <v>163.32999999999998</v>
      </c>
    </row>
    <row r="602" spans="1:7" ht="14.4" x14ac:dyDescent="0.25">
      <c r="A602" s="24">
        <v>42051</v>
      </c>
      <c r="B602" s="25" t="s">
        <v>46</v>
      </c>
      <c r="C602" s="9" t="s">
        <v>100</v>
      </c>
      <c r="D602" s="25" t="s">
        <v>122</v>
      </c>
      <c r="E602" s="25" t="s">
        <v>130</v>
      </c>
      <c r="F602" s="26">
        <v>630.95000000000005</v>
      </c>
      <c r="G602" s="27">
        <v>624.6400000000001</v>
      </c>
    </row>
    <row r="603" spans="1:7" ht="14.4" x14ac:dyDescent="0.25">
      <c r="A603" s="28">
        <v>42051</v>
      </c>
      <c r="B603" s="29" t="s">
        <v>48</v>
      </c>
      <c r="C603" s="14" t="s">
        <v>55</v>
      </c>
      <c r="D603" s="29" t="s">
        <v>122</v>
      </c>
      <c r="E603" s="29" t="s">
        <v>129</v>
      </c>
      <c r="F603" s="30">
        <v>450.53</v>
      </c>
      <c r="G603" s="31">
        <v>486.57</v>
      </c>
    </row>
    <row r="604" spans="1:7" ht="14.4" x14ac:dyDescent="0.25">
      <c r="A604" s="24">
        <v>42052</v>
      </c>
      <c r="B604" s="25" t="s">
        <v>28</v>
      </c>
      <c r="C604" s="9" t="s">
        <v>103</v>
      </c>
      <c r="D604" s="25" t="s">
        <v>120</v>
      </c>
      <c r="E604" s="25" t="s">
        <v>129</v>
      </c>
      <c r="F604" s="26">
        <v>139.11000000000001</v>
      </c>
      <c r="G604" s="27">
        <v>133.55000000000001</v>
      </c>
    </row>
    <row r="605" spans="1:7" ht="14.4" x14ac:dyDescent="0.25">
      <c r="A605" s="28">
        <v>42053</v>
      </c>
      <c r="B605" s="29" t="s">
        <v>16</v>
      </c>
      <c r="C605" s="14" t="s">
        <v>61</v>
      </c>
      <c r="D605" s="29" t="s">
        <v>118</v>
      </c>
      <c r="E605" s="29" t="s">
        <v>130</v>
      </c>
      <c r="F605" s="30">
        <v>574.87</v>
      </c>
      <c r="G605" s="31">
        <v>574.87</v>
      </c>
    </row>
    <row r="606" spans="1:7" ht="14.4" x14ac:dyDescent="0.25">
      <c r="A606" s="24">
        <v>42054</v>
      </c>
      <c r="B606" s="25" t="s">
        <v>13</v>
      </c>
      <c r="C606" s="9" t="s">
        <v>73</v>
      </c>
      <c r="D606" s="25" t="s">
        <v>118</v>
      </c>
      <c r="E606" s="25" t="s">
        <v>128</v>
      </c>
      <c r="F606" s="26">
        <v>608.24</v>
      </c>
      <c r="G606" s="27">
        <v>583.91</v>
      </c>
    </row>
    <row r="607" spans="1:7" ht="14.4" x14ac:dyDescent="0.25">
      <c r="A607" s="28">
        <v>42058</v>
      </c>
      <c r="B607" s="29" t="s">
        <v>10</v>
      </c>
      <c r="C607" s="14" t="s">
        <v>93</v>
      </c>
      <c r="D607" s="29" t="s">
        <v>118</v>
      </c>
      <c r="E607" s="29" t="s">
        <v>128</v>
      </c>
      <c r="F607" s="30">
        <v>680.76</v>
      </c>
      <c r="G607" s="31">
        <v>714.8</v>
      </c>
    </row>
    <row r="608" spans="1:7" ht="14.4" x14ac:dyDescent="0.25">
      <c r="A608" s="24">
        <v>42064</v>
      </c>
      <c r="B608" s="25" t="s">
        <v>12</v>
      </c>
      <c r="C608" s="9" t="s">
        <v>89</v>
      </c>
      <c r="D608" s="25" t="s">
        <v>118</v>
      </c>
      <c r="E608" s="25" t="s">
        <v>128</v>
      </c>
      <c r="F608" s="26">
        <v>720.2</v>
      </c>
      <c r="G608" s="27">
        <v>741.81000000000006</v>
      </c>
    </row>
    <row r="609" spans="1:7" ht="14.4" x14ac:dyDescent="0.25">
      <c r="A609" s="28">
        <v>42067</v>
      </c>
      <c r="B609" s="29" t="s">
        <v>21</v>
      </c>
      <c r="C609" s="14" t="s">
        <v>79</v>
      </c>
      <c r="D609" s="29" t="s">
        <v>119</v>
      </c>
      <c r="E609" s="29" t="s">
        <v>128</v>
      </c>
      <c r="F609" s="30">
        <v>641.22</v>
      </c>
      <c r="G609" s="31">
        <v>647.63</v>
      </c>
    </row>
    <row r="610" spans="1:7" ht="14.4" x14ac:dyDescent="0.25">
      <c r="A610" s="24">
        <v>42071</v>
      </c>
      <c r="B610" s="25" t="s">
        <v>22</v>
      </c>
      <c r="C610" s="9" t="s">
        <v>76</v>
      </c>
      <c r="D610" s="25" t="s">
        <v>119</v>
      </c>
      <c r="E610" s="25" t="s">
        <v>129</v>
      </c>
      <c r="F610" s="26">
        <v>473.92</v>
      </c>
      <c r="G610" s="27">
        <v>426.53000000000003</v>
      </c>
    </row>
    <row r="611" spans="1:7" ht="14.4" x14ac:dyDescent="0.25">
      <c r="A611" s="28">
        <v>42072</v>
      </c>
      <c r="B611" s="29" t="s">
        <v>5</v>
      </c>
      <c r="C611" s="14" t="s">
        <v>102</v>
      </c>
      <c r="D611" s="29" t="s">
        <v>118</v>
      </c>
      <c r="E611" s="29" t="s">
        <v>130</v>
      </c>
      <c r="F611" s="30">
        <v>982.91</v>
      </c>
      <c r="G611" s="31">
        <v>992.74</v>
      </c>
    </row>
    <row r="612" spans="1:7" ht="14.4" x14ac:dyDescent="0.25">
      <c r="A612" s="24">
        <v>42073</v>
      </c>
      <c r="B612" s="25" t="s">
        <v>45</v>
      </c>
      <c r="C612" s="9" t="s">
        <v>101</v>
      </c>
      <c r="D612" s="25" t="s">
        <v>122</v>
      </c>
      <c r="E612" s="25" t="s">
        <v>129</v>
      </c>
      <c r="F612" s="26">
        <v>840.9</v>
      </c>
      <c r="G612" s="27">
        <v>899.76</v>
      </c>
    </row>
    <row r="613" spans="1:7" ht="14.4" x14ac:dyDescent="0.25">
      <c r="A613" s="28">
        <v>42075</v>
      </c>
      <c r="B613" s="29" t="s">
        <v>44</v>
      </c>
      <c r="C613" s="14" t="s">
        <v>104</v>
      </c>
      <c r="D613" s="29" t="s">
        <v>122</v>
      </c>
      <c r="E613" s="29" t="s">
        <v>130</v>
      </c>
      <c r="F613" s="30">
        <v>685.47</v>
      </c>
      <c r="G613" s="31">
        <v>733.45</v>
      </c>
    </row>
    <row r="614" spans="1:7" ht="14.4" x14ac:dyDescent="0.25">
      <c r="A614" s="24">
        <v>42077</v>
      </c>
      <c r="B614" s="25" t="s">
        <v>18</v>
      </c>
      <c r="C614" s="9" t="s">
        <v>63</v>
      </c>
      <c r="D614" s="25" t="s">
        <v>119</v>
      </c>
      <c r="E614" s="25" t="s">
        <v>130</v>
      </c>
      <c r="F614" s="26">
        <v>75.02</v>
      </c>
      <c r="G614" s="27">
        <v>78.02</v>
      </c>
    </row>
    <row r="615" spans="1:7" ht="14.4" x14ac:dyDescent="0.25">
      <c r="A615" s="28">
        <v>42078</v>
      </c>
      <c r="B615" s="29" t="s">
        <v>47</v>
      </c>
      <c r="C615" s="14" t="s">
        <v>96</v>
      </c>
      <c r="D615" s="29" t="s">
        <v>122</v>
      </c>
      <c r="E615" s="29" t="s">
        <v>130</v>
      </c>
      <c r="F615" s="30">
        <v>594.23</v>
      </c>
      <c r="G615" s="31">
        <v>606.11</v>
      </c>
    </row>
    <row r="616" spans="1:7" ht="14.4" x14ac:dyDescent="0.25">
      <c r="A616" s="24">
        <v>42078</v>
      </c>
      <c r="B616" s="25" t="s">
        <v>36</v>
      </c>
      <c r="C616" s="9" t="s">
        <v>90</v>
      </c>
      <c r="D616" s="25" t="s">
        <v>121</v>
      </c>
      <c r="E616" s="25" t="s">
        <v>128</v>
      </c>
      <c r="F616" s="26">
        <v>976.2</v>
      </c>
      <c r="G616" s="27">
        <v>1005.49</v>
      </c>
    </row>
    <row r="617" spans="1:7" ht="14.4" x14ac:dyDescent="0.25">
      <c r="A617" s="28">
        <v>42080</v>
      </c>
      <c r="B617" s="29" t="s">
        <v>41</v>
      </c>
      <c r="C617" s="14" t="s">
        <v>68</v>
      </c>
      <c r="D617" s="29" t="s">
        <v>122</v>
      </c>
      <c r="E617" s="29" t="s">
        <v>129</v>
      </c>
      <c r="F617" s="30">
        <v>450.76</v>
      </c>
      <c r="G617" s="31">
        <v>468.78999999999996</v>
      </c>
    </row>
    <row r="618" spans="1:7" ht="14.4" x14ac:dyDescent="0.25">
      <c r="A618" s="24">
        <v>42082</v>
      </c>
      <c r="B618" s="25" t="s">
        <v>20</v>
      </c>
      <c r="C618" s="9" t="s">
        <v>112</v>
      </c>
      <c r="D618" s="25" t="s">
        <v>119</v>
      </c>
      <c r="E618" s="25" t="s">
        <v>130</v>
      </c>
      <c r="F618" s="26">
        <v>157.34</v>
      </c>
      <c r="G618" s="27">
        <v>163.63</v>
      </c>
    </row>
    <row r="619" spans="1:7" ht="14.4" x14ac:dyDescent="0.25">
      <c r="A619" s="28">
        <v>42085</v>
      </c>
      <c r="B619" s="29" t="s">
        <v>37</v>
      </c>
      <c r="C619" s="14" t="s">
        <v>87</v>
      </c>
      <c r="D619" s="29" t="s">
        <v>121</v>
      </c>
      <c r="E619" s="29" t="s">
        <v>128</v>
      </c>
      <c r="F619" s="30">
        <v>242.06</v>
      </c>
      <c r="G619" s="31">
        <v>227.54</v>
      </c>
    </row>
    <row r="620" spans="1:7" ht="14.4" x14ac:dyDescent="0.25">
      <c r="A620" s="24">
        <v>42090</v>
      </c>
      <c r="B620" s="25" t="s">
        <v>39</v>
      </c>
      <c r="C620" s="9" t="s">
        <v>75</v>
      </c>
      <c r="D620" s="25" t="s">
        <v>122</v>
      </c>
      <c r="E620" s="25" t="s">
        <v>129</v>
      </c>
      <c r="F620" s="26">
        <v>684.08</v>
      </c>
      <c r="G620" s="27">
        <v>677.24</v>
      </c>
    </row>
    <row r="621" spans="1:7" ht="14.4" x14ac:dyDescent="0.25">
      <c r="A621" s="28">
        <v>42091</v>
      </c>
      <c r="B621" s="29" t="s">
        <v>40</v>
      </c>
      <c r="C621" s="14" t="s">
        <v>111</v>
      </c>
      <c r="D621" s="29" t="s">
        <v>122</v>
      </c>
      <c r="E621" s="29" t="s">
        <v>129</v>
      </c>
      <c r="F621" s="30">
        <v>736.04</v>
      </c>
      <c r="G621" s="31">
        <v>787.56</v>
      </c>
    </row>
    <row r="622" spans="1:7" ht="14.4" x14ac:dyDescent="0.25">
      <c r="A622" s="24">
        <v>42095</v>
      </c>
      <c r="B622" s="25" t="s">
        <v>18</v>
      </c>
      <c r="C622" s="9" t="s">
        <v>64</v>
      </c>
      <c r="D622" s="25" t="s">
        <v>119</v>
      </c>
      <c r="E622" s="25" t="s">
        <v>129</v>
      </c>
      <c r="F622" s="26">
        <v>735.16</v>
      </c>
      <c r="G622" s="27">
        <v>757.20999999999992</v>
      </c>
    </row>
    <row r="623" spans="1:7" ht="14.4" x14ac:dyDescent="0.25">
      <c r="A623" s="28">
        <v>42095</v>
      </c>
      <c r="B623" s="29" t="s">
        <v>19</v>
      </c>
      <c r="C623" s="14" t="s">
        <v>113</v>
      </c>
      <c r="D623" s="29" t="s">
        <v>119</v>
      </c>
      <c r="E623" s="29" t="s">
        <v>129</v>
      </c>
      <c r="F623" s="30">
        <v>595.08000000000004</v>
      </c>
      <c r="G623" s="31">
        <v>589.13</v>
      </c>
    </row>
    <row r="624" spans="1:7" ht="14.4" x14ac:dyDescent="0.25">
      <c r="A624" s="24">
        <v>42096</v>
      </c>
      <c r="B624" s="25" t="s">
        <v>8</v>
      </c>
      <c r="C624" s="9" t="s">
        <v>54</v>
      </c>
      <c r="D624" s="25" t="s">
        <v>118</v>
      </c>
      <c r="E624" s="25" t="s">
        <v>129</v>
      </c>
      <c r="F624" s="26">
        <v>994.49</v>
      </c>
      <c r="G624" s="27">
        <v>1054.1600000000001</v>
      </c>
    </row>
    <row r="625" spans="1:7" ht="14.4" x14ac:dyDescent="0.25">
      <c r="A625" s="28">
        <v>42098</v>
      </c>
      <c r="B625" s="29" t="s">
        <v>1</v>
      </c>
      <c r="C625" s="14" t="s">
        <v>1</v>
      </c>
      <c r="D625" s="29" t="s">
        <v>118</v>
      </c>
      <c r="E625" s="29" t="s">
        <v>130</v>
      </c>
      <c r="F625" s="30">
        <v>607.79999999999995</v>
      </c>
      <c r="G625" s="31">
        <v>613.88</v>
      </c>
    </row>
    <row r="626" spans="1:7" ht="14.4" x14ac:dyDescent="0.25">
      <c r="A626" s="24">
        <v>42104</v>
      </c>
      <c r="B626" s="25" t="s">
        <v>7</v>
      </c>
      <c r="C626" s="9" t="s">
        <v>99</v>
      </c>
      <c r="D626" s="25" t="s">
        <v>118</v>
      </c>
      <c r="E626" s="25" t="s">
        <v>129</v>
      </c>
      <c r="F626" s="26">
        <v>387.66</v>
      </c>
      <c r="G626" s="27">
        <v>410.92</v>
      </c>
    </row>
    <row r="627" spans="1:7" ht="14.4" x14ac:dyDescent="0.25">
      <c r="A627" s="28">
        <v>42106</v>
      </c>
      <c r="B627" s="29" t="s">
        <v>36</v>
      </c>
      <c r="C627" s="14" t="s">
        <v>58</v>
      </c>
      <c r="D627" s="29" t="s">
        <v>121</v>
      </c>
      <c r="E627" s="29" t="s">
        <v>128</v>
      </c>
      <c r="F627" s="30">
        <v>742.01</v>
      </c>
      <c r="G627" s="31">
        <v>764.27</v>
      </c>
    </row>
    <row r="628" spans="1:7" ht="14.4" x14ac:dyDescent="0.25">
      <c r="A628" s="24">
        <v>42108</v>
      </c>
      <c r="B628" s="25" t="s">
        <v>35</v>
      </c>
      <c r="C628" s="9" t="s">
        <v>97</v>
      </c>
      <c r="D628" s="25" t="s">
        <v>121</v>
      </c>
      <c r="E628" s="25" t="s">
        <v>128</v>
      </c>
      <c r="F628" s="26">
        <v>999.08</v>
      </c>
      <c r="G628" s="27">
        <v>979.1</v>
      </c>
    </row>
    <row r="629" spans="1:7" ht="14.4" x14ac:dyDescent="0.25">
      <c r="A629" s="28">
        <v>42110</v>
      </c>
      <c r="B629" s="29" t="s">
        <v>38</v>
      </c>
      <c r="C629" s="14" t="s">
        <v>62</v>
      </c>
      <c r="D629" s="29" t="s">
        <v>122</v>
      </c>
      <c r="E629" s="29" t="s">
        <v>129</v>
      </c>
      <c r="F629" s="30">
        <v>852.18</v>
      </c>
      <c r="G629" s="31">
        <v>877.75</v>
      </c>
    </row>
    <row r="630" spans="1:7" ht="14.4" x14ac:dyDescent="0.25">
      <c r="A630" s="24">
        <v>42111</v>
      </c>
      <c r="B630" s="25" t="s">
        <v>29</v>
      </c>
      <c r="C630" s="9" t="s">
        <v>98</v>
      </c>
      <c r="D630" s="25" t="s">
        <v>120</v>
      </c>
      <c r="E630" s="25" t="s">
        <v>130</v>
      </c>
      <c r="F630" s="26">
        <v>567.89</v>
      </c>
      <c r="G630" s="27">
        <v>545.16999999999996</v>
      </c>
    </row>
    <row r="631" spans="1:7" ht="14.4" x14ac:dyDescent="0.25">
      <c r="A631" s="28">
        <v>42112</v>
      </c>
      <c r="B631" s="29" t="s">
        <v>48</v>
      </c>
      <c r="C631" s="14" t="s">
        <v>56</v>
      </c>
      <c r="D631" s="29" t="s">
        <v>122</v>
      </c>
      <c r="E631" s="29" t="s">
        <v>128</v>
      </c>
      <c r="F631" s="30">
        <v>270.48</v>
      </c>
      <c r="G631" s="31">
        <v>267.78000000000003</v>
      </c>
    </row>
    <row r="632" spans="1:7" ht="14.4" x14ac:dyDescent="0.25">
      <c r="A632" s="24">
        <v>42114</v>
      </c>
      <c r="B632" s="25" t="s">
        <v>36</v>
      </c>
      <c r="C632" s="9" t="s">
        <v>59</v>
      </c>
      <c r="D632" s="25" t="s">
        <v>121</v>
      </c>
      <c r="E632" s="25" t="s">
        <v>129</v>
      </c>
      <c r="F632" s="26">
        <v>827.47</v>
      </c>
      <c r="G632" s="27">
        <v>819.2</v>
      </c>
    </row>
    <row r="633" spans="1:7" ht="14.4" x14ac:dyDescent="0.25">
      <c r="A633" s="28">
        <v>42116</v>
      </c>
      <c r="B633" s="29" t="s">
        <v>27</v>
      </c>
      <c r="C633" s="14" t="s">
        <v>110</v>
      </c>
      <c r="D633" s="29" t="s">
        <v>120</v>
      </c>
      <c r="E633" s="29" t="s">
        <v>129</v>
      </c>
      <c r="F633" s="30">
        <v>87.64</v>
      </c>
      <c r="G633" s="31">
        <v>81.510000000000005</v>
      </c>
    </row>
    <row r="634" spans="1:7" ht="14.4" x14ac:dyDescent="0.25">
      <c r="A634" s="24">
        <v>42116</v>
      </c>
      <c r="B634" s="25" t="s">
        <v>11</v>
      </c>
      <c r="C634" s="9" t="s">
        <v>91</v>
      </c>
      <c r="D634" s="25" t="s">
        <v>118</v>
      </c>
      <c r="E634" s="25" t="s">
        <v>130</v>
      </c>
      <c r="F634" s="26">
        <v>680.68</v>
      </c>
      <c r="G634" s="27">
        <v>694.29</v>
      </c>
    </row>
    <row r="635" spans="1:7" ht="14.4" x14ac:dyDescent="0.25">
      <c r="A635" s="28">
        <v>42118</v>
      </c>
      <c r="B635" s="29" t="s">
        <v>34</v>
      </c>
      <c r="C635" s="14" t="s">
        <v>105</v>
      </c>
      <c r="D635" s="29" t="s">
        <v>121</v>
      </c>
      <c r="E635" s="29" t="s">
        <v>129</v>
      </c>
      <c r="F635" s="30">
        <v>716.33</v>
      </c>
      <c r="G635" s="31">
        <v>680.51</v>
      </c>
    </row>
    <row r="636" spans="1:7" ht="14.4" x14ac:dyDescent="0.25">
      <c r="A636" s="24">
        <v>42118</v>
      </c>
      <c r="B636" s="25" t="s">
        <v>25</v>
      </c>
      <c r="C636" s="9" t="s">
        <v>94</v>
      </c>
      <c r="D636" s="25" t="s">
        <v>119</v>
      </c>
      <c r="E636" s="25" t="s">
        <v>128</v>
      </c>
      <c r="F636" s="26">
        <v>888.09</v>
      </c>
      <c r="G636" s="27">
        <v>950.26</v>
      </c>
    </row>
    <row r="637" spans="1:7" ht="14.4" x14ac:dyDescent="0.25">
      <c r="A637" s="28">
        <v>42119</v>
      </c>
      <c r="B637" s="29" t="s">
        <v>38</v>
      </c>
      <c r="C637" s="14" t="s">
        <v>116</v>
      </c>
      <c r="D637" s="29" t="s">
        <v>122</v>
      </c>
      <c r="E637" s="29" t="s">
        <v>128</v>
      </c>
      <c r="F637" s="30">
        <v>21.32</v>
      </c>
      <c r="G637" s="31">
        <v>20.68</v>
      </c>
    </row>
    <row r="638" spans="1:7" ht="14.4" x14ac:dyDescent="0.25">
      <c r="A638" s="24">
        <v>42121</v>
      </c>
      <c r="B638" s="25" t="s">
        <v>24</v>
      </c>
      <c r="C638" s="9" t="s">
        <v>107</v>
      </c>
      <c r="D638" s="25" t="s">
        <v>119</v>
      </c>
      <c r="E638" s="25" t="s">
        <v>129</v>
      </c>
      <c r="F638" s="26">
        <v>677.66</v>
      </c>
      <c r="G638" s="27">
        <v>711.54</v>
      </c>
    </row>
    <row r="639" spans="1:7" ht="14.4" x14ac:dyDescent="0.25">
      <c r="A639" s="28">
        <v>42125</v>
      </c>
      <c r="B639" s="29" t="s">
        <v>29</v>
      </c>
      <c r="C639" s="14" t="s">
        <v>98</v>
      </c>
      <c r="D639" s="29" t="s">
        <v>120</v>
      </c>
      <c r="E639" s="29" t="s">
        <v>130</v>
      </c>
      <c r="F639" s="30">
        <v>558.96</v>
      </c>
      <c r="G639" s="31">
        <v>553.37</v>
      </c>
    </row>
    <row r="640" spans="1:7" ht="14.4" x14ac:dyDescent="0.25">
      <c r="A640" s="24">
        <v>42125</v>
      </c>
      <c r="B640" s="25" t="s">
        <v>50</v>
      </c>
      <c r="C640" s="9" t="s">
        <v>92</v>
      </c>
      <c r="D640" s="25" t="s">
        <v>122</v>
      </c>
      <c r="E640" s="25" t="s">
        <v>129</v>
      </c>
      <c r="F640" s="26">
        <v>810.91</v>
      </c>
      <c r="G640" s="27">
        <v>843.34999999999991</v>
      </c>
    </row>
    <row r="641" spans="1:7" ht="14.4" x14ac:dyDescent="0.25">
      <c r="A641" s="28">
        <v>42125</v>
      </c>
      <c r="B641" s="29" t="s">
        <v>13</v>
      </c>
      <c r="C641" s="14" t="s">
        <v>73</v>
      </c>
      <c r="D641" s="29" t="s">
        <v>118</v>
      </c>
      <c r="E641" s="29" t="s">
        <v>129</v>
      </c>
      <c r="F641" s="30">
        <v>830.39</v>
      </c>
      <c r="G641" s="31">
        <v>871.91</v>
      </c>
    </row>
    <row r="642" spans="1:7" ht="14.4" x14ac:dyDescent="0.25">
      <c r="A642" s="24">
        <v>42127</v>
      </c>
      <c r="B642" s="25" t="s">
        <v>4</v>
      </c>
      <c r="C642" s="9" t="s">
        <v>70</v>
      </c>
      <c r="D642" s="25" t="s">
        <v>118</v>
      </c>
      <c r="E642" s="25" t="s">
        <v>128</v>
      </c>
      <c r="F642" s="26">
        <v>341.84</v>
      </c>
      <c r="G642" s="27">
        <v>307.65999999999997</v>
      </c>
    </row>
    <row r="643" spans="1:7" ht="14.4" x14ac:dyDescent="0.25">
      <c r="A643" s="28">
        <v>42128</v>
      </c>
      <c r="B643" s="29" t="s">
        <v>18</v>
      </c>
      <c r="C643" s="14" t="s">
        <v>63</v>
      </c>
      <c r="D643" s="29" t="s">
        <v>119</v>
      </c>
      <c r="E643" s="29" t="s">
        <v>130</v>
      </c>
      <c r="F643" s="30">
        <v>275.11</v>
      </c>
      <c r="G643" s="31">
        <v>286.11</v>
      </c>
    </row>
    <row r="644" spans="1:7" ht="14.4" x14ac:dyDescent="0.25">
      <c r="A644" s="24">
        <v>42129</v>
      </c>
      <c r="B644" s="25" t="s">
        <v>22</v>
      </c>
      <c r="C644" s="9" t="s">
        <v>78</v>
      </c>
      <c r="D644" s="25" t="s">
        <v>119</v>
      </c>
      <c r="E644" s="25" t="s">
        <v>128</v>
      </c>
      <c r="F644" s="26">
        <v>322.89</v>
      </c>
      <c r="G644" s="27">
        <v>316.43</v>
      </c>
    </row>
    <row r="645" spans="1:7" ht="14.4" x14ac:dyDescent="0.25">
      <c r="A645" s="28">
        <v>42129</v>
      </c>
      <c r="B645" s="29" t="s">
        <v>14</v>
      </c>
      <c r="C645" s="14" t="s">
        <v>83</v>
      </c>
      <c r="D645" s="29" t="s">
        <v>118</v>
      </c>
      <c r="E645" s="29" t="s">
        <v>128</v>
      </c>
      <c r="F645" s="30">
        <v>98.4</v>
      </c>
      <c r="G645" s="31">
        <v>94.460000000000008</v>
      </c>
    </row>
    <row r="646" spans="1:7" ht="14.4" x14ac:dyDescent="0.25">
      <c r="A646" s="24">
        <v>42129</v>
      </c>
      <c r="B646" s="25" t="s">
        <v>16</v>
      </c>
      <c r="C646" s="9" t="s">
        <v>61</v>
      </c>
      <c r="D646" s="25" t="s">
        <v>118</v>
      </c>
      <c r="E646" s="25" t="s">
        <v>129</v>
      </c>
      <c r="F646" s="26">
        <v>954.5</v>
      </c>
      <c r="G646" s="27">
        <v>992.68</v>
      </c>
    </row>
    <row r="647" spans="1:7" ht="14.4" x14ac:dyDescent="0.25">
      <c r="A647" s="28">
        <v>42131</v>
      </c>
      <c r="B647" s="29" t="s">
        <v>43</v>
      </c>
      <c r="C647" s="14" t="s">
        <v>106</v>
      </c>
      <c r="D647" s="29" t="s">
        <v>122</v>
      </c>
      <c r="E647" s="29" t="s">
        <v>130</v>
      </c>
      <c r="F647" s="30">
        <v>223.93</v>
      </c>
      <c r="G647" s="31">
        <v>219.45000000000002</v>
      </c>
    </row>
    <row r="648" spans="1:7" ht="14.4" x14ac:dyDescent="0.25">
      <c r="A648" s="24">
        <v>42133</v>
      </c>
      <c r="B648" s="25" t="s">
        <v>36</v>
      </c>
      <c r="C648" s="9" t="s">
        <v>90</v>
      </c>
      <c r="D648" s="25" t="s">
        <v>121</v>
      </c>
      <c r="E648" s="25" t="s">
        <v>130</v>
      </c>
      <c r="F648" s="26">
        <v>771.25</v>
      </c>
      <c r="G648" s="27">
        <v>786.68</v>
      </c>
    </row>
    <row r="649" spans="1:7" ht="14.4" x14ac:dyDescent="0.25">
      <c r="A649" s="28">
        <v>42134</v>
      </c>
      <c r="B649" s="29" t="s">
        <v>24</v>
      </c>
      <c r="C649" s="14" t="s">
        <v>107</v>
      </c>
      <c r="D649" s="29" t="s">
        <v>119</v>
      </c>
      <c r="E649" s="29" t="s">
        <v>129</v>
      </c>
      <c r="F649" s="30">
        <v>594.69000000000005</v>
      </c>
      <c r="G649" s="31">
        <v>553.06000000000006</v>
      </c>
    </row>
    <row r="650" spans="1:7" ht="14.4" x14ac:dyDescent="0.25">
      <c r="A650" s="24">
        <v>42134</v>
      </c>
      <c r="B650" s="25" t="s">
        <v>35</v>
      </c>
      <c r="C650" s="9" t="s">
        <v>97</v>
      </c>
      <c r="D650" s="25" t="s">
        <v>121</v>
      </c>
      <c r="E650" s="25" t="s">
        <v>128</v>
      </c>
      <c r="F650" s="26">
        <v>850.46</v>
      </c>
      <c r="G650" s="27">
        <v>909.99</v>
      </c>
    </row>
    <row r="651" spans="1:7" ht="14.4" x14ac:dyDescent="0.25">
      <c r="A651" s="28">
        <v>42135</v>
      </c>
      <c r="B651" s="29" t="s">
        <v>30</v>
      </c>
      <c r="C651" s="14" t="s">
        <v>88</v>
      </c>
      <c r="D651" s="29" t="s">
        <v>120</v>
      </c>
      <c r="E651" s="29" t="s">
        <v>130</v>
      </c>
      <c r="F651" s="30">
        <v>434.22</v>
      </c>
      <c r="G651" s="31">
        <v>399.48</v>
      </c>
    </row>
    <row r="652" spans="1:7" ht="14.4" x14ac:dyDescent="0.25">
      <c r="A652" s="24">
        <v>42136</v>
      </c>
      <c r="B652" s="25" t="s">
        <v>41</v>
      </c>
      <c r="C652" s="9" t="s">
        <v>67</v>
      </c>
      <c r="D652" s="25" t="s">
        <v>122</v>
      </c>
      <c r="E652" s="25" t="s">
        <v>128</v>
      </c>
      <c r="F652" s="26">
        <v>792.14</v>
      </c>
      <c r="G652" s="27">
        <v>847.59</v>
      </c>
    </row>
    <row r="653" spans="1:7" ht="14.4" x14ac:dyDescent="0.25">
      <c r="A653" s="28">
        <v>42137</v>
      </c>
      <c r="B653" s="29" t="s">
        <v>32</v>
      </c>
      <c r="C653" s="14" t="s">
        <v>126</v>
      </c>
      <c r="D653" s="29" t="s">
        <v>120</v>
      </c>
      <c r="E653" s="29" t="s">
        <v>130</v>
      </c>
      <c r="F653" s="30">
        <v>440.26</v>
      </c>
      <c r="G653" s="31">
        <v>427.05</v>
      </c>
    </row>
    <row r="654" spans="1:7" ht="14.4" x14ac:dyDescent="0.25">
      <c r="A654" s="24">
        <v>42139</v>
      </c>
      <c r="B654" s="25" t="s">
        <v>46</v>
      </c>
      <c r="C654" s="9" t="s">
        <v>100</v>
      </c>
      <c r="D654" s="25" t="s">
        <v>122</v>
      </c>
      <c r="E654" s="25" t="s">
        <v>129</v>
      </c>
      <c r="F654" s="26">
        <v>356.89</v>
      </c>
      <c r="G654" s="27">
        <v>374.72999999999996</v>
      </c>
    </row>
    <row r="655" spans="1:7" ht="14.4" x14ac:dyDescent="0.25">
      <c r="A655" s="28">
        <v>42142</v>
      </c>
      <c r="B655" s="29" t="s">
        <v>50</v>
      </c>
      <c r="C655" s="14" t="s">
        <v>92</v>
      </c>
      <c r="D655" s="29" t="s">
        <v>122</v>
      </c>
      <c r="E655" s="29" t="s">
        <v>129</v>
      </c>
      <c r="F655" s="30">
        <v>34.82</v>
      </c>
      <c r="G655" s="31">
        <v>35.520000000000003</v>
      </c>
    </row>
    <row r="656" spans="1:7" ht="14.4" x14ac:dyDescent="0.25">
      <c r="A656" s="24">
        <v>42143</v>
      </c>
      <c r="B656" s="25" t="s">
        <v>22</v>
      </c>
      <c r="C656" s="9" t="s">
        <v>77</v>
      </c>
      <c r="D656" s="25" t="s">
        <v>119</v>
      </c>
      <c r="E656" s="25" t="s">
        <v>130</v>
      </c>
      <c r="F656" s="26">
        <v>788.56</v>
      </c>
      <c r="G656" s="27">
        <v>796.44999999999993</v>
      </c>
    </row>
    <row r="657" spans="1:7" ht="14.4" x14ac:dyDescent="0.25">
      <c r="A657" s="28">
        <v>42143</v>
      </c>
      <c r="B657" s="29" t="s">
        <v>9</v>
      </c>
      <c r="C657" s="14" t="s">
        <v>95</v>
      </c>
      <c r="D657" s="29" t="s">
        <v>118</v>
      </c>
      <c r="E657" s="29" t="s">
        <v>129</v>
      </c>
      <c r="F657" s="30">
        <v>744.47</v>
      </c>
      <c r="G657" s="31">
        <v>737.03</v>
      </c>
    </row>
    <row r="658" spans="1:7" ht="14.4" x14ac:dyDescent="0.25">
      <c r="A658" s="24">
        <v>42147</v>
      </c>
      <c r="B658" s="25" t="s">
        <v>33</v>
      </c>
      <c r="C658" s="9" t="s">
        <v>115</v>
      </c>
      <c r="D658" s="25" t="s">
        <v>121</v>
      </c>
      <c r="E658" s="25" t="s">
        <v>130</v>
      </c>
      <c r="F658" s="26">
        <v>800.32</v>
      </c>
      <c r="G658" s="27">
        <v>848.34</v>
      </c>
    </row>
    <row r="659" spans="1:7" ht="14.4" x14ac:dyDescent="0.25">
      <c r="A659" s="28">
        <v>42148</v>
      </c>
      <c r="B659" s="29" t="s">
        <v>17</v>
      </c>
      <c r="C659" s="14" t="s">
        <v>74</v>
      </c>
      <c r="D659" s="29" t="s">
        <v>119</v>
      </c>
      <c r="E659" s="29" t="s">
        <v>130</v>
      </c>
      <c r="F659" s="30">
        <v>39.799999999999997</v>
      </c>
      <c r="G659" s="31">
        <v>42.98</v>
      </c>
    </row>
    <row r="660" spans="1:7" ht="14.4" x14ac:dyDescent="0.25">
      <c r="A660" s="24">
        <v>42148</v>
      </c>
      <c r="B660" s="25" t="s">
        <v>1</v>
      </c>
      <c r="C660" s="9" t="s">
        <v>1</v>
      </c>
      <c r="D660" s="25" t="s">
        <v>118</v>
      </c>
      <c r="E660" s="25" t="s">
        <v>130</v>
      </c>
      <c r="F660" s="26">
        <v>306.88</v>
      </c>
      <c r="G660" s="27">
        <v>331.43</v>
      </c>
    </row>
    <row r="661" spans="1:7" ht="14.4" x14ac:dyDescent="0.25">
      <c r="A661" s="28">
        <v>42148</v>
      </c>
      <c r="B661" s="29" t="s">
        <v>4</v>
      </c>
      <c r="C661" s="14" t="s">
        <v>70</v>
      </c>
      <c r="D661" s="29" t="s">
        <v>118</v>
      </c>
      <c r="E661" s="29" t="s">
        <v>128</v>
      </c>
      <c r="F661" s="30">
        <v>846.55</v>
      </c>
      <c r="G661" s="31">
        <v>838.07999999999993</v>
      </c>
    </row>
    <row r="662" spans="1:7" ht="14.4" x14ac:dyDescent="0.25">
      <c r="A662" s="24">
        <v>42151</v>
      </c>
      <c r="B662" s="25" t="s">
        <v>0</v>
      </c>
      <c r="C662" s="9" t="s">
        <v>114</v>
      </c>
      <c r="D662" s="25" t="s">
        <v>118</v>
      </c>
      <c r="E662" s="25" t="s">
        <v>128</v>
      </c>
      <c r="F662" s="26">
        <v>785.12</v>
      </c>
      <c r="G662" s="27">
        <v>745.86</v>
      </c>
    </row>
    <row r="663" spans="1:7" ht="14.4" x14ac:dyDescent="0.25">
      <c r="A663" s="28">
        <v>42152</v>
      </c>
      <c r="B663" s="29" t="s">
        <v>41</v>
      </c>
      <c r="C663" s="14" t="s">
        <v>67</v>
      </c>
      <c r="D663" s="29" t="s">
        <v>122</v>
      </c>
      <c r="E663" s="29" t="s">
        <v>129</v>
      </c>
      <c r="F663" s="30">
        <v>527.38</v>
      </c>
      <c r="G663" s="31">
        <v>553.75</v>
      </c>
    </row>
    <row r="664" spans="1:7" ht="14.4" x14ac:dyDescent="0.25">
      <c r="A664" s="24">
        <v>42152</v>
      </c>
      <c r="B664" s="25" t="s">
        <v>42</v>
      </c>
      <c r="C664" s="9" t="s">
        <v>69</v>
      </c>
      <c r="D664" s="25" t="s">
        <v>122</v>
      </c>
      <c r="E664" s="25" t="s">
        <v>130</v>
      </c>
      <c r="F664" s="26">
        <v>314.44</v>
      </c>
      <c r="G664" s="27">
        <v>286.14</v>
      </c>
    </row>
    <row r="665" spans="1:7" ht="14.4" x14ac:dyDescent="0.25">
      <c r="A665" s="28">
        <v>42158</v>
      </c>
      <c r="B665" s="29" t="s">
        <v>42</v>
      </c>
      <c r="C665" s="14" t="s">
        <v>69</v>
      </c>
      <c r="D665" s="29" t="s">
        <v>122</v>
      </c>
      <c r="E665" s="29" t="s">
        <v>130</v>
      </c>
      <c r="F665" s="30">
        <v>949.91</v>
      </c>
      <c r="G665" s="31">
        <v>997.41</v>
      </c>
    </row>
    <row r="666" spans="1:7" ht="14.4" x14ac:dyDescent="0.25">
      <c r="A666" s="24">
        <v>42158</v>
      </c>
      <c r="B666" s="25" t="s">
        <v>8</v>
      </c>
      <c r="C666" s="9" t="s">
        <v>54</v>
      </c>
      <c r="D666" s="25" t="s">
        <v>118</v>
      </c>
      <c r="E666" s="25" t="s">
        <v>130</v>
      </c>
      <c r="F666" s="26">
        <v>783.49</v>
      </c>
      <c r="G666" s="27">
        <v>783.49</v>
      </c>
    </row>
    <row r="667" spans="1:7" ht="14.4" x14ac:dyDescent="0.25">
      <c r="A667" s="28">
        <v>42158</v>
      </c>
      <c r="B667" s="29" t="s">
        <v>49</v>
      </c>
      <c r="C667" s="14" t="s">
        <v>72</v>
      </c>
      <c r="D667" s="29" t="s">
        <v>122</v>
      </c>
      <c r="E667" s="29" t="s">
        <v>130</v>
      </c>
      <c r="F667" s="30">
        <v>252.82</v>
      </c>
      <c r="G667" s="31">
        <v>230.07</v>
      </c>
    </row>
    <row r="668" spans="1:7" ht="14.4" x14ac:dyDescent="0.25">
      <c r="A668" s="24">
        <v>42159</v>
      </c>
      <c r="B668" s="25" t="s">
        <v>23</v>
      </c>
      <c r="C668" s="9" t="s">
        <v>109</v>
      </c>
      <c r="D668" s="25" t="s">
        <v>119</v>
      </c>
      <c r="E668" s="25" t="s">
        <v>129</v>
      </c>
      <c r="F668" s="26">
        <v>497.89</v>
      </c>
      <c r="G668" s="27">
        <v>487.93</v>
      </c>
    </row>
    <row r="669" spans="1:7" ht="14.4" x14ac:dyDescent="0.25">
      <c r="A669" s="28">
        <v>42160</v>
      </c>
      <c r="B669" s="29" t="s">
        <v>22</v>
      </c>
      <c r="C669" s="14" t="s">
        <v>77</v>
      </c>
      <c r="D669" s="29" t="s">
        <v>119</v>
      </c>
      <c r="E669" s="29" t="s">
        <v>129</v>
      </c>
      <c r="F669" s="30">
        <v>119.01</v>
      </c>
      <c r="G669" s="31">
        <v>116.63000000000001</v>
      </c>
    </row>
    <row r="670" spans="1:7" ht="14.4" x14ac:dyDescent="0.25">
      <c r="A670" s="24">
        <v>42162</v>
      </c>
      <c r="B670" s="25" t="s">
        <v>47</v>
      </c>
      <c r="C670" s="9" t="s">
        <v>96</v>
      </c>
      <c r="D670" s="25" t="s">
        <v>122</v>
      </c>
      <c r="E670" s="25" t="s">
        <v>129</v>
      </c>
      <c r="F670" s="26">
        <v>389.73</v>
      </c>
      <c r="G670" s="27">
        <v>405.32</v>
      </c>
    </row>
    <row r="671" spans="1:7" ht="14.4" x14ac:dyDescent="0.25">
      <c r="A671" s="28">
        <v>42164</v>
      </c>
      <c r="B671" s="29" t="s">
        <v>40</v>
      </c>
      <c r="C671" s="14" t="s">
        <v>65</v>
      </c>
      <c r="D671" s="29" t="s">
        <v>122</v>
      </c>
      <c r="E671" s="29" t="s">
        <v>130</v>
      </c>
      <c r="F671" s="30">
        <v>510.55</v>
      </c>
      <c r="G671" s="31">
        <v>479.92</v>
      </c>
    </row>
    <row r="672" spans="1:7" ht="14.4" x14ac:dyDescent="0.25">
      <c r="A672" s="24">
        <v>42165</v>
      </c>
      <c r="B672" s="25" t="s">
        <v>22</v>
      </c>
      <c r="C672" s="9" t="s">
        <v>76</v>
      </c>
      <c r="D672" s="25" t="s">
        <v>119</v>
      </c>
      <c r="E672" s="25" t="s">
        <v>128</v>
      </c>
      <c r="F672" s="26">
        <v>678.29</v>
      </c>
      <c r="G672" s="27">
        <v>705.42</v>
      </c>
    </row>
    <row r="673" spans="1:7" ht="14.4" x14ac:dyDescent="0.25">
      <c r="A673" s="28">
        <v>42165</v>
      </c>
      <c r="B673" s="29" t="s">
        <v>30</v>
      </c>
      <c r="C673" s="14" t="s">
        <v>88</v>
      </c>
      <c r="D673" s="29" t="s">
        <v>120</v>
      </c>
      <c r="E673" s="29" t="s">
        <v>128</v>
      </c>
      <c r="F673" s="30">
        <v>504.53</v>
      </c>
      <c r="G673" s="31">
        <v>504.53</v>
      </c>
    </row>
    <row r="674" spans="1:7" ht="14.4" x14ac:dyDescent="0.25">
      <c r="A674" s="24">
        <v>42166</v>
      </c>
      <c r="B674" s="25" t="s">
        <v>43</v>
      </c>
      <c r="C674" s="9" t="s">
        <v>106</v>
      </c>
      <c r="D674" s="25" t="s">
        <v>122</v>
      </c>
      <c r="E674" s="25" t="s">
        <v>129</v>
      </c>
      <c r="F674" s="26">
        <v>544.96</v>
      </c>
      <c r="G674" s="27">
        <v>561.31000000000006</v>
      </c>
    </row>
    <row r="675" spans="1:7" ht="14.4" x14ac:dyDescent="0.25">
      <c r="A675" s="28">
        <v>42168</v>
      </c>
      <c r="B675" s="29" t="s">
        <v>15</v>
      </c>
      <c r="C675" s="14" t="s">
        <v>60</v>
      </c>
      <c r="D675" s="29" t="s">
        <v>118</v>
      </c>
      <c r="E675" s="29" t="s">
        <v>128</v>
      </c>
      <c r="F675" s="30">
        <v>820.85</v>
      </c>
      <c r="G675" s="31">
        <v>763.39</v>
      </c>
    </row>
    <row r="676" spans="1:7" ht="14.4" x14ac:dyDescent="0.25">
      <c r="A676" s="24">
        <v>42172</v>
      </c>
      <c r="B676" s="25" t="s">
        <v>27</v>
      </c>
      <c r="C676" s="9" t="s">
        <v>110</v>
      </c>
      <c r="D676" s="25" t="s">
        <v>120</v>
      </c>
      <c r="E676" s="25" t="s">
        <v>129</v>
      </c>
      <c r="F676" s="26">
        <v>892.07</v>
      </c>
      <c r="G676" s="27">
        <v>918.83</v>
      </c>
    </row>
    <row r="677" spans="1:7" ht="14.4" x14ac:dyDescent="0.25">
      <c r="A677" s="28">
        <v>42175</v>
      </c>
      <c r="B677" s="29" t="s">
        <v>7</v>
      </c>
      <c r="C677" s="14" t="s">
        <v>99</v>
      </c>
      <c r="D677" s="29" t="s">
        <v>118</v>
      </c>
      <c r="E677" s="29" t="s">
        <v>130</v>
      </c>
      <c r="F677" s="30">
        <v>25.6</v>
      </c>
      <c r="G677" s="31">
        <v>23.810000000000002</v>
      </c>
    </row>
    <row r="678" spans="1:7" ht="14.4" x14ac:dyDescent="0.25">
      <c r="A678" s="24">
        <v>42175</v>
      </c>
      <c r="B678" s="25" t="s">
        <v>36</v>
      </c>
      <c r="C678" s="9" t="s">
        <v>58</v>
      </c>
      <c r="D678" s="25" t="s">
        <v>121</v>
      </c>
      <c r="E678" s="25" t="s">
        <v>128</v>
      </c>
      <c r="F678" s="26">
        <v>407.34</v>
      </c>
      <c r="G678" s="27">
        <v>366.60999999999996</v>
      </c>
    </row>
    <row r="679" spans="1:7" ht="14.4" x14ac:dyDescent="0.25">
      <c r="A679" s="28">
        <v>42176</v>
      </c>
      <c r="B679" s="29" t="s">
        <v>30</v>
      </c>
      <c r="C679" s="14" t="s">
        <v>88</v>
      </c>
      <c r="D679" s="29" t="s">
        <v>120</v>
      </c>
      <c r="E679" s="29" t="s">
        <v>130</v>
      </c>
      <c r="F679" s="30">
        <v>211.45</v>
      </c>
      <c r="G679" s="31">
        <v>213.56</v>
      </c>
    </row>
    <row r="680" spans="1:7" ht="14.4" x14ac:dyDescent="0.25">
      <c r="A680" s="24">
        <v>42177</v>
      </c>
      <c r="B680" s="25" t="s">
        <v>9</v>
      </c>
      <c r="C680" s="9" t="s">
        <v>95</v>
      </c>
      <c r="D680" s="25" t="s">
        <v>118</v>
      </c>
      <c r="E680" s="25" t="s">
        <v>129</v>
      </c>
      <c r="F680" s="26">
        <v>362.13</v>
      </c>
      <c r="G680" s="27">
        <v>358.51</v>
      </c>
    </row>
    <row r="681" spans="1:7" ht="14.4" x14ac:dyDescent="0.25">
      <c r="A681" s="28">
        <v>42178</v>
      </c>
      <c r="B681" s="29" t="s">
        <v>48</v>
      </c>
      <c r="C681" s="14" t="s">
        <v>82</v>
      </c>
      <c r="D681" s="29" t="s">
        <v>122</v>
      </c>
      <c r="E681" s="29" t="s">
        <v>128</v>
      </c>
      <c r="F681" s="30">
        <v>860.98</v>
      </c>
      <c r="G681" s="31">
        <v>817.93000000000006</v>
      </c>
    </row>
    <row r="682" spans="1:7" ht="14.4" x14ac:dyDescent="0.25">
      <c r="A682" s="24">
        <v>42180</v>
      </c>
      <c r="B682" s="25" t="s">
        <v>15</v>
      </c>
      <c r="C682" s="9" t="s">
        <v>60</v>
      </c>
      <c r="D682" s="25" t="s">
        <v>118</v>
      </c>
      <c r="E682" s="25" t="s">
        <v>130</v>
      </c>
      <c r="F682" s="26">
        <v>933.98</v>
      </c>
      <c r="G682" s="27">
        <v>896.62</v>
      </c>
    </row>
    <row r="683" spans="1:7" ht="14.4" x14ac:dyDescent="0.25">
      <c r="A683" s="28">
        <v>42181</v>
      </c>
      <c r="B683" s="29" t="s">
        <v>48</v>
      </c>
      <c r="C683" s="14" t="s">
        <v>71</v>
      </c>
      <c r="D683" s="29" t="s">
        <v>122</v>
      </c>
      <c r="E683" s="29" t="s">
        <v>130</v>
      </c>
      <c r="F683" s="30">
        <v>528.27</v>
      </c>
      <c r="G683" s="31">
        <v>570.53</v>
      </c>
    </row>
    <row r="684" spans="1:7" ht="14.4" x14ac:dyDescent="0.25">
      <c r="A684" s="24">
        <v>42182</v>
      </c>
      <c r="B684" s="25" t="s">
        <v>20</v>
      </c>
      <c r="C684" s="9" t="s">
        <v>112</v>
      </c>
      <c r="D684" s="25" t="s">
        <v>119</v>
      </c>
      <c r="E684" s="25" t="s">
        <v>128</v>
      </c>
      <c r="F684" s="26">
        <v>472.81</v>
      </c>
      <c r="G684" s="27">
        <v>430.26</v>
      </c>
    </row>
    <row r="685" spans="1:7" ht="14.4" x14ac:dyDescent="0.25">
      <c r="A685" s="28">
        <v>42182</v>
      </c>
      <c r="B685" s="29" t="s">
        <v>6</v>
      </c>
      <c r="C685" s="14" t="s">
        <v>81</v>
      </c>
      <c r="D685" s="29" t="s">
        <v>118</v>
      </c>
      <c r="E685" s="29" t="s">
        <v>129</v>
      </c>
      <c r="F685" s="30">
        <v>317.87</v>
      </c>
      <c r="G685" s="31">
        <v>286.08</v>
      </c>
    </row>
    <row r="686" spans="1:7" ht="14.4" x14ac:dyDescent="0.25">
      <c r="A686" s="24">
        <v>42183</v>
      </c>
      <c r="B686" s="25" t="s">
        <v>44</v>
      </c>
      <c r="C686" s="9" t="s">
        <v>104</v>
      </c>
      <c r="D686" s="25" t="s">
        <v>122</v>
      </c>
      <c r="E686" s="25" t="s">
        <v>129</v>
      </c>
      <c r="F686" s="26">
        <v>515.28</v>
      </c>
      <c r="G686" s="27">
        <v>525.58999999999992</v>
      </c>
    </row>
    <row r="687" spans="1:7" ht="14.4" x14ac:dyDescent="0.25">
      <c r="A687" s="28">
        <v>42183</v>
      </c>
      <c r="B687" s="29" t="s">
        <v>48</v>
      </c>
      <c r="C687" s="14" t="s">
        <v>55</v>
      </c>
      <c r="D687" s="29" t="s">
        <v>122</v>
      </c>
      <c r="E687" s="29" t="s">
        <v>130</v>
      </c>
      <c r="F687" s="30">
        <v>2.69</v>
      </c>
      <c r="G687" s="31">
        <v>2.91</v>
      </c>
    </row>
    <row r="688" spans="1:7" ht="14.4" x14ac:dyDescent="0.25">
      <c r="A688" s="24">
        <v>42186</v>
      </c>
      <c r="B688" s="25" t="s">
        <v>22</v>
      </c>
      <c r="C688" s="9" t="s">
        <v>78</v>
      </c>
      <c r="D688" s="25" t="s">
        <v>119</v>
      </c>
      <c r="E688" s="25" t="s">
        <v>129</v>
      </c>
      <c r="F688" s="26">
        <v>475.2</v>
      </c>
      <c r="G688" s="27">
        <v>498.96</v>
      </c>
    </row>
    <row r="689" spans="1:7" ht="14.4" x14ac:dyDescent="0.25">
      <c r="A689" s="28">
        <v>42193</v>
      </c>
      <c r="B689" s="29" t="s">
        <v>23</v>
      </c>
      <c r="C689" s="14" t="s">
        <v>109</v>
      </c>
      <c r="D689" s="29" t="s">
        <v>119</v>
      </c>
      <c r="E689" s="29" t="s">
        <v>128</v>
      </c>
      <c r="F689" s="30">
        <v>649.16</v>
      </c>
      <c r="G689" s="31">
        <v>616.69999999999993</v>
      </c>
    </row>
    <row r="690" spans="1:7" ht="14.4" x14ac:dyDescent="0.25">
      <c r="A690" s="24">
        <v>42199</v>
      </c>
      <c r="B690" s="25" t="s">
        <v>40</v>
      </c>
      <c r="C690" s="9" t="s">
        <v>65</v>
      </c>
      <c r="D690" s="25" t="s">
        <v>122</v>
      </c>
      <c r="E690" s="25" t="s">
        <v>130</v>
      </c>
      <c r="F690" s="26">
        <v>54.12</v>
      </c>
      <c r="G690" s="27">
        <v>49.79</v>
      </c>
    </row>
    <row r="691" spans="1:7" ht="14.4" x14ac:dyDescent="0.25">
      <c r="A691" s="28">
        <v>42206</v>
      </c>
      <c r="B691" s="29" t="s">
        <v>17</v>
      </c>
      <c r="C691" s="14" t="s">
        <v>74</v>
      </c>
      <c r="D691" s="29" t="s">
        <v>119</v>
      </c>
      <c r="E691" s="29" t="s">
        <v>129</v>
      </c>
      <c r="F691" s="30">
        <v>9.16</v>
      </c>
      <c r="G691" s="31">
        <v>9.25</v>
      </c>
    </row>
    <row r="692" spans="1:7" ht="14.4" x14ac:dyDescent="0.25">
      <c r="A692" s="24">
        <v>42207</v>
      </c>
      <c r="B692" s="25" t="s">
        <v>18</v>
      </c>
      <c r="C692" s="9" t="s">
        <v>64</v>
      </c>
      <c r="D692" s="25" t="s">
        <v>119</v>
      </c>
      <c r="E692" s="25" t="s">
        <v>129</v>
      </c>
      <c r="F692" s="26">
        <v>586.1</v>
      </c>
      <c r="G692" s="27">
        <v>562.66</v>
      </c>
    </row>
    <row r="693" spans="1:7" ht="14.4" x14ac:dyDescent="0.25">
      <c r="A693" s="28">
        <v>42207</v>
      </c>
      <c r="B693" s="29" t="s">
        <v>48</v>
      </c>
      <c r="C693" s="14" t="s">
        <v>82</v>
      </c>
      <c r="D693" s="29" t="s">
        <v>122</v>
      </c>
      <c r="E693" s="29" t="s">
        <v>130</v>
      </c>
      <c r="F693" s="30">
        <v>717.28</v>
      </c>
      <c r="G693" s="31">
        <v>674.24</v>
      </c>
    </row>
    <row r="694" spans="1:7" ht="14.4" x14ac:dyDescent="0.25">
      <c r="A694" s="24">
        <v>42207</v>
      </c>
      <c r="B694" s="25" t="s">
        <v>36</v>
      </c>
      <c r="C694" s="9" t="s">
        <v>59</v>
      </c>
      <c r="D694" s="25" t="s">
        <v>121</v>
      </c>
      <c r="E694" s="25" t="s">
        <v>128</v>
      </c>
      <c r="F694" s="26">
        <v>953.06</v>
      </c>
      <c r="G694" s="27">
        <v>876.81999999999994</v>
      </c>
    </row>
    <row r="695" spans="1:7" ht="14.4" x14ac:dyDescent="0.25">
      <c r="A695" s="28">
        <v>42210</v>
      </c>
      <c r="B695" s="29" t="s">
        <v>34</v>
      </c>
      <c r="C695" s="14" t="s">
        <v>105</v>
      </c>
      <c r="D695" s="29" t="s">
        <v>121</v>
      </c>
      <c r="E695" s="29" t="s">
        <v>128</v>
      </c>
      <c r="F695" s="30">
        <v>704.69</v>
      </c>
      <c r="G695" s="31">
        <v>634.22</v>
      </c>
    </row>
    <row r="696" spans="1:7" ht="14.4" x14ac:dyDescent="0.25">
      <c r="A696" s="24">
        <v>42211</v>
      </c>
      <c r="B696" s="25" t="s">
        <v>36</v>
      </c>
      <c r="C696" s="9" t="s">
        <v>57</v>
      </c>
      <c r="D696" s="25" t="s">
        <v>121</v>
      </c>
      <c r="E696" s="25" t="s">
        <v>128</v>
      </c>
      <c r="F696" s="26">
        <v>808.04</v>
      </c>
      <c r="G696" s="27">
        <v>856.52</v>
      </c>
    </row>
    <row r="697" spans="1:7" ht="14.4" x14ac:dyDescent="0.25">
      <c r="A697" s="28">
        <v>42212</v>
      </c>
      <c r="B697" s="29" t="s">
        <v>0</v>
      </c>
      <c r="C697" s="14" t="s">
        <v>114</v>
      </c>
      <c r="D697" s="29" t="s">
        <v>118</v>
      </c>
      <c r="E697" s="29" t="s">
        <v>128</v>
      </c>
      <c r="F697" s="30">
        <v>861.38</v>
      </c>
      <c r="G697" s="31">
        <v>852.77</v>
      </c>
    </row>
    <row r="698" spans="1:7" ht="14.4" x14ac:dyDescent="0.25">
      <c r="A698" s="24">
        <v>42213</v>
      </c>
      <c r="B698" s="25" t="s">
        <v>19</v>
      </c>
      <c r="C698" s="9" t="s">
        <v>113</v>
      </c>
      <c r="D698" s="25" t="s">
        <v>119</v>
      </c>
      <c r="E698" s="25" t="s">
        <v>130</v>
      </c>
      <c r="F698" s="26">
        <v>168.78</v>
      </c>
      <c r="G698" s="27">
        <v>178.91</v>
      </c>
    </row>
    <row r="699" spans="1:7" ht="14.4" x14ac:dyDescent="0.25">
      <c r="A699" s="28">
        <v>42213</v>
      </c>
      <c r="B699" s="29" t="s">
        <v>25</v>
      </c>
      <c r="C699" s="14" t="s">
        <v>94</v>
      </c>
      <c r="D699" s="29" t="s">
        <v>119</v>
      </c>
      <c r="E699" s="29" t="s">
        <v>129</v>
      </c>
      <c r="F699" s="30">
        <v>898.29</v>
      </c>
      <c r="G699" s="31">
        <v>844.39</v>
      </c>
    </row>
    <row r="700" spans="1:7" ht="14.4" x14ac:dyDescent="0.25">
      <c r="A700" s="24">
        <v>42217</v>
      </c>
      <c r="B700" s="25" t="s">
        <v>22</v>
      </c>
      <c r="C700" s="9" t="s">
        <v>76</v>
      </c>
      <c r="D700" s="25" t="s">
        <v>119</v>
      </c>
      <c r="E700" s="25" t="s">
        <v>129</v>
      </c>
      <c r="F700" s="26">
        <v>91.24</v>
      </c>
      <c r="G700" s="27">
        <v>98.539999999999992</v>
      </c>
    </row>
    <row r="701" spans="1:7" ht="14.4" x14ac:dyDescent="0.25">
      <c r="A701" s="28">
        <v>42218</v>
      </c>
      <c r="B701" s="29" t="s">
        <v>41</v>
      </c>
      <c r="C701" s="14" t="s">
        <v>68</v>
      </c>
      <c r="D701" s="29" t="s">
        <v>122</v>
      </c>
      <c r="E701" s="29" t="s">
        <v>128</v>
      </c>
      <c r="F701" s="30">
        <v>220.89</v>
      </c>
      <c r="G701" s="31">
        <v>220.89</v>
      </c>
    </row>
    <row r="702" spans="1:7" ht="14.4" x14ac:dyDescent="0.25">
      <c r="A702" s="24">
        <v>42218</v>
      </c>
      <c r="B702" s="25" t="s">
        <v>29</v>
      </c>
      <c r="C702" s="9" t="s">
        <v>98</v>
      </c>
      <c r="D702" s="25" t="s">
        <v>120</v>
      </c>
      <c r="E702" s="25" t="s">
        <v>129</v>
      </c>
      <c r="F702" s="26">
        <v>150.54</v>
      </c>
      <c r="G702" s="27">
        <v>162.57999999999998</v>
      </c>
    </row>
    <row r="703" spans="1:7" ht="14.4" x14ac:dyDescent="0.25">
      <c r="A703" s="28">
        <v>42219</v>
      </c>
      <c r="B703" s="29" t="s">
        <v>21</v>
      </c>
      <c r="C703" s="14" t="s">
        <v>79</v>
      </c>
      <c r="D703" s="29" t="s">
        <v>119</v>
      </c>
      <c r="E703" s="29" t="s">
        <v>129</v>
      </c>
      <c r="F703" s="30">
        <v>146.09</v>
      </c>
      <c r="G703" s="31">
        <v>134.4</v>
      </c>
    </row>
    <row r="704" spans="1:7" ht="14.4" x14ac:dyDescent="0.25">
      <c r="A704" s="24">
        <v>42220</v>
      </c>
      <c r="B704" s="25" t="s">
        <v>45</v>
      </c>
      <c r="C704" s="9" t="s">
        <v>101</v>
      </c>
      <c r="D704" s="25" t="s">
        <v>122</v>
      </c>
      <c r="E704" s="25" t="s">
        <v>129</v>
      </c>
      <c r="F704" s="26">
        <v>77.849999999999994</v>
      </c>
      <c r="G704" s="27">
        <v>84.08</v>
      </c>
    </row>
    <row r="705" spans="1:7" ht="14.4" x14ac:dyDescent="0.25">
      <c r="A705" s="28">
        <v>42223</v>
      </c>
      <c r="B705" s="29" t="s">
        <v>36</v>
      </c>
      <c r="C705" s="14" t="s">
        <v>58</v>
      </c>
      <c r="D705" s="29" t="s">
        <v>121</v>
      </c>
      <c r="E705" s="29" t="s">
        <v>129</v>
      </c>
      <c r="F705" s="30">
        <v>263.38</v>
      </c>
      <c r="G705" s="31">
        <v>271.27999999999997</v>
      </c>
    </row>
    <row r="706" spans="1:7" ht="14.4" x14ac:dyDescent="0.25">
      <c r="A706" s="24">
        <v>42223</v>
      </c>
      <c r="B706" s="25" t="s">
        <v>31</v>
      </c>
      <c r="C706" s="9" t="s">
        <v>85</v>
      </c>
      <c r="D706" s="25" t="s">
        <v>120</v>
      </c>
      <c r="E706" s="25" t="s">
        <v>129</v>
      </c>
      <c r="F706" s="26">
        <v>511.56</v>
      </c>
      <c r="G706" s="27">
        <v>526.91</v>
      </c>
    </row>
    <row r="707" spans="1:7" ht="14.4" x14ac:dyDescent="0.25">
      <c r="A707" s="28">
        <v>42224</v>
      </c>
      <c r="B707" s="29" t="s">
        <v>50</v>
      </c>
      <c r="C707" s="14" t="s">
        <v>92</v>
      </c>
      <c r="D707" s="29" t="s">
        <v>122</v>
      </c>
      <c r="E707" s="29" t="s">
        <v>130</v>
      </c>
      <c r="F707" s="30">
        <v>400.86</v>
      </c>
      <c r="G707" s="31">
        <v>404.87</v>
      </c>
    </row>
    <row r="708" spans="1:7" ht="14.4" x14ac:dyDescent="0.25">
      <c r="A708" s="24">
        <v>42225</v>
      </c>
      <c r="B708" s="25" t="s">
        <v>39</v>
      </c>
      <c r="C708" s="9" t="s">
        <v>75</v>
      </c>
      <c r="D708" s="25" t="s">
        <v>122</v>
      </c>
      <c r="E708" s="25" t="s">
        <v>130</v>
      </c>
      <c r="F708" s="26">
        <v>977.29</v>
      </c>
      <c r="G708" s="27">
        <v>1035.93</v>
      </c>
    </row>
    <row r="709" spans="1:7" ht="14.4" x14ac:dyDescent="0.25">
      <c r="A709" s="28">
        <v>42225</v>
      </c>
      <c r="B709" s="29" t="s">
        <v>5</v>
      </c>
      <c r="C709" s="14" t="s">
        <v>102</v>
      </c>
      <c r="D709" s="29" t="s">
        <v>118</v>
      </c>
      <c r="E709" s="29" t="s">
        <v>129</v>
      </c>
      <c r="F709" s="30">
        <v>946.35</v>
      </c>
      <c r="G709" s="31">
        <v>861.18000000000006</v>
      </c>
    </row>
    <row r="710" spans="1:7" ht="14.4" x14ac:dyDescent="0.25">
      <c r="A710" s="24">
        <v>42226</v>
      </c>
      <c r="B710" s="25" t="s">
        <v>10</v>
      </c>
      <c r="C710" s="9" t="s">
        <v>93</v>
      </c>
      <c r="D710" s="25" t="s">
        <v>118</v>
      </c>
      <c r="E710" s="25" t="s">
        <v>128</v>
      </c>
      <c r="F710" s="26">
        <v>52.28</v>
      </c>
      <c r="G710" s="27">
        <v>49.14</v>
      </c>
    </row>
    <row r="711" spans="1:7" ht="14.4" x14ac:dyDescent="0.25">
      <c r="A711" s="28">
        <v>42226</v>
      </c>
      <c r="B711" s="29" t="s">
        <v>37</v>
      </c>
      <c r="C711" s="14" t="s">
        <v>87</v>
      </c>
      <c r="D711" s="29" t="s">
        <v>121</v>
      </c>
      <c r="E711" s="29" t="s">
        <v>128</v>
      </c>
      <c r="F711" s="30">
        <v>401.44</v>
      </c>
      <c r="G711" s="31">
        <v>425.53</v>
      </c>
    </row>
    <row r="712" spans="1:7" ht="14.4" x14ac:dyDescent="0.25">
      <c r="A712" s="24">
        <v>42226</v>
      </c>
      <c r="B712" s="25" t="s">
        <v>32</v>
      </c>
      <c r="C712" s="9" t="s">
        <v>126</v>
      </c>
      <c r="D712" s="25" t="s">
        <v>120</v>
      </c>
      <c r="E712" s="25" t="s">
        <v>130</v>
      </c>
      <c r="F712" s="26">
        <v>74.45</v>
      </c>
      <c r="G712" s="27">
        <v>80.41</v>
      </c>
    </row>
    <row r="713" spans="1:7" ht="14.4" x14ac:dyDescent="0.25">
      <c r="A713" s="28">
        <v>42227</v>
      </c>
      <c r="B713" s="29" t="s">
        <v>18</v>
      </c>
      <c r="C713" s="14" t="s">
        <v>64</v>
      </c>
      <c r="D713" s="29" t="s">
        <v>119</v>
      </c>
      <c r="E713" s="29" t="s">
        <v>129</v>
      </c>
      <c r="F713" s="30">
        <v>840.76</v>
      </c>
      <c r="G713" s="31">
        <v>849.17</v>
      </c>
    </row>
    <row r="714" spans="1:7" ht="14.4" x14ac:dyDescent="0.25">
      <c r="A714" s="24">
        <v>42227</v>
      </c>
      <c r="B714" s="25" t="s">
        <v>51</v>
      </c>
      <c r="C714" s="9" t="s">
        <v>86</v>
      </c>
      <c r="D714" s="25" t="s">
        <v>122</v>
      </c>
      <c r="E714" s="25" t="s">
        <v>130</v>
      </c>
      <c r="F714" s="26">
        <v>875.44</v>
      </c>
      <c r="G714" s="27">
        <v>919.21</v>
      </c>
    </row>
    <row r="715" spans="1:7" ht="14.4" x14ac:dyDescent="0.25">
      <c r="A715" s="28">
        <v>42229</v>
      </c>
      <c r="B715" s="29" t="s">
        <v>38</v>
      </c>
      <c r="C715" s="14" t="s">
        <v>116</v>
      </c>
      <c r="D715" s="29" t="s">
        <v>122</v>
      </c>
      <c r="E715" s="29" t="s">
        <v>128</v>
      </c>
      <c r="F715" s="30">
        <v>501.03</v>
      </c>
      <c r="G715" s="31">
        <v>480.98999999999995</v>
      </c>
    </row>
    <row r="716" spans="1:7" ht="14.4" x14ac:dyDescent="0.25">
      <c r="A716" s="24">
        <v>42229</v>
      </c>
      <c r="B716" s="25" t="s">
        <v>40</v>
      </c>
      <c r="C716" s="9" t="s">
        <v>111</v>
      </c>
      <c r="D716" s="25" t="s">
        <v>122</v>
      </c>
      <c r="E716" s="25" t="s">
        <v>128</v>
      </c>
      <c r="F716" s="26">
        <v>743.91</v>
      </c>
      <c r="G716" s="27">
        <v>669.52</v>
      </c>
    </row>
    <row r="717" spans="1:7" ht="14.4" x14ac:dyDescent="0.25">
      <c r="A717" s="28">
        <v>42230</v>
      </c>
      <c r="B717" s="29" t="s">
        <v>4</v>
      </c>
      <c r="C717" s="14" t="s">
        <v>70</v>
      </c>
      <c r="D717" s="29" t="s">
        <v>118</v>
      </c>
      <c r="E717" s="29" t="s">
        <v>129</v>
      </c>
      <c r="F717" s="30">
        <v>759.18</v>
      </c>
      <c r="G717" s="31">
        <v>774.3599999999999</v>
      </c>
    </row>
    <row r="718" spans="1:7" ht="14.4" x14ac:dyDescent="0.25">
      <c r="A718" s="24">
        <v>42232</v>
      </c>
      <c r="B718" s="25" t="s">
        <v>51</v>
      </c>
      <c r="C718" s="9" t="s">
        <v>86</v>
      </c>
      <c r="D718" s="25" t="s">
        <v>122</v>
      </c>
      <c r="E718" s="25" t="s">
        <v>129</v>
      </c>
      <c r="F718" s="26">
        <v>660.33</v>
      </c>
      <c r="G718" s="27">
        <v>680.14</v>
      </c>
    </row>
    <row r="719" spans="1:7" ht="14.4" x14ac:dyDescent="0.25">
      <c r="A719" s="28">
        <v>42233</v>
      </c>
      <c r="B719" s="29" t="s">
        <v>38</v>
      </c>
      <c r="C719" s="14" t="s">
        <v>62</v>
      </c>
      <c r="D719" s="29" t="s">
        <v>122</v>
      </c>
      <c r="E719" s="29" t="s">
        <v>128</v>
      </c>
      <c r="F719" s="30">
        <v>518.9</v>
      </c>
      <c r="G719" s="31">
        <v>482.58</v>
      </c>
    </row>
    <row r="720" spans="1:7" ht="14.4" x14ac:dyDescent="0.25">
      <c r="A720" s="24">
        <v>42233</v>
      </c>
      <c r="B720" s="25" t="s">
        <v>3</v>
      </c>
      <c r="C720" s="9" t="s">
        <v>66</v>
      </c>
      <c r="D720" s="25" t="s">
        <v>118</v>
      </c>
      <c r="E720" s="25" t="s">
        <v>129</v>
      </c>
      <c r="F720" s="26">
        <v>624.27</v>
      </c>
      <c r="G720" s="27">
        <v>574.32999999999993</v>
      </c>
    </row>
    <row r="721" spans="1:7" ht="14.4" x14ac:dyDescent="0.25">
      <c r="A721" s="28">
        <v>42233</v>
      </c>
      <c r="B721" s="29" t="s">
        <v>48</v>
      </c>
      <c r="C721" s="14" t="s">
        <v>71</v>
      </c>
      <c r="D721" s="29" t="s">
        <v>122</v>
      </c>
      <c r="E721" s="29" t="s">
        <v>128</v>
      </c>
      <c r="F721" s="30">
        <v>83.74</v>
      </c>
      <c r="G721" s="31">
        <v>82.07</v>
      </c>
    </row>
    <row r="722" spans="1:7" ht="14.4" x14ac:dyDescent="0.25">
      <c r="A722" s="24">
        <v>42233</v>
      </c>
      <c r="B722" s="25" t="s">
        <v>12</v>
      </c>
      <c r="C722" s="9" t="s">
        <v>89</v>
      </c>
      <c r="D722" s="25" t="s">
        <v>118</v>
      </c>
      <c r="E722" s="25" t="s">
        <v>130</v>
      </c>
      <c r="F722" s="26">
        <v>142.9</v>
      </c>
      <c r="G722" s="27">
        <v>140.04</v>
      </c>
    </row>
    <row r="723" spans="1:7" ht="14.4" x14ac:dyDescent="0.25">
      <c r="A723" s="28">
        <v>42234</v>
      </c>
      <c r="B723" s="29" t="s">
        <v>41</v>
      </c>
      <c r="C723" s="14" t="s">
        <v>68</v>
      </c>
      <c r="D723" s="29" t="s">
        <v>122</v>
      </c>
      <c r="E723" s="29" t="s">
        <v>128</v>
      </c>
      <c r="F723" s="30">
        <v>251.91</v>
      </c>
      <c r="G723" s="31">
        <v>231.76</v>
      </c>
    </row>
    <row r="724" spans="1:7" ht="14.4" x14ac:dyDescent="0.25">
      <c r="A724" s="24">
        <v>42234</v>
      </c>
      <c r="B724" s="25" t="s">
        <v>14</v>
      </c>
      <c r="C724" s="9" t="s">
        <v>83</v>
      </c>
      <c r="D724" s="25" t="s">
        <v>118</v>
      </c>
      <c r="E724" s="25" t="s">
        <v>130</v>
      </c>
      <c r="F724" s="26">
        <v>846.06</v>
      </c>
      <c r="G724" s="27">
        <v>786.83999999999992</v>
      </c>
    </row>
    <row r="725" spans="1:7" ht="14.4" x14ac:dyDescent="0.25">
      <c r="A725" s="28">
        <v>42235</v>
      </c>
      <c r="B725" s="29" t="s">
        <v>33</v>
      </c>
      <c r="C725" s="14" t="s">
        <v>115</v>
      </c>
      <c r="D725" s="29" t="s">
        <v>121</v>
      </c>
      <c r="E725" s="29" t="s">
        <v>128</v>
      </c>
      <c r="F725" s="30">
        <v>93.74</v>
      </c>
      <c r="G725" s="31">
        <v>91.86999999999999</v>
      </c>
    </row>
    <row r="726" spans="1:7" ht="14.4" x14ac:dyDescent="0.25">
      <c r="A726" s="24">
        <v>42235</v>
      </c>
      <c r="B726" s="25" t="s">
        <v>32</v>
      </c>
      <c r="C726" s="9" t="s">
        <v>126</v>
      </c>
      <c r="D726" s="25" t="s">
        <v>120</v>
      </c>
      <c r="E726" s="25" t="s">
        <v>128</v>
      </c>
      <c r="F726" s="26">
        <v>759.65</v>
      </c>
      <c r="G726" s="27">
        <v>744.45999999999992</v>
      </c>
    </row>
    <row r="727" spans="1:7" ht="14.4" x14ac:dyDescent="0.25">
      <c r="A727" s="28">
        <v>42236</v>
      </c>
      <c r="B727" s="29" t="s">
        <v>2</v>
      </c>
      <c r="C727" s="14" t="s">
        <v>108</v>
      </c>
      <c r="D727" s="29" t="s">
        <v>118</v>
      </c>
      <c r="E727" s="29" t="s">
        <v>129</v>
      </c>
      <c r="F727" s="30">
        <v>126.3</v>
      </c>
      <c r="G727" s="31">
        <v>123.77</v>
      </c>
    </row>
    <row r="728" spans="1:7" ht="14.4" x14ac:dyDescent="0.25">
      <c r="A728" s="24">
        <v>42236</v>
      </c>
      <c r="B728" s="25" t="s">
        <v>28</v>
      </c>
      <c r="C728" s="9" t="s">
        <v>103</v>
      </c>
      <c r="D728" s="25" t="s">
        <v>120</v>
      </c>
      <c r="E728" s="25" t="s">
        <v>130</v>
      </c>
      <c r="F728" s="26">
        <v>434.16</v>
      </c>
      <c r="G728" s="27">
        <v>416.79</v>
      </c>
    </row>
    <row r="729" spans="1:7" ht="14.4" x14ac:dyDescent="0.25">
      <c r="A729" s="28">
        <v>42236</v>
      </c>
      <c r="B729" s="29" t="s">
        <v>35</v>
      </c>
      <c r="C729" s="14" t="s">
        <v>97</v>
      </c>
      <c r="D729" s="29" t="s">
        <v>121</v>
      </c>
      <c r="E729" s="29" t="s">
        <v>128</v>
      </c>
      <c r="F729" s="30">
        <v>88.06</v>
      </c>
      <c r="G729" s="31">
        <v>80.13</v>
      </c>
    </row>
    <row r="730" spans="1:7" ht="14.4" x14ac:dyDescent="0.25">
      <c r="A730" s="24">
        <v>42238</v>
      </c>
      <c r="B730" s="25" t="s">
        <v>6</v>
      </c>
      <c r="C730" s="9" t="s">
        <v>81</v>
      </c>
      <c r="D730" s="25" t="s">
        <v>118</v>
      </c>
      <c r="E730" s="25" t="s">
        <v>130</v>
      </c>
      <c r="F730" s="26">
        <v>891.98</v>
      </c>
      <c r="G730" s="27">
        <v>847.38</v>
      </c>
    </row>
    <row r="731" spans="1:7" ht="14.4" x14ac:dyDescent="0.25">
      <c r="A731" s="28">
        <v>42238</v>
      </c>
      <c r="B731" s="29" t="s">
        <v>36</v>
      </c>
      <c r="C731" s="14" t="s">
        <v>59</v>
      </c>
      <c r="D731" s="29" t="s">
        <v>121</v>
      </c>
      <c r="E731" s="29" t="s">
        <v>129</v>
      </c>
      <c r="F731" s="30">
        <v>521.94000000000005</v>
      </c>
      <c r="G731" s="31">
        <v>563.70000000000005</v>
      </c>
    </row>
    <row r="732" spans="1:7" ht="14.4" x14ac:dyDescent="0.25">
      <c r="A732" s="24">
        <v>42239</v>
      </c>
      <c r="B732" s="25" t="s">
        <v>25</v>
      </c>
      <c r="C732" s="9" t="s">
        <v>94</v>
      </c>
      <c r="D732" s="25" t="s">
        <v>119</v>
      </c>
      <c r="E732" s="25" t="s">
        <v>129</v>
      </c>
      <c r="F732" s="26">
        <v>982.56</v>
      </c>
      <c r="G732" s="27">
        <v>1051.3399999999999</v>
      </c>
    </row>
    <row r="733" spans="1:7" ht="14.4" x14ac:dyDescent="0.25">
      <c r="A733" s="28">
        <v>42240</v>
      </c>
      <c r="B733" s="29" t="s">
        <v>22</v>
      </c>
      <c r="C733" s="14" t="s">
        <v>77</v>
      </c>
      <c r="D733" s="29" t="s">
        <v>119</v>
      </c>
      <c r="E733" s="29" t="s">
        <v>129</v>
      </c>
      <c r="F733" s="30">
        <v>158.63999999999999</v>
      </c>
      <c r="G733" s="31">
        <v>142.77999999999997</v>
      </c>
    </row>
    <row r="734" spans="1:7" ht="14.4" x14ac:dyDescent="0.25">
      <c r="A734" s="24">
        <v>42241</v>
      </c>
      <c r="B734" s="25" t="s">
        <v>36</v>
      </c>
      <c r="C734" s="9" t="s">
        <v>57</v>
      </c>
      <c r="D734" s="25" t="s">
        <v>121</v>
      </c>
      <c r="E734" s="25" t="s">
        <v>129</v>
      </c>
      <c r="F734" s="26">
        <v>317.39999999999998</v>
      </c>
      <c r="G734" s="27">
        <v>311.04999999999995</v>
      </c>
    </row>
    <row r="735" spans="1:7" ht="14.4" x14ac:dyDescent="0.25">
      <c r="A735" s="28">
        <v>42243</v>
      </c>
      <c r="B735" s="29" t="s">
        <v>48</v>
      </c>
      <c r="C735" s="14" t="s">
        <v>56</v>
      </c>
      <c r="D735" s="29" t="s">
        <v>122</v>
      </c>
      <c r="E735" s="29" t="s">
        <v>130</v>
      </c>
      <c r="F735" s="30">
        <v>51.79</v>
      </c>
      <c r="G735" s="31">
        <v>51.269999999999996</v>
      </c>
    </row>
    <row r="736" spans="1:7" ht="14.4" x14ac:dyDescent="0.25">
      <c r="A736" s="24">
        <v>42248</v>
      </c>
      <c r="B736" s="25" t="s">
        <v>10</v>
      </c>
      <c r="C736" s="9" t="s">
        <v>93</v>
      </c>
      <c r="D736" s="25" t="s">
        <v>118</v>
      </c>
      <c r="E736" s="25" t="s">
        <v>129</v>
      </c>
      <c r="F736" s="26">
        <v>439.66</v>
      </c>
      <c r="G736" s="27">
        <v>461.64000000000004</v>
      </c>
    </row>
    <row r="737" spans="1:7" ht="14.4" x14ac:dyDescent="0.25">
      <c r="A737" s="28">
        <v>42250</v>
      </c>
      <c r="B737" s="29" t="s">
        <v>17</v>
      </c>
      <c r="C737" s="14" t="s">
        <v>74</v>
      </c>
      <c r="D737" s="29" t="s">
        <v>119</v>
      </c>
      <c r="E737" s="29" t="s">
        <v>129</v>
      </c>
      <c r="F737" s="30">
        <v>693.91</v>
      </c>
      <c r="G737" s="31">
        <v>659.20999999999992</v>
      </c>
    </row>
    <row r="738" spans="1:7" ht="14.4" x14ac:dyDescent="0.25">
      <c r="A738" s="24">
        <v>42250</v>
      </c>
      <c r="B738" s="25" t="s">
        <v>34</v>
      </c>
      <c r="C738" s="9" t="s">
        <v>105</v>
      </c>
      <c r="D738" s="25" t="s">
        <v>121</v>
      </c>
      <c r="E738" s="25" t="s">
        <v>129</v>
      </c>
      <c r="F738" s="26">
        <v>53.57</v>
      </c>
      <c r="G738" s="27">
        <v>57.86</v>
      </c>
    </row>
    <row r="739" spans="1:7" ht="14.4" x14ac:dyDescent="0.25">
      <c r="A739" s="28">
        <v>42251</v>
      </c>
      <c r="B739" s="29" t="s">
        <v>1</v>
      </c>
      <c r="C739" s="14" t="s">
        <v>1</v>
      </c>
      <c r="D739" s="29" t="s">
        <v>118</v>
      </c>
      <c r="E739" s="29" t="s">
        <v>128</v>
      </c>
      <c r="F739" s="30">
        <v>952.85</v>
      </c>
      <c r="G739" s="31">
        <v>981.44</v>
      </c>
    </row>
    <row r="740" spans="1:7" ht="14.4" x14ac:dyDescent="0.25">
      <c r="A740" s="24">
        <v>42252</v>
      </c>
      <c r="B740" s="25" t="s">
        <v>30</v>
      </c>
      <c r="C740" s="9" t="s">
        <v>88</v>
      </c>
      <c r="D740" s="25" t="s">
        <v>120</v>
      </c>
      <c r="E740" s="25" t="s">
        <v>128</v>
      </c>
      <c r="F740" s="26">
        <v>822.41</v>
      </c>
      <c r="G740" s="27">
        <v>855.31</v>
      </c>
    </row>
    <row r="741" spans="1:7" ht="14.4" x14ac:dyDescent="0.25">
      <c r="A741" s="28">
        <v>42252</v>
      </c>
      <c r="B741" s="29" t="s">
        <v>16</v>
      </c>
      <c r="C741" s="14" t="s">
        <v>61</v>
      </c>
      <c r="D741" s="29" t="s">
        <v>118</v>
      </c>
      <c r="E741" s="29" t="s">
        <v>129</v>
      </c>
      <c r="F741" s="30">
        <v>225.21</v>
      </c>
      <c r="G741" s="31">
        <v>231.97</v>
      </c>
    </row>
    <row r="742" spans="1:7" ht="14.4" x14ac:dyDescent="0.25">
      <c r="A742" s="24">
        <v>42253</v>
      </c>
      <c r="B742" s="25" t="s">
        <v>2</v>
      </c>
      <c r="C742" s="9" t="s">
        <v>108</v>
      </c>
      <c r="D742" s="25" t="s">
        <v>118</v>
      </c>
      <c r="E742" s="25" t="s">
        <v>128</v>
      </c>
      <c r="F742" s="26">
        <v>199.16</v>
      </c>
      <c r="G742" s="27">
        <v>195.18</v>
      </c>
    </row>
    <row r="743" spans="1:7" ht="14.4" x14ac:dyDescent="0.25">
      <c r="A743" s="28">
        <v>42254</v>
      </c>
      <c r="B743" s="29" t="s">
        <v>11</v>
      </c>
      <c r="C743" s="14" t="s">
        <v>91</v>
      </c>
      <c r="D743" s="29" t="s">
        <v>118</v>
      </c>
      <c r="E743" s="29" t="s">
        <v>130</v>
      </c>
      <c r="F743" s="30">
        <v>118.6</v>
      </c>
      <c r="G743" s="31">
        <v>122.16</v>
      </c>
    </row>
    <row r="744" spans="1:7" ht="14.4" x14ac:dyDescent="0.25">
      <c r="A744" s="24">
        <v>42254</v>
      </c>
      <c r="B744" s="25" t="s">
        <v>36</v>
      </c>
      <c r="C744" s="9" t="s">
        <v>90</v>
      </c>
      <c r="D744" s="25" t="s">
        <v>121</v>
      </c>
      <c r="E744" s="25" t="s">
        <v>129</v>
      </c>
      <c r="F744" s="26">
        <v>503.52</v>
      </c>
      <c r="G744" s="27">
        <v>523.66</v>
      </c>
    </row>
    <row r="745" spans="1:7" ht="14.4" x14ac:dyDescent="0.25">
      <c r="A745" s="28">
        <v>42257</v>
      </c>
      <c r="B745" s="29" t="s">
        <v>38</v>
      </c>
      <c r="C745" s="14" t="s">
        <v>62</v>
      </c>
      <c r="D745" s="29" t="s">
        <v>122</v>
      </c>
      <c r="E745" s="29" t="s">
        <v>128</v>
      </c>
      <c r="F745" s="30">
        <v>853.01</v>
      </c>
      <c r="G745" s="31">
        <v>818.89</v>
      </c>
    </row>
    <row r="746" spans="1:7" ht="14.4" x14ac:dyDescent="0.25">
      <c r="A746" s="24">
        <v>42259</v>
      </c>
      <c r="B746" s="25" t="s">
        <v>18</v>
      </c>
      <c r="C746" s="9" t="s">
        <v>63</v>
      </c>
      <c r="D746" s="25" t="s">
        <v>119</v>
      </c>
      <c r="E746" s="25" t="s">
        <v>128</v>
      </c>
      <c r="F746" s="26">
        <v>977.32</v>
      </c>
      <c r="G746" s="27">
        <v>918.68000000000006</v>
      </c>
    </row>
    <row r="747" spans="1:7" ht="14.4" x14ac:dyDescent="0.25">
      <c r="A747" s="28">
        <v>42259</v>
      </c>
      <c r="B747" s="29" t="s">
        <v>48</v>
      </c>
      <c r="C747" s="14" t="s">
        <v>55</v>
      </c>
      <c r="D747" s="29" t="s">
        <v>122</v>
      </c>
      <c r="E747" s="29" t="s">
        <v>129</v>
      </c>
      <c r="F747" s="30">
        <v>724.95</v>
      </c>
      <c r="G747" s="31">
        <v>724.95</v>
      </c>
    </row>
    <row r="748" spans="1:7" ht="14.4" x14ac:dyDescent="0.25">
      <c r="A748" s="24">
        <v>42261</v>
      </c>
      <c r="B748" s="25" t="s">
        <v>49</v>
      </c>
      <c r="C748" s="9" t="s">
        <v>72</v>
      </c>
      <c r="D748" s="25" t="s">
        <v>122</v>
      </c>
      <c r="E748" s="25" t="s">
        <v>130</v>
      </c>
      <c r="F748" s="26">
        <v>109.84</v>
      </c>
      <c r="G748" s="27">
        <v>107.64</v>
      </c>
    </row>
    <row r="749" spans="1:7" ht="14.4" x14ac:dyDescent="0.25">
      <c r="A749" s="28">
        <v>42263</v>
      </c>
      <c r="B749" s="29" t="s">
        <v>26</v>
      </c>
      <c r="C749" s="14" t="s">
        <v>117</v>
      </c>
      <c r="D749" s="29" t="s">
        <v>120</v>
      </c>
      <c r="E749" s="29" t="s">
        <v>128</v>
      </c>
      <c r="F749" s="30">
        <v>206.71</v>
      </c>
      <c r="G749" s="31">
        <v>198.44</v>
      </c>
    </row>
    <row r="750" spans="1:7" ht="14.4" x14ac:dyDescent="0.25">
      <c r="A750" s="24">
        <v>42267</v>
      </c>
      <c r="B750" s="25" t="s">
        <v>28</v>
      </c>
      <c r="C750" s="9" t="s">
        <v>103</v>
      </c>
      <c r="D750" s="25" t="s">
        <v>120</v>
      </c>
      <c r="E750" s="25" t="s">
        <v>128</v>
      </c>
      <c r="F750" s="26">
        <v>807.85</v>
      </c>
      <c r="G750" s="27">
        <v>775.54</v>
      </c>
    </row>
    <row r="751" spans="1:7" ht="14.4" x14ac:dyDescent="0.25">
      <c r="A751" s="28">
        <v>42267</v>
      </c>
      <c r="B751" s="29" t="s">
        <v>6</v>
      </c>
      <c r="C751" s="14" t="s">
        <v>80</v>
      </c>
      <c r="D751" s="29" t="s">
        <v>118</v>
      </c>
      <c r="E751" s="29" t="s">
        <v>130</v>
      </c>
      <c r="F751" s="30">
        <v>670.13</v>
      </c>
      <c r="G751" s="31">
        <v>623.22</v>
      </c>
    </row>
    <row r="752" spans="1:7" ht="14.4" x14ac:dyDescent="0.25">
      <c r="A752" s="24">
        <v>42267</v>
      </c>
      <c r="B752" s="25" t="s">
        <v>49</v>
      </c>
      <c r="C752" s="9" t="s">
        <v>72</v>
      </c>
      <c r="D752" s="25" t="s">
        <v>122</v>
      </c>
      <c r="E752" s="25" t="s">
        <v>129</v>
      </c>
      <c r="F752" s="26">
        <v>893.17</v>
      </c>
      <c r="G752" s="27">
        <v>839.57999999999993</v>
      </c>
    </row>
    <row r="753" spans="1:7" ht="14.4" x14ac:dyDescent="0.25">
      <c r="A753" s="28">
        <v>42269</v>
      </c>
      <c r="B753" s="29" t="s">
        <v>5</v>
      </c>
      <c r="C753" s="14" t="s">
        <v>102</v>
      </c>
      <c r="D753" s="29" t="s">
        <v>118</v>
      </c>
      <c r="E753" s="29" t="s">
        <v>129</v>
      </c>
      <c r="F753" s="30">
        <v>192.61</v>
      </c>
      <c r="G753" s="31">
        <v>173.35000000000002</v>
      </c>
    </row>
    <row r="754" spans="1:7" ht="14.4" x14ac:dyDescent="0.25">
      <c r="A754" s="24">
        <v>42272</v>
      </c>
      <c r="B754" s="25" t="s">
        <v>12</v>
      </c>
      <c r="C754" s="9" t="s">
        <v>89</v>
      </c>
      <c r="D754" s="25" t="s">
        <v>118</v>
      </c>
      <c r="E754" s="25" t="s">
        <v>130</v>
      </c>
      <c r="F754" s="26">
        <v>945.8</v>
      </c>
      <c r="G754" s="27">
        <v>964.71999999999991</v>
      </c>
    </row>
    <row r="755" spans="1:7" ht="14.4" x14ac:dyDescent="0.25">
      <c r="A755" s="28">
        <v>42274</v>
      </c>
      <c r="B755" s="29" t="s">
        <v>6</v>
      </c>
      <c r="C755" s="14" t="s">
        <v>81</v>
      </c>
      <c r="D755" s="29" t="s">
        <v>118</v>
      </c>
      <c r="E755" s="29" t="s">
        <v>128</v>
      </c>
      <c r="F755" s="30">
        <v>130.69</v>
      </c>
      <c r="G755" s="31">
        <v>122.85</v>
      </c>
    </row>
    <row r="756" spans="1:7" ht="14.4" x14ac:dyDescent="0.25">
      <c r="A756" s="24">
        <v>42275</v>
      </c>
      <c r="B756" s="25" t="s">
        <v>47</v>
      </c>
      <c r="C756" s="9" t="s">
        <v>96</v>
      </c>
      <c r="D756" s="25" t="s">
        <v>122</v>
      </c>
      <c r="E756" s="25" t="s">
        <v>128</v>
      </c>
      <c r="F756" s="26">
        <v>346.72</v>
      </c>
      <c r="G756" s="27">
        <v>364.06</v>
      </c>
    </row>
    <row r="757" spans="1:7" ht="14.4" x14ac:dyDescent="0.25">
      <c r="A757" s="28">
        <v>42279</v>
      </c>
      <c r="B757" s="29" t="s">
        <v>27</v>
      </c>
      <c r="C757" s="14" t="s">
        <v>110</v>
      </c>
      <c r="D757" s="29" t="s">
        <v>120</v>
      </c>
      <c r="E757" s="29" t="s">
        <v>128</v>
      </c>
      <c r="F757" s="30">
        <v>485.04</v>
      </c>
      <c r="G757" s="31">
        <v>523.84</v>
      </c>
    </row>
    <row r="758" spans="1:7" ht="14.4" x14ac:dyDescent="0.25">
      <c r="A758" s="24">
        <v>42279</v>
      </c>
      <c r="B758" s="25" t="s">
        <v>30</v>
      </c>
      <c r="C758" s="9" t="s">
        <v>88</v>
      </c>
      <c r="D758" s="25" t="s">
        <v>120</v>
      </c>
      <c r="E758" s="25" t="s">
        <v>128</v>
      </c>
      <c r="F758" s="26">
        <v>493.02</v>
      </c>
      <c r="G758" s="27">
        <v>512.74</v>
      </c>
    </row>
    <row r="759" spans="1:7" ht="14.4" x14ac:dyDescent="0.25">
      <c r="A759" s="28">
        <v>42283</v>
      </c>
      <c r="B759" s="29" t="s">
        <v>0</v>
      </c>
      <c r="C759" s="14" t="s">
        <v>114</v>
      </c>
      <c r="D759" s="29" t="s">
        <v>118</v>
      </c>
      <c r="E759" s="29" t="s">
        <v>130</v>
      </c>
      <c r="F759" s="30">
        <v>865.69</v>
      </c>
      <c r="G759" s="31">
        <v>813.75</v>
      </c>
    </row>
    <row r="760" spans="1:7" ht="14.4" x14ac:dyDescent="0.25">
      <c r="A760" s="24">
        <v>42292</v>
      </c>
      <c r="B760" s="25" t="s">
        <v>15</v>
      </c>
      <c r="C760" s="9" t="s">
        <v>60</v>
      </c>
      <c r="D760" s="25" t="s">
        <v>118</v>
      </c>
      <c r="E760" s="25" t="s">
        <v>130</v>
      </c>
      <c r="F760" s="26">
        <v>12.31</v>
      </c>
      <c r="G760" s="27">
        <v>12.68</v>
      </c>
    </row>
    <row r="761" spans="1:7" ht="14.4" x14ac:dyDescent="0.25">
      <c r="A761" s="28">
        <v>42295</v>
      </c>
      <c r="B761" s="29" t="s">
        <v>40</v>
      </c>
      <c r="C761" s="14" t="s">
        <v>65</v>
      </c>
      <c r="D761" s="29" t="s">
        <v>122</v>
      </c>
      <c r="E761" s="29" t="s">
        <v>129</v>
      </c>
      <c r="F761" s="30">
        <v>896.76</v>
      </c>
      <c r="G761" s="31">
        <v>887.79</v>
      </c>
    </row>
    <row r="762" spans="1:7" ht="14.4" x14ac:dyDescent="0.25">
      <c r="A762" s="24">
        <v>42301</v>
      </c>
      <c r="B762" s="25" t="s">
        <v>45</v>
      </c>
      <c r="C762" s="9" t="s">
        <v>101</v>
      </c>
      <c r="D762" s="25" t="s">
        <v>122</v>
      </c>
      <c r="E762" s="25" t="s">
        <v>129</v>
      </c>
      <c r="F762" s="26">
        <v>572.27</v>
      </c>
      <c r="G762" s="27">
        <v>583.72</v>
      </c>
    </row>
    <row r="763" spans="1:7" ht="14.4" x14ac:dyDescent="0.25">
      <c r="A763" s="28">
        <v>42302</v>
      </c>
      <c r="B763" s="29" t="s">
        <v>46</v>
      </c>
      <c r="C763" s="14" t="s">
        <v>100</v>
      </c>
      <c r="D763" s="29" t="s">
        <v>122</v>
      </c>
      <c r="E763" s="29" t="s">
        <v>128</v>
      </c>
      <c r="F763" s="30">
        <v>784.94</v>
      </c>
      <c r="G763" s="31">
        <v>706.45</v>
      </c>
    </row>
    <row r="764" spans="1:7" ht="14.4" x14ac:dyDescent="0.25">
      <c r="A764" s="24">
        <v>42305</v>
      </c>
      <c r="B764" s="25" t="s">
        <v>43</v>
      </c>
      <c r="C764" s="9" t="s">
        <v>106</v>
      </c>
      <c r="D764" s="25" t="s">
        <v>122</v>
      </c>
      <c r="E764" s="25" t="s">
        <v>129</v>
      </c>
      <c r="F764" s="26">
        <v>547.67999999999995</v>
      </c>
      <c r="G764" s="27">
        <v>586.02</v>
      </c>
    </row>
    <row r="765" spans="1:7" ht="14.4" x14ac:dyDescent="0.25">
      <c r="A765" s="28">
        <v>42309</v>
      </c>
      <c r="B765" s="29" t="s">
        <v>22</v>
      </c>
      <c r="C765" s="14" t="s">
        <v>78</v>
      </c>
      <c r="D765" s="29" t="s">
        <v>119</v>
      </c>
      <c r="E765" s="29" t="s">
        <v>129</v>
      </c>
      <c r="F765" s="30">
        <v>430.15</v>
      </c>
      <c r="G765" s="31">
        <v>460.26</v>
      </c>
    </row>
    <row r="766" spans="1:7" ht="14.4" x14ac:dyDescent="0.25">
      <c r="A766" s="24">
        <v>42316</v>
      </c>
      <c r="B766" s="25" t="s">
        <v>40</v>
      </c>
      <c r="C766" s="9" t="s">
        <v>111</v>
      </c>
      <c r="D766" s="25" t="s">
        <v>122</v>
      </c>
      <c r="E766" s="25" t="s">
        <v>129</v>
      </c>
      <c r="F766" s="26">
        <v>749.12</v>
      </c>
      <c r="G766" s="27">
        <v>756.61</v>
      </c>
    </row>
    <row r="767" spans="1:7" ht="14.4" x14ac:dyDescent="0.25">
      <c r="A767" s="28">
        <v>42316</v>
      </c>
      <c r="B767" s="29" t="s">
        <v>37</v>
      </c>
      <c r="C767" s="14" t="s">
        <v>87</v>
      </c>
      <c r="D767" s="29" t="s">
        <v>121</v>
      </c>
      <c r="E767" s="29" t="s">
        <v>128</v>
      </c>
      <c r="F767" s="30">
        <v>787.3</v>
      </c>
      <c r="G767" s="31">
        <v>771.55</v>
      </c>
    </row>
    <row r="768" spans="1:7" ht="14.4" x14ac:dyDescent="0.25">
      <c r="A768" s="24">
        <v>42317</v>
      </c>
      <c r="B768" s="25" t="s">
        <v>3</v>
      </c>
      <c r="C768" s="9" t="s">
        <v>66</v>
      </c>
      <c r="D768" s="25" t="s">
        <v>118</v>
      </c>
      <c r="E768" s="25" t="s">
        <v>129</v>
      </c>
      <c r="F768" s="26">
        <v>743.67</v>
      </c>
      <c r="G768" s="27">
        <v>713.92</v>
      </c>
    </row>
    <row r="769" spans="1:7" ht="14.4" x14ac:dyDescent="0.25">
      <c r="A769" s="28">
        <v>42321</v>
      </c>
      <c r="B769" s="29" t="s">
        <v>23</v>
      </c>
      <c r="C769" s="14" t="s">
        <v>109</v>
      </c>
      <c r="D769" s="29" t="s">
        <v>119</v>
      </c>
      <c r="E769" s="29" t="s">
        <v>128</v>
      </c>
      <c r="F769" s="30">
        <v>800.51</v>
      </c>
      <c r="G769" s="31">
        <v>768.49</v>
      </c>
    </row>
    <row r="770" spans="1:7" ht="14.4" x14ac:dyDescent="0.25">
      <c r="A770" s="24">
        <v>42321</v>
      </c>
      <c r="B770" s="25" t="s">
        <v>7</v>
      </c>
      <c r="C770" s="9" t="s">
        <v>99</v>
      </c>
      <c r="D770" s="25" t="s">
        <v>118</v>
      </c>
      <c r="E770" s="25" t="s">
        <v>130</v>
      </c>
      <c r="F770" s="26">
        <v>15.99</v>
      </c>
      <c r="G770" s="27">
        <v>16.79</v>
      </c>
    </row>
    <row r="771" spans="1:7" ht="14.4" x14ac:dyDescent="0.25">
      <c r="A771" s="28">
        <v>42326</v>
      </c>
      <c r="B771" s="29" t="s">
        <v>38</v>
      </c>
      <c r="C771" s="14" t="s">
        <v>116</v>
      </c>
      <c r="D771" s="29" t="s">
        <v>122</v>
      </c>
      <c r="E771" s="29" t="s">
        <v>129</v>
      </c>
      <c r="F771" s="30">
        <v>517.70000000000005</v>
      </c>
      <c r="G771" s="31">
        <v>517.70000000000005</v>
      </c>
    </row>
    <row r="772" spans="1:7" ht="14.4" x14ac:dyDescent="0.25">
      <c r="A772" s="24">
        <v>42326</v>
      </c>
      <c r="B772" s="25" t="s">
        <v>33</v>
      </c>
      <c r="C772" s="9" t="s">
        <v>115</v>
      </c>
      <c r="D772" s="25" t="s">
        <v>121</v>
      </c>
      <c r="E772" s="25" t="s">
        <v>128</v>
      </c>
      <c r="F772" s="26">
        <v>137.27000000000001</v>
      </c>
      <c r="G772" s="27">
        <v>140.02000000000001</v>
      </c>
    </row>
    <row r="773" spans="1:7" ht="14.4" x14ac:dyDescent="0.25">
      <c r="A773" s="28">
        <v>42327</v>
      </c>
      <c r="B773" s="29" t="s">
        <v>8</v>
      </c>
      <c r="C773" s="14" t="s">
        <v>54</v>
      </c>
      <c r="D773" s="29" t="s">
        <v>118</v>
      </c>
      <c r="E773" s="29" t="s">
        <v>129</v>
      </c>
      <c r="F773" s="30">
        <v>937.98</v>
      </c>
      <c r="G773" s="31">
        <v>937.98</v>
      </c>
    </row>
    <row r="774" spans="1:7" ht="14.4" x14ac:dyDescent="0.25">
      <c r="A774" s="24">
        <v>42329</v>
      </c>
      <c r="B774" s="25" t="s">
        <v>48</v>
      </c>
      <c r="C774" s="9" t="s">
        <v>82</v>
      </c>
      <c r="D774" s="25" t="s">
        <v>122</v>
      </c>
      <c r="E774" s="25" t="s">
        <v>130</v>
      </c>
      <c r="F774" s="26">
        <v>38.299999999999997</v>
      </c>
      <c r="G774" s="27">
        <v>37.15</v>
      </c>
    </row>
    <row r="775" spans="1:7" ht="14.4" x14ac:dyDescent="0.25">
      <c r="A775" s="28">
        <v>42329</v>
      </c>
      <c r="B775" s="29" t="s">
        <v>13</v>
      </c>
      <c r="C775" s="14" t="s">
        <v>73</v>
      </c>
      <c r="D775" s="29" t="s">
        <v>118</v>
      </c>
      <c r="E775" s="29" t="s">
        <v>128</v>
      </c>
      <c r="F775" s="30">
        <v>6.87</v>
      </c>
      <c r="G775" s="31">
        <v>6.73</v>
      </c>
    </row>
    <row r="776" spans="1:7" ht="14.4" x14ac:dyDescent="0.25">
      <c r="A776" s="24">
        <v>42334</v>
      </c>
      <c r="B776" s="25" t="s">
        <v>24</v>
      </c>
      <c r="C776" s="9" t="s">
        <v>107</v>
      </c>
      <c r="D776" s="25" t="s">
        <v>119</v>
      </c>
      <c r="E776" s="25" t="s">
        <v>130</v>
      </c>
      <c r="F776" s="26">
        <v>771.44</v>
      </c>
      <c r="G776" s="27">
        <v>694.30000000000007</v>
      </c>
    </row>
    <row r="777" spans="1:7" ht="14.4" x14ac:dyDescent="0.25">
      <c r="A777" s="28">
        <v>42334</v>
      </c>
      <c r="B777" s="29" t="s">
        <v>11</v>
      </c>
      <c r="C777" s="14" t="s">
        <v>91</v>
      </c>
      <c r="D777" s="29" t="s">
        <v>118</v>
      </c>
      <c r="E777" s="29" t="s">
        <v>129</v>
      </c>
      <c r="F777" s="30">
        <v>443.2</v>
      </c>
      <c r="G777" s="31">
        <v>421.03999999999996</v>
      </c>
    </row>
    <row r="778" spans="1:7" ht="14.4" x14ac:dyDescent="0.25">
      <c r="A778" s="24">
        <v>42339</v>
      </c>
      <c r="B778" s="25" t="s">
        <v>19</v>
      </c>
      <c r="C778" s="9" t="s">
        <v>113</v>
      </c>
      <c r="D778" s="25" t="s">
        <v>119</v>
      </c>
      <c r="E778" s="25" t="s">
        <v>128</v>
      </c>
      <c r="F778" s="26">
        <v>461.66</v>
      </c>
      <c r="G778" s="27">
        <v>420.11</v>
      </c>
    </row>
    <row r="779" spans="1:7" ht="14.4" x14ac:dyDescent="0.25">
      <c r="A779" s="28">
        <v>42339</v>
      </c>
      <c r="B779" s="29" t="s">
        <v>20</v>
      </c>
      <c r="C779" s="14" t="s">
        <v>112</v>
      </c>
      <c r="D779" s="29" t="s">
        <v>119</v>
      </c>
      <c r="E779" s="29" t="s">
        <v>130</v>
      </c>
      <c r="F779" s="30">
        <v>163.34</v>
      </c>
      <c r="G779" s="31">
        <v>174.77</v>
      </c>
    </row>
    <row r="780" spans="1:7" ht="14.4" x14ac:dyDescent="0.25">
      <c r="A780" s="24">
        <v>42342</v>
      </c>
      <c r="B780" s="25" t="s">
        <v>41</v>
      </c>
      <c r="C780" s="9" t="s">
        <v>67</v>
      </c>
      <c r="D780" s="25" t="s">
        <v>122</v>
      </c>
      <c r="E780" s="25" t="s">
        <v>129</v>
      </c>
      <c r="F780" s="26">
        <v>535.35</v>
      </c>
      <c r="G780" s="27">
        <v>562.12</v>
      </c>
    </row>
    <row r="781" spans="1:7" ht="14.4" x14ac:dyDescent="0.25">
      <c r="A781" s="28">
        <v>42346</v>
      </c>
      <c r="B781" s="29" t="s">
        <v>26</v>
      </c>
      <c r="C781" s="14" t="s">
        <v>117</v>
      </c>
      <c r="D781" s="29" t="s">
        <v>120</v>
      </c>
      <c r="E781" s="29" t="s">
        <v>128</v>
      </c>
      <c r="F781" s="30">
        <v>377.49</v>
      </c>
      <c r="G781" s="31">
        <v>351.07</v>
      </c>
    </row>
    <row r="782" spans="1:7" ht="14.4" x14ac:dyDescent="0.25">
      <c r="A782" s="24">
        <v>42347</v>
      </c>
      <c r="B782" s="25" t="s">
        <v>48</v>
      </c>
      <c r="C782" s="9" t="s">
        <v>71</v>
      </c>
      <c r="D782" s="25" t="s">
        <v>122</v>
      </c>
      <c r="E782" s="25" t="s">
        <v>130</v>
      </c>
      <c r="F782" s="26">
        <v>423.18</v>
      </c>
      <c r="G782" s="27">
        <v>452.8</v>
      </c>
    </row>
    <row r="783" spans="1:7" ht="14.4" x14ac:dyDescent="0.25">
      <c r="A783" s="28">
        <v>42347</v>
      </c>
      <c r="B783" s="29" t="s">
        <v>31</v>
      </c>
      <c r="C783" s="14" t="s">
        <v>85</v>
      </c>
      <c r="D783" s="29" t="s">
        <v>120</v>
      </c>
      <c r="E783" s="29" t="s">
        <v>129</v>
      </c>
      <c r="F783" s="30">
        <v>728.79</v>
      </c>
      <c r="G783" s="31">
        <v>655.91</v>
      </c>
    </row>
    <row r="784" spans="1:7" ht="14.4" x14ac:dyDescent="0.25">
      <c r="A784" s="24">
        <v>42349</v>
      </c>
      <c r="B784" s="25" t="s">
        <v>30</v>
      </c>
      <c r="C784" s="9" t="s">
        <v>88</v>
      </c>
      <c r="D784" s="25" t="s">
        <v>120</v>
      </c>
      <c r="E784" s="25" t="s">
        <v>130</v>
      </c>
      <c r="F784" s="26">
        <v>277.22000000000003</v>
      </c>
      <c r="G784" s="27">
        <v>271.68</v>
      </c>
    </row>
    <row r="785" spans="1:7" ht="14.4" x14ac:dyDescent="0.25">
      <c r="A785" s="28">
        <v>42351</v>
      </c>
      <c r="B785" s="29" t="s">
        <v>42</v>
      </c>
      <c r="C785" s="14" t="s">
        <v>69</v>
      </c>
      <c r="D785" s="29" t="s">
        <v>122</v>
      </c>
      <c r="E785" s="29" t="s">
        <v>130</v>
      </c>
      <c r="F785" s="30">
        <v>350.47</v>
      </c>
      <c r="G785" s="31">
        <v>322.43</v>
      </c>
    </row>
    <row r="786" spans="1:7" ht="14.4" x14ac:dyDescent="0.25">
      <c r="A786" s="24">
        <v>42351</v>
      </c>
      <c r="B786" s="25" t="s">
        <v>14</v>
      </c>
      <c r="C786" s="9" t="s">
        <v>83</v>
      </c>
      <c r="D786" s="25" t="s">
        <v>118</v>
      </c>
      <c r="E786" s="25" t="s">
        <v>129</v>
      </c>
      <c r="F786" s="26">
        <v>505.64</v>
      </c>
      <c r="G786" s="27">
        <v>525.87</v>
      </c>
    </row>
    <row r="787" spans="1:7" ht="14.4" x14ac:dyDescent="0.25">
      <c r="A787" s="28">
        <v>42355</v>
      </c>
      <c r="B787" s="29" t="s">
        <v>9</v>
      </c>
      <c r="C787" s="14" t="s">
        <v>95</v>
      </c>
      <c r="D787" s="29" t="s">
        <v>118</v>
      </c>
      <c r="E787" s="29" t="s">
        <v>130</v>
      </c>
      <c r="F787" s="30">
        <v>472.24</v>
      </c>
      <c r="G787" s="31">
        <v>510.02</v>
      </c>
    </row>
    <row r="788" spans="1:7" ht="14.4" x14ac:dyDescent="0.25">
      <c r="A788" s="24">
        <v>42357</v>
      </c>
      <c r="B788" s="25" t="s">
        <v>6</v>
      </c>
      <c r="C788" s="9" t="s">
        <v>80</v>
      </c>
      <c r="D788" s="25" t="s">
        <v>118</v>
      </c>
      <c r="E788" s="25" t="s">
        <v>128</v>
      </c>
      <c r="F788" s="26">
        <v>692.45</v>
      </c>
      <c r="G788" s="27">
        <v>685.53000000000009</v>
      </c>
    </row>
    <row r="789" spans="1:7" ht="14.4" x14ac:dyDescent="0.25">
      <c r="A789" s="28">
        <v>42360</v>
      </c>
      <c r="B789" s="29" t="s">
        <v>48</v>
      </c>
      <c r="C789" s="14" t="s">
        <v>56</v>
      </c>
      <c r="D789" s="29" t="s">
        <v>122</v>
      </c>
      <c r="E789" s="29" t="s">
        <v>128</v>
      </c>
      <c r="F789" s="30">
        <v>550.57000000000005</v>
      </c>
      <c r="G789" s="31">
        <v>545.06000000000006</v>
      </c>
    </row>
    <row r="790" spans="1:7" ht="14.4" x14ac:dyDescent="0.25">
      <c r="A790" s="24">
        <v>42363</v>
      </c>
      <c r="B790" s="25" t="s">
        <v>44</v>
      </c>
      <c r="C790" s="9" t="s">
        <v>104</v>
      </c>
      <c r="D790" s="25" t="s">
        <v>122</v>
      </c>
      <c r="E790" s="25" t="s">
        <v>128</v>
      </c>
      <c r="F790" s="26">
        <v>306.95999999999998</v>
      </c>
      <c r="G790" s="27">
        <v>297.75</v>
      </c>
    </row>
    <row r="791" spans="1:7" ht="14.4" x14ac:dyDescent="0.25">
      <c r="A791" s="28">
        <v>42364</v>
      </c>
      <c r="B791" s="29" t="s">
        <v>39</v>
      </c>
      <c r="C791" s="14" t="s">
        <v>75</v>
      </c>
      <c r="D791" s="29" t="s">
        <v>122</v>
      </c>
      <c r="E791" s="29" t="s">
        <v>129</v>
      </c>
      <c r="F791" s="30">
        <v>5.47</v>
      </c>
      <c r="G791" s="31">
        <v>4.92</v>
      </c>
    </row>
    <row r="792" spans="1:7" ht="14.4" x14ac:dyDescent="0.25">
      <c r="A792" s="32">
        <v>42364</v>
      </c>
      <c r="B792" s="23" t="s">
        <v>21</v>
      </c>
      <c r="C792" s="19" t="s">
        <v>79</v>
      </c>
      <c r="D792" s="23" t="s">
        <v>119</v>
      </c>
      <c r="E792" s="23" t="s">
        <v>129</v>
      </c>
      <c r="F792" s="33">
        <v>498.92</v>
      </c>
      <c r="G792" s="34">
        <v>503.91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2267-FF2F-4DFD-8D2E-B7E62DBCB77C}">
  <sheetPr codeName="Sheet5"/>
  <dimension ref="B11:M66"/>
  <sheetViews>
    <sheetView workbookViewId="0">
      <selection activeCell="E15" sqref="E15"/>
    </sheetView>
  </sheetViews>
  <sheetFormatPr defaultRowHeight="13.8" x14ac:dyDescent="0.25"/>
  <cols>
    <col min="2" max="2" width="37.109375" bestFit="1" customWidth="1"/>
    <col min="3" max="3" width="10.44140625" bestFit="1" customWidth="1"/>
    <col min="4" max="5" width="9.5546875" bestFit="1" customWidth="1"/>
    <col min="9" max="9" width="32.77734375" bestFit="1" customWidth="1"/>
    <col min="10" max="10" width="11.6640625" bestFit="1" customWidth="1"/>
    <col min="11" max="11" width="12.21875" bestFit="1" customWidth="1"/>
    <col min="12" max="13" width="9.5546875" bestFit="1" customWidth="1"/>
  </cols>
  <sheetData>
    <row r="11" spans="2:13" x14ac:dyDescent="0.25">
      <c r="I11" s="37" t="s">
        <v>164</v>
      </c>
      <c r="J11" t="s">
        <v>148</v>
      </c>
    </row>
    <row r="13" spans="2:13" x14ac:dyDescent="0.25">
      <c r="B13" s="37" t="s">
        <v>146</v>
      </c>
      <c r="C13" t="s">
        <v>163</v>
      </c>
      <c r="D13" t="s">
        <v>165</v>
      </c>
      <c r="E13" t="s">
        <v>166</v>
      </c>
      <c r="I13" s="37" t="s">
        <v>146</v>
      </c>
      <c r="J13" t="s">
        <v>163</v>
      </c>
      <c r="K13" t="s">
        <v>167</v>
      </c>
      <c r="L13" t="s">
        <v>168</v>
      </c>
      <c r="M13" t="s">
        <v>169</v>
      </c>
    </row>
    <row r="14" spans="2:13" x14ac:dyDescent="0.25">
      <c r="B14" s="38" t="s">
        <v>148</v>
      </c>
      <c r="C14" s="39">
        <v>24326.730000000003</v>
      </c>
      <c r="D14" s="39"/>
      <c r="E14" s="44">
        <v>0.35779180571631963</v>
      </c>
      <c r="I14" s="38" t="s">
        <v>26</v>
      </c>
      <c r="J14" s="39">
        <v>2867.75</v>
      </c>
      <c r="K14" s="22">
        <v>-19.720000000000255</v>
      </c>
      <c r="L14" s="39">
        <v>35</v>
      </c>
      <c r="M14" s="44">
        <v>-2.1236040964453504E-2</v>
      </c>
    </row>
    <row r="15" spans="2:13" x14ac:dyDescent="0.25">
      <c r="B15" s="43" t="s">
        <v>22</v>
      </c>
      <c r="C15" s="39">
        <v>5856.15</v>
      </c>
      <c r="D15" s="39">
        <v>3</v>
      </c>
      <c r="E15" s="44">
        <v>8.6130872626350719E-2</v>
      </c>
      <c r="I15" s="38" t="s">
        <v>17</v>
      </c>
      <c r="J15" s="39">
        <v>1451.46</v>
      </c>
      <c r="K15" s="22">
        <v>123.81999999999994</v>
      </c>
      <c r="L15" s="39">
        <v>5</v>
      </c>
      <c r="M15" s="44">
        <v>0.13333907668451306</v>
      </c>
    </row>
    <row r="16" spans="2:13" x14ac:dyDescent="0.25">
      <c r="B16" s="43" t="s">
        <v>48</v>
      </c>
      <c r="C16" s="39">
        <v>9327.34</v>
      </c>
      <c r="D16" s="39">
        <v>1</v>
      </c>
      <c r="E16" s="44">
        <v>0.13718431622869395</v>
      </c>
      <c r="I16" s="38" t="s">
        <v>38</v>
      </c>
      <c r="J16" s="39">
        <v>5108.1400000000003</v>
      </c>
      <c r="K16" s="22">
        <v>98.210000000000036</v>
      </c>
      <c r="L16" s="39">
        <v>9</v>
      </c>
      <c r="M16" s="44">
        <v>0.10576022226769537</v>
      </c>
    </row>
    <row r="17" spans="2:13" x14ac:dyDescent="0.25">
      <c r="B17" s="43" t="s">
        <v>36</v>
      </c>
      <c r="C17" s="39">
        <v>9143.2400000000016</v>
      </c>
      <c r="D17" s="39">
        <v>2</v>
      </c>
      <c r="E17" s="44">
        <v>0.13447661686127491</v>
      </c>
      <c r="I17" s="38" t="s">
        <v>33</v>
      </c>
      <c r="J17" s="39">
        <v>2603.16</v>
      </c>
      <c r="K17" s="22">
        <v>170.66999999999962</v>
      </c>
      <c r="L17" s="39">
        <v>1</v>
      </c>
      <c r="M17" s="44">
        <v>0.18379082715026496</v>
      </c>
    </row>
    <row r="18" spans="2:13" x14ac:dyDescent="0.25">
      <c r="B18" s="38" t="s">
        <v>161</v>
      </c>
      <c r="C18" s="39">
        <v>23437.210000000003</v>
      </c>
      <c r="D18" s="39"/>
      <c r="E18" s="44">
        <v>0.34470895541047164</v>
      </c>
      <c r="I18" s="38" t="s">
        <v>39</v>
      </c>
      <c r="J18" s="39">
        <v>2335.5600000000004</v>
      </c>
      <c r="K18" s="22">
        <v>-28.489999999999782</v>
      </c>
      <c r="L18" s="39">
        <v>41</v>
      </c>
      <c r="M18" s="44">
        <v>-3.0680264050571397E-2</v>
      </c>
    </row>
    <row r="19" spans="2:13" x14ac:dyDescent="0.25">
      <c r="B19" s="43" t="s">
        <v>22</v>
      </c>
      <c r="C19" s="39">
        <v>6177.6</v>
      </c>
      <c r="D19" s="39">
        <v>3</v>
      </c>
      <c r="E19" s="44">
        <v>9.085868339037495E-2</v>
      </c>
      <c r="I19" s="38" t="s">
        <v>0</v>
      </c>
      <c r="J19" s="39">
        <v>1052.3600000000001</v>
      </c>
      <c r="K19" s="22">
        <v>-3.459999999999809</v>
      </c>
      <c r="L19" s="39">
        <v>28</v>
      </c>
      <c r="M19" s="44">
        <v>-3.7259990738845905E-3</v>
      </c>
    </row>
    <row r="20" spans="2:13" x14ac:dyDescent="0.25">
      <c r="B20" s="43" t="s">
        <v>48</v>
      </c>
      <c r="C20" s="39">
        <v>6618.1100000000006</v>
      </c>
      <c r="D20" s="39">
        <v>2</v>
      </c>
      <c r="E20" s="44">
        <v>9.733760054595221E-2</v>
      </c>
      <c r="I20" s="38" t="s">
        <v>18</v>
      </c>
      <c r="J20" s="39">
        <v>4406.54</v>
      </c>
      <c r="K20" s="22">
        <v>41.840000000000146</v>
      </c>
      <c r="L20" s="39">
        <v>16</v>
      </c>
      <c r="M20" s="44">
        <v>4.50565899570348E-2</v>
      </c>
    </row>
    <row r="21" spans="2:13" x14ac:dyDescent="0.25">
      <c r="B21" s="43" t="s">
        <v>36</v>
      </c>
      <c r="C21" s="39">
        <v>10641.500000000002</v>
      </c>
      <c r="D21" s="39">
        <v>1</v>
      </c>
      <c r="E21" s="44">
        <v>0.15651267147414449</v>
      </c>
      <c r="I21" s="38" t="s">
        <v>19</v>
      </c>
      <c r="J21" s="39">
        <v>1865.1399999999999</v>
      </c>
      <c r="K21" s="22">
        <v>66.690000000000055</v>
      </c>
      <c r="L21" s="39">
        <v>12</v>
      </c>
      <c r="M21" s="44">
        <v>7.181701683161193E-2</v>
      </c>
    </row>
    <row r="22" spans="2:13" x14ac:dyDescent="0.25">
      <c r="B22" s="38" t="s">
        <v>162</v>
      </c>
      <c r="C22" s="39">
        <v>20227.36</v>
      </c>
      <c r="D22" s="39"/>
      <c r="E22" s="44">
        <v>0.29749923887320878</v>
      </c>
      <c r="I22" s="38" t="s">
        <v>20</v>
      </c>
      <c r="J22" s="39">
        <v>1267.8800000000001</v>
      </c>
      <c r="K22" s="22">
        <v>33.230000000000018</v>
      </c>
      <c r="L22" s="39">
        <v>19</v>
      </c>
      <c r="M22" s="44">
        <v>3.5784667406124807E-2</v>
      </c>
    </row>
    <row r="23" spans="2:13" x14ac:dyDescent="0.25">
      <c r="B23" s="43" t="s">
        <v>40</v>
      </c>
      <c r="C23" s="39">
        <v>5435.86</v>
      </c>
      <c r="D23" s="39">
        <v>3</v>
      </c>
      <c r="E23" s="44">
        <v>7.9949346460503029E-2</v>
      </c>
      <c r="I23" s="38" t="s">
        <v>21</v>
      </c>
      <c r="J23" s="39">
        <v>2464.9899999999998</v>
      </c>
      <c r="K23" s="22">
        <v>-23.240000000000236</v>
      </c>
      <c r="L23" s="39">
        <v>36</v>
      </c>
      <c r="M23" s="44">
        <v>-2.5026652739041488E-2</v>
      </c>
    </row>
    <row r="24" spans="2:13" x14ac:dyDescent="0.25">
      <c r="B24" s="43" t="s">
        <v>48</v>
      </c>
      <c r="C24" s="39">
        <v>5847.0999999999995</v>
      </c>
      <c r="D24" s="39">
        <v>2</v>
      </c>
      <c r="E24" s="44">
        <v>8.5997767361412403E-2</v>
      </c>
      <c r="I24" s="38" t="s">
        <v>40</v>
      </c>
      <c r="J24" s="39">
        <v>4623.18</v>
      </c>
      <c r="K24" s="22">
        <v>-143.82999999999993</v>
      </c>
      <c r="L24" s="39">
        <v>51</v>
      </c>
      <c r="M24" s="44">
        <v>-0.15488741236903178</v>
      </c>
    </row>
    <row r="25" spans="2:13" x14ac:dyDescent="0.25">
      <c r="B25" s="43" t="s">
        <v>36</v>
      </c>
      <c r="C25" s="39">
        <v>8944.4000000000015</v>
      </c>
      <c r="D25" s="39">
        <v>1</v>
      </c>
      <c r="E25" s="44">
        <v>0.13155212505129335</v>
      </c>
      <c r="I25" s="38" t="s">
        <v>22</v>
      </c>
      <c r="J25" s="39">
        <v>5856.15</v>
      </c>
      <c r="K25" s="22">
        <v>132.5600000000004</v>
      </c>
      <c r="L25" s="39">
        <v>4</v>
      </c>
      <c r="M25" s="44">
        <v>0.14275099342028036</v>
      </c>
    </row>
    <row r="26" spans="2:13" x14ac:dyDescent="0.25">
      <c r="B26" s="38" t="s">
        <v>147</v>
      </c>
      <c r="C26" s="39">
        <v>67991.3</v>
      </c>
      <c r="D26" s="39"/>
      <c r="E26" s="44">
        <v>1</v>
      </c>
      <c r="I26" s="38" t="s">
        <v>1</v>
      </c>
      <c r="J26" s="39">
        <v>3005.07</v>
      </c>
      <c r="K26" s="22">
        <v>-12.659999999999854</v>
      </c>
      <c r="L26" s="39">
        <v>32</v>
      </c>
      <c r="M26" s="44">
        <v>-1.3633279848376005E-2</v>
      </c>
    </row>
    <row r="27" spans="2:13" x14ac:dyDescent="0.25">
      <c r="I27" s="38" t="s">
        <v>27</v>
      </c>
      <c r="J27" s="39">
        <v>2644.26</v>
      </c>
      <c r="K27" s="22">
        <v>141.04000000000042</v>
      </c>
      <c r="L27" s="39">
        <v>3</v>
      </c>
      <c r="M27" s="44">
        <v>0.15188292178633331</v>
      </c>
    </row>
    <row r="28" spans="2:13" x14ac:dyDescent="0.25">
      <c r="I28" s="38" t="s">
        <v>23</v>
      </c>
      <c r="J28" s="39">
        <v>3030.2999999999997</v>
      </c>
      <c r="K28" s="22">
        <v>-0.21000000000049113</v>
      </c>
      <c r="L28" s="39">
        <v>27</v>
      </c>
      <c r="M28" s="44">
        <v>-2.2614445246174484E-4</v>
      </c>
    </row>
    <row r="29" spans="2:13" x14ac:dyDescent="0.25">
      <c r="I29" s="38" t="s">
        <v>2</v>
      </c>
      <c r="J29" s="39">
        <v>2001.1999999999998</v>
      </c>
      <c r="K29" s="22">
        <v>-14.160000000000309</v>
      </c>
      <c r="L29" s="39">
        <v>33</v>
      </c>
      <c r="M29" s="44">
        <v>-1.5248597365956608E-2</v>
      </c>
    </row>
    <row r="30" spans="2:13" x14ac:dyDescent="0.25">
      <c r="I30" s="38" t="s">
        <v>3</v>
      </c>
      <c r="J30" s="39">
        <v>1515.05</v>
      </c>
      <c r="K30" s="22">
        <v>-6.2700000000002092</v>
      </c>
      <c r="L30" s="39">
        <v>29</v>
      </c>
      <c r="M30" s="44">
        <v>-6.7520272234851018E-3</v>
      </c>
    </row>
    <row r="31" spans="2:13" x14ac:dyDescent="0.25">
      <c r="I31" s="38" t="s">
        <v>24</v>
      </c>
      <c r="J31" s="39">
        <v>3802.0200000000004</v>
      </c>
      <c r="K31" s="22">
        <v>1.1200000000003456</v>
      </c>
      <c r="L31" s="39">
        <v>26</v>
      </c>
      <c r="M31" s="44">
        <v>1.2061037464601906E-3</v>
      </c>
    </row>
    <row r="32" spans="2:13" x14ac:dyDescent="0.25">
      <c r="I32" s="38" t="s">
        <v>41</v>
      </c>
      <c r="J32" s="39">
        <v>3605.45</v>
      </c>
      <c r="K32" s="22">
        <v>-24.840000000000146</v>
      </c>
      <c r="L32" s="39">
        <v>37</v>
      </c>
      <c r="M32" s="44">
        <v>-2.6749658091126845E-2</v>
      </c>
    </row>
    <row r="33" spans="9:13" x14ac:dyDescent="0.25">
      <c r="I33" s="38" t="s">
        <v>42</v>
      </c>
      <c r="J33" s="39">
        <v>1317.2199999999998</v>
      </c>
      <c r="K33" s="22">
        <v>27.989999999999782</v>
      </c>
      <c r="L33" s="39">
        <v>20</v>
      </c>
      <c r="M33" s="44">
        <v>3.014182487804469E-2</v>
      </c>
    </row>
    <row r="34" spans="9:13" x14ac:dyDescent="0.25">
      <c r="I34" s="38" t="s">
        <v>43</v>
      </c>
      <c r="J34" s="39">
        <v>2182.5</v>
      </c>
      <c r="K34" s="22">
        <v>118.05999999999995</v>
      </c>
      <c r="L34" s="39">
        <v>6</v>
      </c>
      <c r="M34" s="44">
        <v>0.12713625741700543</v>
      </c>
    </row>
    <row r="35" spans="9:13" x14ac:dyDescent="0.25">
      <c r="I35" s="38" t="s">
        <v>4</v>
      </c>
      <c r="J35" s="39">
        <v>2310.0700000000002</v>
      </c>
      <c r="K35" s="22">
        <v>-30.179999999999836</v>
      </c>
      <c r="L35" s="39">
        <v>43</v>
      </c>
      <c r="M35" s="44">
        <v>-3.2500188453711713E-2</v>
      </c>
    </row>
    <row r="36" spans="9:13" x14ac:dyDescent="0.25">
      <c r="I36" s="38" t="s">
        <v>34</v>
      </c>
      <c r="J36" s="39">
        <v>1762.79</v>
      </c>
      <c r="K36" s="22">
        <v>104.22000000000003</v>
      </c>
      <c r="L36" s="39">
        <v>8</v>
      </c>
      <c r="M36" s="44">
        <v>0.11223226112146635</v>
      </c>
    </row>
    <row r="37" spans="9:13" x14ac:dyDescent="0.25">
      <c r="I37" s="38" t="s">
        <v>44</v>
      </c>
      <c r="J37" s="39">
        <v>1796.75</v>
      </c>
      <c r="K37" s="22">
        <v>-75.309999999999945</v>
      </c>
      <c r="L37" s="39">
        <v>48</v>
      </c>
      <c r="M37" s="44">
        <v>-8.1099708165972187E-2</v>
      </c>
    </row>
    <row r="38" spans="9:13" x14ac:dyDescent="0.25">
      <c r="I38" s="38" t="s">
        <v>28</v>
      </c>
      <c r="J38" s="39">
        <v>2313.13</v>
      </c>
      <c r="K38" s="22">
        <v>40.170000000000073</v>
      </c>
      <c r="L38" s="39">
        <v>17</v>
      </c>
      <c r="M38" s="44">
        <v>4.3258203120795528E-2</v>
      </c>
    </row>
    <row r="39" spans="9:13" x14ac:dyDescent="0.25">
      <c r="I39" s="38" t="s">
        <v>5</v>
      </c>
      <c r="J39" s="39">
        <v>2769.01</v>
      </c>
      <c r="K39" s="22">
        <v>-52.639999999999873</v>
      </c>
      <c r="L39" s="39">
        <v>46</v>
      </c>
      <c r="M39" s="44">
        <v>-5.668687608361133E-2</v>
      </c>
    </row>
    <row r="40" spans="9:13" x14ac:dyDescent="0.25">
      <c r="I40" s="38" t="s">
        <v>6</v>
      </c>
      <c r="J40" s="39">
        <v>4262.9400000000005</v>
      </c>
      <c r="K40" s="22">
        <v>54.390000000000327</v>
      </c>
      <c r="L40" s="39">
        <v>14</v>
      </c>
      <c r="M40" s="44">
        <v>5.8571413187455283E-2</v>
      </c>
    </row>
    <row r="41" spans="9:13" x14ac:dyDescent="0.25">
      <c r="I41" s="38" t="s">
        <v>45</v>
      </c>
      <c r="J41" s="39">
        <v>1588.96</v>
      </c>
      <c r="K41" s="22">
        <v>-12.619999999999891</v>
      </c>
      <c r="L41" s="39">
        <v>31</v>
      </c>
      <c r="M41" s="44">
        <v>-1.3590204714573907E-2</v>
      </c>
    </row>
    <row r="42" spans="9:13" x14ac:dyDescent="0.25">
      <c r="I42" s="38" t="s">
        <v>46</v>
      </c>
      <c r="J42" s="39">
        <v>1623.65</v>
      </c>
      <c r="K42" s="22">
        <v>36.950000000000273</v>
      </c>
      <c r="L42" s="39">
        <v>18</v>
      </c>
      <c r="M42" s="44">
        <v>3.9790654849723765E-2</v>
      </c>
    </row>
    <row r="43" spans="9:13" x14ac:dyDescent="0.25">
      <c r="I43" s="38" t="s">
        <v>7</v>
      </c>
      <c r="J43" s="39">
        <v>2121.42</v>
      </c>
      <c r="K43" s="22">
        <v>-25.950000000000273</v>
      </c>
      <c r="L43" s="39">
        <v>38</v>
      </c>
      <c r="M43" s="44">
        <v>-2.7944993054136263E-2</v>
      </c>
    </row>
    <row r="44" spans="9:13" x14ac:dyDescent="0.25">
      <c r="I44" s="38" t="s">
        <v>29</v>
      </c>
      <c r="J44" s="39">
        <v>2633.37</v>
      </c>
      <c r="K44" s="22">
        <v>69.579999999999927</v>
      </c>
      <c r="L44" s="39">
        <v>11</v>
      </c>
      <c r="M44" s="44">
        <v>7.4929195248816138E-2</v>
      </c>
    </row>
    <row r="45" spans="9:13" x14ac:dyDescent="0.25">
      <c r="I45" s="38" t="s">
        <v>8</v>
      </c>
      <c r="J45" s="39">
        <v>1649.52</v>
      </c>
      <c r="K45" s="22">
        <v>14.869999999999891</v>
      </c>
      <c r="L45" s="39">
        <v>25</v>
      </c>
      <c r="M45" s="44">
        <v>1.6013180990944079E-2</v>
      </c>
    </row>
    <row r="46" spans="9:13" x14ac:dyDescent="0.25">
      <c r="I46" s="38" t="s">
        <v>35</v>
      </c>
      <c r="J46" s="39">
        <v>2281.31</v>
      </c>
      <c r="K46" s="22">
        <v>-7.830000000000382</v>
      </c>
      <c r="L46" s="39">
        <v>30</v>
      </c>
      <c r="M46" s="44">
        <v>-8.4319574417686064E-3</v>
      </c>
    </row>
    <row r="47" spans="9:13" x14ac:dyDescent="0.25">
      <c r="I47" s="38" t="s">
        <v>47</v>
      </c>
      <c r="J47" s="39">
        <v>1056.3</v>
      </c>
      <c r="K47" s="22">
        <v>-35</v>
      </c>
      <c r="L47" s="39">
        <v>44</v>
      </c>
      <c r="M47" s="44">
        <v>-3.7690742076869323E-2</v>
      </c>
    </row>
    <row r="48" spans="9:13" x14ac:dyDescent="0.25">
      <c r="I48" s="38" t="s">
        <v>48</v>
      </c>
      <c r="J48" s="39">
        <v>9327.34</v>
      </c>
      <c r="K48" s="22">
        <v>-99.840000000000146</v>
      </c>
      <c r="L48" s="39">
        <v>50</v>
      </c>
      <c r="M48" s="44">
        <v>-0.10751553397013254</v>
      </c>
    </row>
    <row r="49" spans="9:13" x14ac:dyDescent="0.25">
      <c r="I49" s="38" t="s">
        <v>9</v>
      </c>
      <c r="J49" s="39">
        <v>1582.09</v>
      </c>
      <c r="K49" s="22">
        <v>17.829999999999927</v>
      </c>
      <c r="L49" s="39">
        <v>23</v>
      </c>
      <c r="M49" s="44">
        <v>1.9200740892302209E-2</v>
      </c>
    </row>
    <row r="50" spans="9:13" x14ac:dyDescent="0.25">
      <c r="I50" s="38" t="s">
        <v>25</v>
      </c>
      <c r="J50" s="39">
        <v>1845.6399999999999</v>
      </c>
      <c r="K50" s="22">
        <v>66.189999999999827</v>
      </c>
      <c r="L50" s="39">
        <v>13</v>
      </c>
      <c r="M50" s="44">
        <v>7.1278577659084977E-2</v>
      </c>
    </row>
    <row r="51" spans="9:13" x14ac:dyDescent="0.25">
      <c r="I51" s="38" t="s">
        <v>49</v>
      </c>
      <c r="J51" s="39">
        <v>940.24</v>
      </c>
      <c r="K51" s="22">
        <v>24.970000000000027</v>
      </c>
      <c r="L51" s="39">
        <v>21</v>
      </c>
      <c r="M51" s="44">
        <v>2.688965227598366E-2</v>
      </c>
    </row>
    <row r="52" spans="9:13" x14ac:dyDescent="0.25">
      <c r="I52" s="38" t="s">
        <v>10</v>
      </c>
      <c r="J52" s="39">
        <v>1624.19</v>
      </c>
      <c r="K52" s="22">
        <v>-29.210000000000036</v>
      </c>
      <c r="L52" s="39">
        <v>42</v>
      </c>
      <c r="M52" s="44">
        <v>-3.1455616459010127E-2</v>
      </c>
    </row>
    <row r="53" spans="9:13" x14ac:dyDescent="0.25">
      <c r="I53" s="38" t="s">
        <v>50</v>
      </c>
      <c r="J53" s="39">
        <v>2147.84</v>
      </c>
      <c r="K53" s="22">
        <v>-17.559999999999491</v>
      </c>
      <c r="L53" s="39">
        <v>34</v>
      </c>
      <c r="M53" s="44">
        <v>-1.8909983739137319E-2</v>
      </c>
    </row>
    <row r="54" spans="9:13" x14ac:dyDescent="0.25">
      <c r="I54" s="38" t="s">
        <v>11</v>
      </c>
      <c r="J54" s="39">
        <v>2640.3</v>
      </c>
      <c r="K54" s="22">
        <v>17.680000000000291</v>
      </c>
      <c r="L54" s="39">
        <v>24</v>
      </c>
      <c r="M54" s="44">
        <v>1.9039209140544588E-2</v>
      </c>
    </row>
    <row r="55" spans="9:13" x14ac:dyDescent="0.25">
      <c r="I55" s="38" t="s">
        <v>36</v>
      </c>
      <c r="J55" s="39">
        <v>9143.2400000000016</v>
      </c>
      <c r="K55" s="22">
        <v>107.76000000000022</v>
      </c>
      <c r="L55" s="39">
        <v>7</v>
      </c>
      <c r="M55" s="44">
        <v>0.11604441046295562</v>
      </c>
    </row>
    <row r="56" spans="9:13" x14ac:dyDescent="0.25">
      <c r="I56" s="38" t="s">
        <v>12</v>
      </c>
      <c r="J56" s="39">
        <v>1342.1100000000001</v>
      </c>
      <c r="K56" s="22">
        <v>-82.189999999999827</v>
      </c>
      <c r="L56" s="39">
        <v>49</v>
      </c>
      <c r="M56" s="44">
        <v>-8.8508631179939526E-2</v>
      </c>
    </row>
    <row r="57" spans="9:13" x14ac:dyDescent="0.25">
      <c r="I57" s="38" t="s">
        <v>30</v>
      </c>
      <c r="J57" s="39">
        <v>3202.3700000000003</v>
      </c>
      <c r="K57" s="22">
        <v>94.820000000000164</v>
      </c>
      <c r="L57" s="39">
        <v>10</v>
      </c>
      <c r="M57" s="44">
        <v>0.10210960467796444</v>
      </c>
    </row>
    <row r="58" spans="9:13" x14ac:dyDescent="0.25">
      <c r="I58" s="38" t="s">
        <v>37</v>
      </c>
      <c r="J58" s="39">
        <v>2806.05</v>
      </c>
      <c r="K58" s="22">
        <v>-50.119999999999891</v>
      </c>
      <c r="L58" s="39">
        <v>45</v>
      </c>
      <c r="M58" s="44">
        <v>-5.3973142654076753E-2</v>
      </c>
    </row>
    <row r="59" spans="9:13" x14ac:dyDescent="0.25">
      <c r="I59" s="38" t="s">
        <v>51</v>
      </c>
      <c r="J59" s="39">
        <v>1940</v>
      </c>
      <c r="K59" s="22">
        <v>-26.139999999999873</v>
      </c>
      <c r="L59" s="39">
        <v>40</v>
      </c>
      <c r="M59" s="44">
        <v>-2.8149599939695982E-2</v>
      </c>
    </row>
    <row r="60" spans="9:13" x14ac:dyDescent="0.25">
      <c r="I60" s="38" t="s">
        <v>31</v>
      </c>
      <c r="J60" s="39">
        <v>2409.2799999999997</v>
      </c>
      <c r="K60" s="22">
        <v>52.929999999999382</v>
      </c>
      <c r="L60" s="39">
        <v>15</v>
      </c>
      <c r="M60" s="44">
        <v>5.6999170803676287E-2</v>
      </c>
    </row>
    <row r="61" spans="9:13" x14ac:dyDescent="0.25">
      <c r="I61" s="38" t="s">
        <v>13</v>
      </c>
      <c r="J61" s="39">
        <v>2085.61</v>
      </c>
      <c r="K61" s="22">
        <v>-26.059999999999945</v>
      </c>
      <c r="L61" s="39">
        <v>39</v>
      </c>
      <c r="M61" s="44">
        <v>-2.8063449672091786E-2</v>
      </c>
    </row>
    <row r="62" spans="9:13" x14ac:dyDescent="0.25">
      <c r="I62" s="38" t="s">
        <v>14</v>
      </c>
      <c r="J62" s="39">
        <v>1264.71</v>
      </c>
      <c r="K62" s="22">
        <v>20.75</v>
      </c>
      <c r="L62" s="39">
        <v>22</v>
      </c>
      <c r="M62" s="44">
        <v>2.2345225659858241E-2</v>
      </c>
    </row>
    <row r="63" spans="9:13" x14ac:dyDescent="0.25">
      <c r="I63" s="38" t="s">
        <v>32</v>
      </c>
      <c r="J63" s="39">
        <v>2336.7199999999998</v>
      </c>
      <c r="K63" s="22">
        <v>155.13999999999987</v>
      </c>
      <c r="L63" s="39">
        <v>2</v>
      </c>
      <c r="M63" s="44">
        <v>0.16706690645158578</v>
      </c>
    </row>
    <row r="64" spans="9:13" x14ac:dyDescent="0.25">
      <c r="I64" s="38" t="s">
        <v>15</v>
      </c>
      <c r="J64" s="39">
        <v>1955.02</v>
      </c>
      <c r="K64" s="22">
        <v>17.829999999999927</v>
      </c>
      <c r="L64" s="39">
        <v>23</v>
      </c>
      <c r="M64" s="44">
        <v>1.9200740892302209E-2</v>
      </c>
    </row>
    <row r="65" spans="9:13" x14ac:dyDescent="0.25">
      <c r="I65" s="38" t="s">
        <v>16</v>
      </c>
      <c r="J65" s="39">
        <v>1950.2200000000003</v>
      </c>
      <c r="K65" s="22">
        <v>-75.169999999999618</v>
      </c>
      <c r="L65" s="39">
        <v>47</v>
      </c>
      <c r="M65" s="44">
        <v>-8.0948945197664365E-2</v>
      </c>
    </row>
    <row r="66" spans="9:13" x14ac:dyDescent="0.25">
      <c r="I66" s="38" t="s">
        <v>147</v>
      </c>
      <c r="J66" s="39">
        <v>137717.57</v>
      </c>
      <c r="K66" s="22">
        <v>928.60999999995693</v>
      </c>
      <c r="L66" s="39"/>
      <c r="M66" s="44">
        <v>1</v>
      </c>
    </row>
  </sheetData>
  <phoneticPr fontId="4" type="noConversion"/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F2C5-4409-4D31-A930-F4C56EC68039}">
  <sheetPr codeName="Sheet1"/>
  <dimension ref="A1:H792"/>
  <sheetViews>
    <sheetView tabSelected="1" workbookViewId="0">
      <selection activeCell="F7" sqref="F7"/>
    </sheetView>
  </sheetViews>
  <sheetFormatPr defaultRowHeight="13.8" x14ac:dyDescent="0.25"/>
  <cols>
    <col min="1" max="1" width="8.5546875" customWidth="1"/>
    <col min="2" max="2" width="29.21875" bestFit="1" customWidth="1"/>
    <col min="3" max="3" width="13.109375" bestFit="1" customWidth="1"/>
    <col min="4" max="4" width="9.44140625" customWidth="1"/>
    <col min="5" max="5" width="18.21875" customWidth="1"/>
    <col min="6" max="6" width="11.77734375" customWidth="1"/>
    <col min="7" max="7" width="9.5546875" bestFit="1" customWidth="1"/>
    <col min="8" max="8" width="9.5546875" customWidth="1"/>
    <col min="10" max="10" width="12.33203125" bestFit="1" customWidth="1"/>
    <col min="11" max="11" width="12.88671875" bestFit="1" customWidth="1"/>
    <col min="12" max="12" width="12.33203125" bestFit="1" customWidth="1"/>
    <col min="13" max="13" width="12.88671875" bestFit="1" customWidth="1"/>
    <col min="14" max="14" width="12.33203125" bestFit="1" customWidth="1"/>
    <col min="15" max="15" width="20.5546875" bestFit="1" customWidth="1"/>
    <col min="16" max="16" width="20" bestFit="1" customWidth="1"/>
    <col min="17" max="17" width="12.88671875" bestFit="1" customWidth="1"/>
    <col min="18" max="18" width="12.33203125" bestFit="1" customWidth="1"/>
    <col min="19" max="19" width="12.88671875" bestFit="1" customWidth="1"/>
    <col min="20" max="20" width="12.33203125" bestFit="1" customWidth="1"/>
    <col min="21" max="21" width="12.88671875" bestFit="1" customWidth="1"/>
    <col min="22" max="22" width="12.33203125" bestFit="1" customWidth="1"/>
    <col min="23" max="23" width="12.88671875" bestFit="1" customWidth="1"/>
    <col min="24" max="24" width="12.33203125" bestFit="1" customWidth="1"/>
    <col min="25" max="25" width="20.5546875" bestFit="1" customWidth="1"/>
    <col min="26" max="26" width="20" bestFit="1" customWidth="1"/>
    <col min="27" max="27" width="17.33203125" bestFit="1" customWidth="1"/>
    <col min="28" max="28" width="16.6640625" bestFit="1" customWidth="1"/>
  </cols>
  <sheetData>
    <row r="1" spans="1:8" x14ac:dyDescent="0.25">
      <c r="A1" s="42" t="s">
        <v>123</v>
      </c>
      <c r="B1" s="42" t="s">
        <v>52</v>
      </c>
      <c r="C1" s="42" t="s">
        <v>84</v>
      </c>
      <c r="D1" s="42" t="s">
        <v>53</v>
      </c>
      <c r="E1" s="42" t="s">
        <v>127</v>
      </c>
      <c r="F1" s="42" t="s">
        <v>124</v>
      </c>
      <c r="G1" s="42" t="s">
        <v>144</v>
      </c>
      <c r="H1" s="42" t="s">
        <v>145</v>
      </c>
    </row>
    <row r="2" spans="1:8" ht="14.4" x14ac:dyDescent="0.25">
      <c r="A2" s="40">
        <v>41275</v>
      </c>
      <c r="B2" s="25" t="s">
        <v>40</v>
      </c>
      <c r="C2" s="9" t="s">
        <v>65</v>
      </c>
      <c r="D2" s="25" t="s">
        <v>122</v>
      </c>
      <c r="E2" s="25" t="s">
        <v>129</v>
      </c>
      <c r="F2" s="26">
        <v>656.96</v>
      </c>
      <c r="G2" s="35">
        <v>650.39</v>
      </c>
      <c r="H2" s="35">
        <f>'SalesData 2'!$F2-'SalesData 2'!$G2</f>
        <v>6.57000000000005</v>
      </c>
    </row>
    <row r="3" spans="1:8" ht="14.4" x14ac:dyDescent="0.25">
      <c r="A3" s="41">
        <v>41275</v>
      </c>
      <c r="B3" s="29" t="s">
        <v>5</v>
      </c>
      <c r="C3" s="14" t="s">
        <v>102</v>
      </c>
      <c r="D3" s="29" t="s">
        <v>118</v>
      </c>
      <c r="E3" s="29" t="s">
        <v>130</v>
      </c>
      <c r="F3" s="30">
        <v>875.94</v>
      </c>
      <c r="G3" s="36">
        <v>946.0200000000001</v>
      </c>
      <c r="H3" s="36">
        <f>'SalesData 2'!$F3-'SalesData 2'!$G3</f>
        <v>-70.080000000000041</v>
      </c>
    </row>
    <row r="4" spans="1:8" ht="14.4" x14ac:dyDescent="0.25">
      <c r="A4" s="40">
        <v>41275</v>
      </c>
      <c r="B4" s="25" t="s">
        <v>9</v>
      </c>
      <c r="C4" s="9" t="s">
        <v>95</v>
      </c>
      <c r="D4" s="25" t="s">
        <v>118</v>
      </c>
      <c r="E4" s="25" t="s">
        <v>130</v>
      </c>
      <c r="F4" s="26">
        <v>258.35000000000002</v>
      </c>
      <c r="G4" s="35">
        <v>240.27000000000004</v>
      </c>
      <c r="H4" s="35">
        <f>'SalesData 2'!$F4-'SalesData 2'!$G4</f>
        <v>18.079999999999984</v>
      </c>
    </row>
    <row r="5" spans="1:8" ht="14.4" x14ac:dyDescent="0.25">
      <c r="A5" s="41">
        <v>41275</v>
      </c>
      <c r="B5" s="29" t="s">
        <v>16</v>
      </c>
      <c r="C5" s="17" t="s">
        <v>61</v>
      </c>
      <c r="D5" s="29" t="s">
        <v>118</v>
      </c>
      <c r="E5" s="29" t="s">
        <v>128</v>
      </c>
      <c r="F5" s="30">
        <v>875.62</v>
      </c>
      <c r="G5" s="36">
        <v>910.64</v>
      </c>
      <c r="H5" s="36">
        <f>'SalesData 2'!$F5-'SalesData 2'!$G5</f>
        <v>-35.019999999999982</v>
      </c>
    </row>
    <row r="6" spans="1:8" ht="14.4" x14ac:dyDescent="0.25">
      <c r="A6" s="40">
        <v>41276</v>
      </c>
      <c r="B6" s="25" t="s">
        <v>3</v>
      </c>
      <c r="C6" s="9" t="s">
        <v>66</v>
      </c>
      <c r="D6" s="25" t="s">
        <v>118</v>
      </c>
      <c r="E6" s="25" t="s">
        <v>128</v>
      </c>
      <c r="F6" s="26">
        <v>509.93</v>
      </c>
      <c r="G6" s="35">
        <v>499.73</v>
      </c>
      <c r="H6" s="35">
        <f>'SalesData 2'!$F6-'SalesData 2'!$G6</f>
        <v>10.199999999999989</v>
      </c>
    </row>
    <row r="7" spans="1:8" ht="14.4" x14ac:dyDescent="0.25">
      <c r="A7" s="41">
        <v>41277</v>
      </c>
      <c r="B7" s="29" t="s">
        <v>20</v>
      </c>
      <c r="C7" s="14" t="s">
        <v>112</v>
      </c>
      <c r="D7" s="29" t="s">
        <v>119</v>
      </c>
      <c r="E7" s="29" t="s">
        <v>129</v>
      </c>
      <c r="F7" s="30">
        <v>443.13</v>
      </c>
      <c r="G7" s="36">
        <v>438.7</v>
      </c>
      <c r="H7" s="36">
        <f>'SalesData 2'!$F7-'SalesData 2'!$G7</f>
        <v>4.4300000000000068</v>
      </c>
    </row>
    <row r="8" spans="1:8" ht="14.4" x14ac:dyDescent="0.25">
      <c r="A8" s="40">
        <v>41277</v>
      </c>
      <c r="B8" s="25" t="s">
        <v>6</v>
      </c>
      <c r="C8" s="9" t="s">
        <v>80</v>
      </c>
      <c r="D8" s="25" t="s">
        <v>118</v>
      </c>
      <c r="E8" s="25" t="s">
        <v>128</v>
      </c>
      <c r="F8" s="26">
        <v>651.78</v>
      </c>
      <c r="G8" s="35">
        <v>632.23</v>
      </c>
      <c r="H8" s="35">
        <f>'SalesData 2'!$F8-'SalesData 2'!$G8</f>
        <v>19.549999999999955</v>
      </c>
    </row>
    <row r="9" spans="1:8" ht="14.4" x14ac:dyDescent="0.25">
      <c r="A9" s="41">
        <v>41277</v>
      </c>
      <c r="B9" s="29" t="s">
        <v>7</v>
      </c>
      <c r="C9" s="14" t="s">
        <v>99</v>
      </c>
      <c r="D9" s="29" t="s">
        <v>118</v>
      </c>
      <c r="E9" s="29" t="s">
        <v>130</v>
      </c>
      <c r="F9" s="30">
        <v>896.64</v>
      </c>
      <c r="G9" s="36">
        <v>959.4</v>
      </c>
      <c r="H9" s="36">
        <f>'SalesData 2'!$F9-'SalesData 2'!$G9</f>
        <v>-62.759999999999991</v>
      </c>
    </row>
    <row r="10" spans="1:8" ht="14.4" x14ac:dyDescent="0.25">
      <c r="A10" s="40">
        <v>41278</v>
      </c>
      <c r="B10" s="25" t="s">
        <v>25</v>
      </c>
      <c r="C10" s="9" t="s">
        <v>94</v>
      </c>
      <c r="D10" s="25" t="s">
        <v>119</v>
      </c>
      <c r="E10" s="25" t="s">
        <v>129</v>
      </c>
      <c r="F10" s="26">
        <v>226.92</v>
      </c>
      <c r="G10" s="35">
        <v>213.29999999999998</v>
      </c>
      <c r="H10" s="35">
        <f>'SalesData 2'!$F10-'SalesData 2'!$G10</f>
        <v>13.620000000000005</v>
      </c>
    </row>
    <row r="11" spans="1:8" ht="14.4" x14ac:dyDescent="0.25">
      <c r="A11" s="41">
        <v>41279</v>
      </c>
      <c r="B11" s="29" t="s">
        <v>18</v>
      </c>
      <c r="C11" s="14" t="s">
        <v>64</v>
      </c>
      <c r="D11" s="29" t="s">
        <v>119</v>
      </c>
      <c r="E11" s="29" t="s">
        <v>130</v>
      </c>
      <c r="F11" s="30">
        <v>77.41</v>
      </c>
      <c r="G11" s="36">
        <v>73.539999999999992</v>
      </c>
      <c r="H11" s="36">
        <f>'SalesData 2'!$F11-'SalesData 2'!$G11</f>
        <v>3.8700000000000045</v>
      </c>
    </row>
    <row r="12" spans="1:8" ht="14.4" x14ac:dyDescent="0.25">
      <c r="A12" s="40">
        <v>41279</v>
      </c>
      <c r="B12" s="25" t="s">
        <v>40</v>
      </c>
      <c r="C12" s="9" t="s">
        <v>111</v>
      </c>
      <c r="D12" s="25" t="s">
        <v>122</v>
      </c>
      <c r="E12" s="25" t="s">
        <v>130</v>
      </c>
      <c r="F12" s="26">
        <v>263.64999999999998</v>
      </c>
      <c r="G12" s="35">
        <v>253.09999999999997</v>
      </c>
      <c r="H12" s="35">
        <f>'SalesData 2'!$F12-'SalesData 2'!$G12</f>
        <v>10.550000000000011</v>
      </c>
    </row>
    <row r="13" spans="1:8" ht="14.4" x14ac:dyDescent="0.25">
      <c r="A13" s="41">
        <v>41279</v>
      </c>
      <c r="B13" s="29" t="s">
        <v>48</v>
      </c>
      <c r="C13" s="14" t="s">
        <v>71</v>
      </c>
      <c r="D13" s="29" t="s">
        <v>122</v>
      </c>
      <c r="E13" s="29" t="s">
        <v>128</v>
      </c>
      <c r="F13" s="30">
        <v>950.83</v>
      </c>
      <c r="G13" s="36">
        <v>998.37</v>
      </c>
      <c r="H13" s="36">
        <f>'SalesData 2'!$F13-'SalesData 2'!$G13</f>
        <v>-47.539999999999964</v>
      </c>
    </row>
    <row r="14" spans="1:8" ht="14.4" x14ac:dyDescent="0.25">
      <c r="A14" s="40">
        <v>41279</v>
      </c>
      <c r="B14" s="25" t="s">
        <v>49</v>
      </c>
      <c r="C14" s="9" t="s">
        <v>72</v>
      </c>
      <c r="D14" s="25" t="s">
        <v>122</v>
      </c>
      <c r="E14" s="25" t="s">
        <v>129</v>
      </c>
      <c r="F14" s="26">
        <v>252.01</v>
      </c>
      <c r="G14" s="35">
        <v>229.32999999999998</v>
      </c>
      <c r="H14" s="35">
        <f>'SalesData 2'!$F14-'SalesData 2'!$G14</f>
        <v>22.680000000000007</v>
      </c>
    </row>
    <row r="15" spans="1:8" ht="14.4" x14ac:dyDescent="0.25">
      <c r="A15" s="41">
        <v>41279</v>
      </c>
      <c r="B15" s="29" t="s">
        <v>36</v>
      </c>
      <c r="C15" s="14" t="s">
        <v>58</v>
      </c>
      <c r="D15" s="29" t="s">
        <v>121</v>
      </c>
      <c r="E15" s="29" t="s">
        <v>128</v>
      </c>
      <c r="F15" s="30">
        <v>173.98</v>
      </c>
      <c r="G15" s="36">
        <v>184.42</v>
      </c>
      <c r="H15" s="36">
        <f>'SalesData 2'!$F15-'SalesData 2'!$G15</f>
        <v>-10.439999999999998</v>
      </c>
    </row>
    <row r="16" spans="1:8" ht="14.4" x14ac:dyDescent="0.25">
      <c r="A16" s="40">
        <v>41280</v>
      </c>
      <c r="B16" s="25" t="s">
        <v>38</v>
      </c>
      <c r="C16" s="9" t="s">
        <v>116</v>
      </c>
      <c r="D16" s="25" t="s">
        <v>122</v>
      </c>
      <c r="E16" s="25" t="s">
        <v>128</v>
      </c>
      <c r="F16" s="26">
        <v>384.51</v>
      </c>
      <c r="G16" s="35">
        <v>349.9</v>
      </c>
      <c r="H16" s="35">
        <f>'SalesData 2'!$F16-'SalesData 2'!$G16</f>
        <v>34.610000000000014</v>
      </c>
    </row>
    <row r="17" spans="1:8" ht="14.4" x14ac:dyDescent="0.25">
      <c r="A17" s="41">
        <v>41280</v>
      </c>
      <c r="B17" s="29" t="s">
        <v>50</v>
      </c>
      <c r="C17" s="14" t="s">
        <v>92</v>
      </c>
      <c r="D17" s="29" t="s">
        <v>122</v>
      </c>
      <c r="E17" s="29" t="s">
        <v>128</v>
      </c>
      <c r="F17" s="30">
        <v>301.55</v>
      </c>
      <c r="G17" s="36">
        <v>307.58</v>
      </c>
      <c r="H17" s="36">
        <f>'SalesData 2'!$F17-'SalesData 2'!$G17</f>
        <v>-6.0299999999999727</v>
      </c>
    </row>
    <row r="18" spans="1:8" ht="14.4" x14ac:dyDescent="0.25">
      <c r="A18" s="40">
        <v>41281</v>
      </c>
      <c r="B18" s="25" t="s">
        <v>23</v>
      </c>
      <c r="C18" s="9" t="s">
        <v>109</v>
      </c>
      <c r="D18" s="25" t="s">
        <v>119</v>
      </c>
      <c r="E18" s="25" t="s">
        <v>129</v>
      </c>
      <c r="F18" s="26">
        <v>876.78</v>
      </c>
      <c r="G18" s="35">
        <v>920.62</v>
      </c>
      <c r="H18" s="35">
        <f>'SalesData 2'!$F18-'SalesData 2'!$G18</f>
        <v>-43.840000000000032</v>
      </c>
    </row>
    <row r="19" spans="1:8" ht="14.4" x14ac:dyDescent="0.25">
      <c r="A19" s="41">
        <v>41281</v>
      </c>
      <c r="B19" s="29" t="s">
        <v>32</v>
      </c>
      <c r="C19" s="14" t="s">
        <v>126</v>
      </c>
      <c r="D19" s="29" t="s">
        <v>120</v>
      </c>
      <c r="E19" s="29" t="s">
        <v>128</v>
      </c>
      <c r="F19" s="30">
        <v>235.84</v>
      </c>
      <c r="G19" s="36">
        <v>238.20000000000002</v>
      </c>
      <c r="H19" s="36">
        <f>'SalesData 2'!$F19-'SalesData 2'!$G19</f>
        <v>-2.3600000000000136</v>
      </c>
    </row>
    <row r="20" spans="1:8" ht="14.4" x14ac:dyDescent="0.25">
      <c r="A20" s="40">
        <v>41282</v>
      </c>
      <c r="B20" s="25" t="s">
        <v>48</v>
      </c>
      <c r="C20" s="9" t="s">
        <v>56</v>
      </c>
      <c r="D20" s="25" t="s">
        <v>122</v>
      </c>
      <c r="E20" s="25" t="s">
        <v>130</v>
      </c>
      <c r="F20" s="26">
        <v>580.54999999999995</v>
      </c>
      <c r="G20" s="35">
        <v>621.18999999999994</v>
      </c>
      <c r="H20" s="35">
        <f>'SalesData 2'!$F20-'SalesData 2'!$G20</f>
        <v>-40.639999999999986</v>
      </c>
    </row>
    <row r="21" spans="1:8" ht="14.4" x14ac:dyDescent="0.25">
      <c r="A21" s="41">
        <v>41282</v>
      </c>
      <c r="B21" s="29" t="s">
        <v>30</v>
      </c>
      <c r="C21" s="14" t="s">
        <v>88</v>
      </c>
      <c r="D21" s="29" t="s">
        <v>120</v>
      </c>
      <c r="E21" s="29" t="s">
        <v>128</v>
      </c>
      <c r="F21" s="30">
        <v>218.64</v>
      </c>
      <c r="G21" s="36">
        <v>201.14999999999998</v>
      </c>
      <c r="H21" s="36">
        <f>'SalesData 2'!$F21-'SalesData 2'!$G21</f>
        <v>17.490000000000009</v>
      </c>
    </row>
    <row r="22" spans="1:8" ht="14.4" x14ac:dyDescent="0.25">
      <c r="A22" s="40">
        <v>41283</v>
      </c>
      <c r="B22" s="25" t="s">
        <v>26</v>
      </c>
      <c r="C22" s="9" t="s">
        <v>117</v>
      </c>
      <c r="D22" s="25" t="s">
        <v>120</v>
      </c>
      <c r="E22" s="25" t="s">
        <v>128</v>
      </c>
      <c r="F22" s="45">
        <v>906.3</v>
      </c>
      <c r="G22" s="35">
        <v>897.24</v>
      </c>
      <c r="H22" s="35">
        <f>'SalesData 2'!$F22-'SalesData 2'!$G22</f>
        <v>9.0599999999999454</v>
      </c>
    </row>
    <row r="23" spans="1:8" ht="14.4" x14ac:dyDescent="0.25">
      <c r="A23" s="41">
        <v>41284</v>
      </c>
      <c r="B23" s="29" t="s">
        <v>2</v>
      </c>
      <c r="C23" s="14" t="s">
        <v>108</v>
      </c>
      <c r="D23" s="29" t="s">
        <v>118</v>
      </c>
      <c r="E23" s="29" t="s">
        <v>129</v>
      </c>
      <c r="F23" s="30">
        <v>791.98</v>
      </c>
      <c r="G23" s="36">
        <v>784.06000000000006</v>
      </c>
      <c r="H23" s="36">
        <f>'SalesData 2'!$F23-'SalesData 2'!$G23</f>
        <v>7.9199999999999591</v>
      </c>
    </row>
    <row r="24" spans="1:8" ht="14.4" x14ac:dyDescent="0.25">
      <c r="A24" s="40">
        <v>41284</v>
      </c>
      <c r="B24" s="25" t="s">
        <v>28</v>
      </c>
      <c r="C24" s="9" t="s">
        <v>103</v>
      </c>
      <c r="D24" s="25" t="s">
        <v>120</v>
      </c>
      <c r="E24" s="25" t="s">
        <v>128</v>
      </c>
      <c r="F24" s="26">
        <v>643.73</v>
      </c>
      <c r="G24" s="35">
        <v>598.67000000000007</v>
      </c>
      <c r="H24" s="35">
        <f>'SalesData 2'!$F24-'SalesData 2'!$G24</f>
        <v>45.059999999999945</v>
      </c>
    </row>
    <row r="25" spans="1:8" ht="14.4" x14ac:dyDescent="0.25">
      <c r="A25" s="41">
        <v>41284</v>
      </c>
      <c r="B25" s="29" t="s">
        <v>47</v>
      </c>
      <c r="C25" s="14" t="s">
        <v>96</v>
      </c>
      <c r="D25" s="29" t="s">
        <v>122</v>
      </c>
      <c r="E25" s="29" t="s">
        <v>128</v>
      </c>
      <c r="F25" s="30">
        <v>3.3</v>
      </c>
      <c r="G25" s="36">
        <v>3.3299999999999996</v>
      </c>
      <c r="H25" s="36">
        <f>'SalesData 2'!$F25-'SalesData 2'!$G25</f>
        <v>-2.9999999999999805E-2</v>
      </c>
    </row>
    <row r="26" spans="1:8" ht="14.4" x14ac:dyDescent="0.25">
      <c r="A26" s="40">
        <v>41284</v>
      </c>
      <c r="B26" s="25" t="s">
        <v>51</v>
      </c>
      <c r="C26" s="9" t="s">
        <v>86</v>
      </c>
      <c r="D26" s="25" t="s">
        <v>122</v>
      </c>
      <c r="E26" s="25" t="s">
        <v>128</v>
      </c>
      <c r="F26" s="26">
        <v>326.97000000000003</v>
      </c>
      <c r="G26" s="35">
        <v>304.08000000000004</v>
      </c>
      <c r="H26" s="35">
        <f>'SalesData 2'!$F26-'SalesData 2'!$G26</f>
        <v>22.889999999999986</v>
      </c>
    </row>
    <row r="27" spans="1:8" ht="14.4" x14ac:dyDescent="0.25">
      <c r="A27" s="41">
        <v>41286</v>
      </c>
      <c r="B27" s="29" t="s">
        <v>43</v>
      </c>
      <c r="C27" s="14" t="s">
        <v>106</v>
      </c>
      <c r="D27" s="29" t="s">
        <v>122</v>
      </c>
      <c r="E27" s="29" t="s">
        <v>129</v>
      </c>
      <c r="F27" s="30">
        <v>28.16</v>
      </c>
      <c r="G27" s="36">
        <v>27.88</v>
      </c>
      <c r="H27" s="36">
        <f>'SalesData 2'!$F27-'SalesData 2'!$G27</f>
        <v>0.28000000000000114</v>
      </c>
    </row>
    <row r="28" spans="1:8" ht="14.4" x14ac:dyDescent="0.25">
      <c r="A28" s="40">
        <v>41286</v>
      </c>
      <c r="B28" s="25" t="s">
        <v>14</v>
      </c>
      <c r="C28" s="9" t="s">
        <v>83</v>
      </c>
      <c r="D28" s="25" t="s">
        <v>118</v>
      </c>
      <c r="E28" s="25" t="s">
        <v>128</v>
      </c>
      <c r="F28" s="26">
        <v>232.27</v>
      </c>
      <c r="G28" s="35">
        <v>234.59</v>
      </c>
      <c r="H28" s="35">
        <f>'SalesData 2'!$F28-'SalesData 2'!$G28</f>
        <v>-2.3199999999999932</v>
      </c>
    </row>
    <row r="29" spans="1:8" ht="14.4" x14ac:dyDescent="0.25">
      <c r="A29" s="41">
        <v>41287</v>
      </c>
      <c r="B29" s="29" t="s">
        <v>41</v>
      </c>
      <c r="C29" s="14" t="s">
        <v>68</v>
      </c>
      <c r="D29" s="29" t="s">
        <v>122</v>
      </c>
      <c r="E29" s="29" t="s">
        <v>128</v>
      </c>
      <c r="F29" s="30">
        <v>83.11</v>
      </c>
      <c r="G29" s="36">
        <v>74.8</v>
      </c>
      <c r="H29" s="36">
        <f>'SalesData 2'!$F29-'SalesData 2'!$G29</f>
        <v>8.3100000000000023</v>
      </c>
    </row>
    <row r="30" spans="1:8" ht="14.4" x14ac:dyDescent="0.25">
      <c r="A30" s="40">
        <v>41288</v>
      </c>
      <c r="B30" s="25" t="s">
        <v>33</v>
      </c>
      <c r="C30" s="9" t="s">
        <v>115</v>
      </c>
      <c r="D30" s="25" t="s">
        <v>121</v>
      </c>
      <c r="E30" s="25" t="s">
        <v>129</v>
      </c>
      <c r="F30" s="26">
        <v>660.12</v>
      </c>
      <c r="G30" s="35">
        <v>660.12</v>
      </c>
      <c r="H30" s="35">
        <f>'SalesData 2'!$F30-'SalesData 2'!$G30</f>
        <v>0</v>
      </c>
    </row>
    <row r="31" spans="1:8" ht="14.4" x14ac:dyDescent="0.25">
      <c r="A31" s="41">
        <v>41288</v>
      </c>
      <c r="B31" s="29" t="s">
        <v>34</v>
      </c>
      <c r="C31" s="14" t="s">
        <v>105</v>
      </c>
      <c r="D31" s="29" t="s">
        <v>121</v>
      </c>
      <c r="E31" s="29" t="s">
        <v>129</v>
      </c>
      <c r="F31" s="30">
        <v>153.27000000000001</v>
      </c>
      <c r="G31" s="36">
        <v>148.67000000000002</v>
      </c>
      <c r="H31" s="36">
        <f>'SalesData 2'!$F31-'SalesData 2'!$G31</f>
        <v>4.5999999999999943</v>
      </c>
    </row>
    <row r="32" spans="1:8" ht="14.4" x14ac:dyDescent="0.25">
      <c r="A32" s="40">
        <v>41289</v>
      </c>
      <c r="B32" s="25" t="s">
        <v>22</v>
      </c>
      <c r="C32" s="9" t="s">
        <v>77</v>
      </c>
      <c r="D32" s="25" t="s">
        <v>119</v>
      </c>
      <c r="E32" s="25" t="s">
        <v>130</v>
      </c>
      <c r="F32" s="26">
        <v>40.85</v>
      </c>
      <c r="G32" s="35">
        <v>42.89</v>
      </c>
      <c r="H32" s="35">
        <f>'SalesData 2'!$F32-'SalesData 2'!$G32</f>
        <v>-2.0399999999999991</v>
      </c>
    </row>
    <row r="33" spans="1:8" ht="14.4" x14ac:dyDescent="0.25">
      <c r="A33" s="41">
        <v>41290</v>
      </c>
      <c r="B33" s="29" t="s">
        <v>38</v>
      </c>
      <c r="C33" s="14" t="s">
        <v>62</v>
      </c>
      <c r="D33" s="29" t="s">
        <v>122</v>
      </c>
      <c r="E33" s="29" t="s">
        <v>128</v>
      </c>
      <c r="F33" s="30">
        <v>897.78</v>
      </c>
      <c r="G33" s="36">
        <v>843.91</v>
      </c>
      <c r="H33" s="36">
        <f>'SalesData 2'!$F33-'SalesData 2'!$G33</f>
        <v>53.870000000000005</v>
      </c>
    </row>
    <row r="34" spans="1:8" ht="14.4" x14ac:dyDescent="0.25">
      <c r="A34" s="40">
        <v>41290</v>
      </c>
      <c r="B34" s="25" t="s">
        <v>39</v>
      </c>
      <c r="C34" s="9" t="s">
        <v>75</v>
      </c>
      <c r="D34" s="25" t="s">
        <v>122</v>
      </c>
      <c r="E34" s="25" t="s">
        <v>130</v>
      </c>
      <c r="F34" s="26">
        <v>462.98</v>
      </c>
      <c r="G34" s="35">
        <v>425.94</v>
      </c>
      <c r="H34" s="35">
        <f>'SalesData 2'!$F34-'SalesData 2'!$G34</f>
        <v>37.04000000000002</v>
      </c>
    </row>
    <row r="35" spans="1:8" ht="14.4" x14ac:dyDescent="0.25">
      <c r="A35" s="41">
        <v>41290</v>
      </c>
      <c r="B35" s="29" t="s">
        <v>11</v>
      </c>
      <c r="C35" s="14" t="s">
        <v>91</v>
      </c>
      <c r="D35" s="29" t="s">
        <v>118</v>
      </c>
      <c r="E35" s="29" t="s">
        <v>130</v>
      </c>
      <c r="F35" s="30">
        <v>977.28</v>
      </c>
      <c r="G35" s="36">
        <v>987.05</v>
      </c>
      <c r="H35" s="36">
        <f>'SalesData 2'!$F35-'SalesData 2'!$G35</f>
        <v>-9.7699999999999818</v>
      </c>
    </row>
    <row r="36" spans="1:8" ht="14.4" x14ac:dyDescent="0.25">
      <c r="A36" s="40">
        <v>41291</v>
      </c>
      <c r="B36" s="25" t="s">
        <v>18</v>
      </c>
      <c r="C36" s="9" t="s">
        <v>63</v>
      </c>
      <c r="D36" s="25" t="s">
        <v>119</v>
      </c>
      <c r="E36" s="25" t="s">
        <v>130</v>
      </c>
      <c r="F36" s="26">
        <v>918.82</v>
      </c>
      <c r="G36" s="35">
        <v>845.31000000000006</v>
      </c>
      <c r="H36" s="35">
        <f>'SalesData 2'!$F36-'SalesData 2'!$G36</f>
        <v>73.509999999999991</v>
      </c>
    </row>
    <row r="37" spans="1:8" ht="14.4" x14ac:dyDescent="0.25">
      <c r="A37" s="41">
        <v>41291</v>
      </c>
      <c r="B37" s="29" t="s">
        <v>19</v>
      </c>
      <c r="C37" s="14" t="s">
        <v>113</v>
      </c>
      <c r="D37" s="29" t="s">
        <v>119</v>
      </c>
      <c r="E37" s="29" t="s">
        <v>129</v>
      </c>
      <c r="F37" s="30">
        <v>451.45</v>
      </c>
      <c r="G37" s="36">
        <v>415.33</v>
      </c>
      <c r="H37" s="36">
        <f>'SalesData 2'!$F37-'SalesData 2'!$G37</f>
        <v>36.120000000000005</v>
      </c>
    </row>
    <row r="38" spans="1:8" ht="14.4" x14ac:dyDescent="0.25">
      <c r="A38" s="40">
        <v>41291</v>
      </c>
      <c r="B38" s="25" t="s">
        <v>36</v>
      </c>
      <c r="C38" s="9" t="s">
        <v>57</v>
      </c>
      <c r="D38" s="25" t="s">
        <v>121</v>
      </c>
      <c r="E38" s="25" t="s">
        <v>128</v>
      </c>
      <c r="F38" s="26">
        <v>155.86000000000001</v>
      </c>
      <c r="G38" s="35">
        <v>160.54000000000002</v>
      </c>
      <c r="H38" s="35">
        <f>'SalesData 2'!$F38-'SalesData 2'!$G38</f>
        <v>-4.6800000000000068</v>
      </c>
    </row>
    <row r="39" spans="1:8" ht="14.4" x14ac:dyDescent="0.25">
      <c r="A39" s="41">
        <v>41292</v>
      </c>
      <c r="B39" s="29" t="s">
        <v>24</v>
      </c>
      <c r="C39" s="14" t="s">
        <v>107</v>
      </c>
      <c r="D39" s="29" t="s">
        <v>119</v>
      </c>
      <c r="E39" s="29" t="s">
        <v>129</v>
      </c>
      <c r="F39" s="30">
        <v>984.2</v>
      </c>
      <c r="G39" s="36">
        <v>954.67000000000007</v>
      </c>
      <c r="H39" s="36">
        <f>'SalesData 2'!$F39-'SalesData 2'!$G39</f>
        <v>29.529999999999973</v>
      </c>
    </row>
    <row r="40" spans="1:8" ht="14.4" x14ac:dyDescent="0.25">
      <c r="A40" s="40">
        <v>41292</v>
      </c>
      <c r="B40" s="25" t="s">
        <v>31</v>
      </c>
      <c r="C40" s="9" t="s">
        <v>85</v>
      </c>
      <c r="D40" s="25" t="s">
        <v>120</v>
      </c>
      <c r="E40" s="25" t="s">
        <v>129</v>
      </c>
      <c r="F40" s="26">
        <v>60.05</v>
      </c>
      <c r="G40" s="35">
        <v>60.65</v>
      </c>
      <c r="H40" s="35">
        <f>'SalesData 2'!$F40-'SalesData 2'!$G40</f>
        <v>-0.60000000000000142</v>
      </c>
    </row>
    <row r="41" spans="1:8" ht="14.4" x14ac:dyDescent="0.25">
      <c r="A41" s="41">
        <v>41293</v>
      </c>
      <c r="B41" s="29" t="s">
        <v>21</v>
      </c>
      <c r="C41" s="14" t="s">
        <v>79</v>
      </c>
      <c r="D41" s="29" t="s">
        <v>119</v>
      </c>
      <c r="E41" s="29" t="s">
        <v>129</v>
      </c>
      <c r="F41" s="30">
        <v>306.10000000000002</v>
      </c>
      <c r="G41" s="36">
        <v>306.10000000000002</v>
      </c>
      <c r="H41" s="36">
        <f>'SalesData 2'!$F41-'SalesData 2'!$G41</f>
        <v>0</v>
      </c>
    </row>
    <row r="42" spans="1:8" ht="14.4" x14ac:dyDescent="0.25">
      <c r="A42" s="40">
        <v>41293</v>
      </c>
      <c r="B42" s="25" t="s">
        <v>8</v>
      </c>
      <c r="C42" s="9" t="s">
        <v>54</v>
      </c>
      <c r="D42" s="25" t="s">
        <v>118</v>
      </c>
      <c r="E42" s="25" t="s">
        <v>128</v>
      </c>
      <c r="F42" s="26">
        <v>122.4</v>
      </c>
      <c r="G42" s="35">
        <v>112.61000000000001</v>
      </c>
      <c r="H42" s="35">
        <f>'SalesData 2'!$F42-'SalesData 2'!$G42</f>
        <v>9.789999999999992</v>
      </c>
    </row>
    <row r="43" spans="1:8" ht="14.4" x14ac:dyDescent="0.25">
      <c r="A43" s="41">
        <v>41293</v>
      </c>
      <c r="B43" s="29" t="s">
        <v>35</v>
      </c>
      <c r="C43" s="14" t="s">
        <v>97</v>
      </c>
      <c r="D43" s="29" t="s">
        <v>121</v>
      </c>
      <c r="E43" s="29" t="s">
        <v>128</v>
      </c>
      <c r="F43" s="30">
        <v>598.62</v>
      </c>
      <c r="G43" s="36">
        <v>568.69000000000005</v>
      </c>
      <c r="H43" s="36">
        <f>'SalesData 2'!$F43-'SalesData 2'!$G43</f>
        <v>29.92999999999995</v>
      </c>
    </row>
    <row r="44" spans="1:8" ht="14.4" x14ac:dyDescent="0.25">
      <c r="A44" s="40">
        <v>41293</v>
      </c>
      <c r="B44" s="25" t="s">
        <v>10</v>
      </c>
      <c r="C44" s="9" t="s">
        <v>93</v>
      </c>
      <c r="D44" s="25" t="s">
        <v>118</v>
      </c>
      <c r="E44" s="25" t="s">
        <v>128</v>
      </c>
      <c r="F44" s="26">
        <v>90.78</v>
      </c>
      <c r="G44" s="35">
        <v>95.320000000000007</v>
      </c>
      <c r="H44" s="35">
        <f>'SalesData 2'!$F44-'SalesData 2'!$G44</f>
        <v>-4.5400000000000063</v>
      </c>
    </row>
    <row r="45" spans="1:8" ht="14.4" x14ac:dyDescent="0.25">
      <c r="A45" s="41">
        <v>41293</v>
      </c>
      <c r="B45" s="29" t="s">
        <v>37</v>
      </c>
      <c r="C45" s="14" t="s">
        <v>87</v>
      </c>
      <c r="D45" s="29" t="s">
        <v>121</v>
      </c>
      <c r="E45" s="29" t="s">
        <v>128</v>
      </c>
      <c r="F45" s="30">
        <v>864.78</v>
      </c>
      <c r="G45" s="36">
        <v>933.96</v>
      </c>
      <c r="H45" s="36">
        <f>'SalesData 2'!$F45-'SalesData 2'!$G45</f>
        <v>-69.180000000000064</v>
      </c>
    </row>
    <row r="46" spans="1:8" ht="14.4" x14ac:dyDescent="0.25">
      <c r="A46" s="40">
        <v>41294</v>
      </c>
      <c r="B46" s="25" t="s">
        <v>17</v>
      </c>
      <c r="C46" s="9" t="s">
        <v>74</v>
      </c>
      <c r="D46" s="25" t="s">
        <v>119</v>
      </c>
      <c r="E46" s="25" t="s">
        <v>128</v>
      </c>
      <c r="F46" s="26">
        <v>93.2</v>
      </c>
      <c r="G46" s="35">
        <v>85.740000000000009</v>
      </c>
      <c r="H46" s="35">
        <f>'SalesData 2'!$F46-'SalesData 2'!$G46</f>
        <v>7.4599999999999937</v>
      </c>
    </row>
    <row r="47" spans="1:8" ht="14.4" x14ac:dyDescent="0.25">
      <c r="A47" s="41">
        <v>41296</v>
      </c>
      <c r="B47" s="29" t="s">
        <v>6</v>
      </c>
      <c r="C47" s="14" t="s">
        <v>81</v>
      </c>
      <c r="D47" s="29" t="s">
        <v>118</v>
      </c>
      <c r="E47" s="29" t="s">
        <v>128</v>
      </c>
      <c r="F47" s="30">
        <v>841</v>
      </c>
      <c r="G47" s="36">
        <v>832.59</v>
      </c>
      <c r="H47" s="36">
        <f>'SalesData 2'!$F47-'SalesData 2'!$G47</f>
        <v>8.4099999999999682</v>
      </c>
    </row>
    <row r="48" spans="1:8" ht="14.4" x14ac:dyDescent="0.25">
      <c r="A48" s="40">
        <v>41296</v>
      </c>
      <c r="B48" s="25" t="s">
        <v>36</v>
      </c>
      <c r="C48" s="9" t="s">
        <v>59</v>
      </c>
      <c r="D48" s="25" t="s">
        <v>121</v>
      </c>
      <c r="E48" s="25" t="s">
        <v>129</v>
      </c>
      <c r="F48" s="26">
        <v>290.43</v>
      </c>
      <c r="G48" s="35">
        <v>310.76</v>
      </c>
      <c r="H48" s="35">
        <f>'SalesData 2'!$F48-'SalesData 2'!$G48</f>
        <v>-20.329999999999984</v>
      </c>
    </row>
    <row r="49" spans="1:8" ht="14.4" x14ac:dyDescent="0.25">
      <c r="A49" s="41">
        <v>41296</v>
      </c>
      <c r="B49" s="29" t="s">
        <v>36</v>
      </c>
      <c r="C49" s="14" t="s">
        <v>90</v>
      </c>
      <c r="D49" s="29" t="s">
        <v>121</v>
      </c>
      <c r="E49" s="29" t="s">
        <v>128</v>
      </c>
      <c r="F49" s="30">
        <v>818.99</v>
      </c>
      <c r="G49" s="36">
        <v>810.8</v>
      </c>
      <c r="H49" s="36">
        <f>'SalesData 2'!$F49-'SalesData 2'!$G49</f>
        <v>8.1900000000000546</v>
      </c>
    </row>
    <row r="50" spans="1:8" ht="14.4" x14ac:dyDescent="0.25">
      <c r="A50" s="40">
        <v>41297</v>
      </c>
      <c r="B50" s="25" t="s">
        <v>45</v>
      </c>
      <c r="C50" s="9" t="s">
        <v>101</v>
      </c>
      <c r="D50" s="25" t="s">
        <v>122</v>
      </c>
      <c r="E50" s="25" t="s">
        <v>128</v>
      </c>
      <c r="F50" s="26">
        <v>847.01</v>
      </c>
      <c r="G50" s="35">
        <v>804.66</v>
      </c>
      <c r="H50" s="35">
        <f>'SalesData 2'!$F50-'SalesData 2'!$G50</f>
        <v>42.350000000000023</v>
      </c>
    </row>
    <row r="51" spans="1:8" ht="14.4" x14ac:dyDescent="0.25">
      <c r="A51" s="41">
        <v>41297</v>
      </c>
      <c r="B51" s="29" t="s">
        <v>13</v>
      </c>
      <c r="C51" s="14" t="s">
        <v>73</v>
      </c>
      <c r="D51" s="29" t="s">
        <v>118</v>
      </c>
      <c r="E51" s="29" t="s">
        <v>130</v>
      </c>
      <c r="F51" s="30">
        <v>649.29</v>
      </c>
      <c r="G51" s="36">
        <v>701.23</v>
      </c>
      <c r="H51" s="36">
        <f>'SalesData 2'!$F51-'SalesData 2'!$G51</f>
        <v>-51.940000000000055</v>
      </c>
    </row>
    <row r="52" spans="1:8" ht="14.4" x14ac:dyDescent="0.25">
      <c r="A52" s="40">
        <v>41298</v>
      </c>
      <c r="B52" s="25" t="s">
        <v>41</v>
      </c>
      <c r="C52" s="9" t="s">
        <v>67</v>
      </c>
      <c r="D52" s="25" t="s">
        <v>122</v>
      </c>
      <c r="E52" s="25" t="s">
        <v>129</v>
      </c>
      <c r="F52" s="26">
        <v>209.95</v>
      </c>
      <c r="G52" s="35">
        <v>201.54999999999998</v>
      </c>
      <c r="H52" s="35">
        <f>'SalesData 2'!$F52-'SalesData 2'!$G52</f>
        <v>8.4000000000000057</v>
      </c>
    </row>
    <row r="53" spans="1:8" ht="14.4" x14ac:dyDescent="0.25">
      <c r="A53" s="41">
        <v>41298</v>
      </c>
      <c r="B53" s="29" t="s">
        <v>42</v>
      </c>
      <c r="C53" s="14" t="s">
        <v>69</v>
      </c>
      <c r="D53" s="29" t="s">
        <v>122</v>
      </c>
      <c r="E53" s="29" t="s">
        <v>130</v>
      </c>
      <c r="F53" s="30">
        <v>188.89</v>
      </c>
      <c r="G53" s="36">
        <v>175.67</v>
      </c>
      <c r="H53" s="36">
        <f>'SalesData 2'!$F53-'SalesData 2'!$G53</f>
        <v>13.219999999999999</v>
      </c>
    </row>
    <row r="54" spans="1:8" ht="14.4" x14ac:dyDescent="0.25">
      <c r="A54" s="40">
        <v>41298</v>
      </c>
      <c r="B54" s="25" t="s">
        <v>48</v>
      </c>
      <c r="C54" s="9" t="s">
        <v>82</v>
      </c>
      <c r="D54" s="25" t="s">
        <v>122</v>
      </c>
      <c r="E54" s="25" t="s">
        <v>129</v>
      </c>
      <c r="F54" s="26">
        <v>723.84</v>
      </c>
      <c r="G54" s="35">
        <v>716.6</v>
      </c>
      <c r="H54" s="35">
        <f>'SalesData 2'!$F54-'SalesData 2'!$G54</f>
        <v>7.2400000000000091</v>
      </c>
    </row>
    <row r="55" spans="1:8" ht="14.4" x14ac:dyDescent="0.25">
      <c r="A55" s="41">
        <v>41298</v>
      </c>
      <c r="B55" s="29" t="s">
        <v>48</v>
      </c>
      <c r="C55" s="14" t="s">
        <v>55</v>
      </c>
      <c r="D55" s="29" t="s">
        <v>122</v>
      </c>
      <c r="E55" s="29" t="s">
        <v>128</v>
      </c>
      <c r="F55" s="30">
        <v>315.60000000000002</v>
      </c>
      <c r="G55" s="36">
        <v>309.29000000000002</v>
      </c>
      <c r="H55" s="36">
        <f>'SalesData 2'!$F55-'SalesData 2'!$G55</f>
        <v>6.3100000000000023</v>
      </c>
    </row>
    <row r="56" spans="1:8" ht="14.4" x14ac:dyDescent="0.25">
      <c r="A56" s="40">
        <v>41298</v>
      </c>
      <c r="B56" s="25" t="s">
        <v>30</v>
      </c>
      <c r="C56" s="9" t="s">
        <v>88</v>
      </c>
      <c r="D56" s="25" t="s">
        <v>120</v>
      </c>
      <c r="E56" s="25" t="s">
        <v>130</v>
      </c>
      <c r="F56" s="26">
        <v>120.67</v>
      </c>
      <c r="G56" s="35">
        <v>118.26</v>
      </c>
      <c r="H56" s="35">
        <f>'SalesData 2'!$F56-'SalesData 2'!$G56</f>
        <v>2.4099999999999966</v>
      </c>
    </row>
    <row r="57" spans="1:8" ht="14.4" x14ac:dyDescent="0.25">
      <c r="A57" s="41">
        <v>41299</v>
      </c>
      <c r="B57" s="29" t="s">
        <v>22</v>
      </c>
      <c r="C57" s="14" t="s">
        <v>78</v>
      </c>
      <c r="D57" s="29" t="s">
        <v>119</v>
      </c>
      <c r="E57" s="29" t="s">
        <v>130</v>
      </c>
      <c r="F57" s="30">
        <v>863.54</v>
      </c>
      <c r="G57" s="36">
        <v>863.54</v>
      </c>
      <c r="H57" s="36">
        <f>'SalesData 2'!$F57-'SalesData 2'!$G57</f>
        <v>0</v>
      </c>
    </row>
    <row r="58" spans="1:8" ht="14.4" x14ac:dyDescent="0.25">
      <c r="A58" s="40">
        <v>41299</v>
      </c>
      <c r="B58" s="25" t="s">
        <v>12</v>
      </c>
      <c r="C58" s="9" t="s">
        <v>89</v>
      </c>
      <c r="D58" s="25" t="s">
        <v>118</v>
      </c>
      <c r="E58" s="25" t="s">
        <v>130</v>
      </c>
      <c r="F58" s="26">
        <v>359.89</v>
      </c>
      <c r="G58" s="35">
        <v>381.47999999999996</v>
      </c>
      <c r="H58" s="35">
        <f>'SalesData 2'!$F58-'SalesData 2'!$G58</f>
        <v>-21.589999999999975</v>
      </c>
    </row>
    <row r="59" spans="1:8" ht="14.4" x14ac:dyDescent="0.25">
      <c r="A59" s="41">
        <v>41299</v>
      </c>
      <c r="B59" s="29" t="s">
        <v>15</v>
      </c>
      <c r="C59" s="14" t="s">
        <v>60</v>
      </c>
      <c r="D59" s="29" t="s">
        <v>118</v>
      </c>
      <c r="E59" s="29" t="s">
        <v>129</v>
      </c>
      <c r="F59" s="30">
        <v>222.26</v>
      </c>
      <c r="G59" s="36">
        <v>202.26</v>
      </c>
      <c r="H59" s="36">
        <f>'SalesData 2'!$F59-'SalesData 2'!$G59</f>
        <v>20</v>
      </c>
    </row>
    <row r="60" spans="1:8" ht="14.4" x14ac:dyDescent="0.25">
      <c r="A60" s="40">
        <v>41300</v>
      </c>
      <c r="B60" s="25" t="s">
        <v>1</v>
      </c>
      <c r="C60" s="9" t="s">
        <v>1</v>
      </c>
      <c r="D60" s="25" t="s">
        <v>118</v>
      </c>
      <c r="E60" s="25" t="s">
        <v>129</v>
      </c>
      <c r="F60" s="26">
        <v>885.22</v>
      </c>
      <c r="G60" s="35">
        <v>911.78</v>
      </c>
      <c r="H60" s="35">
        <f>'SalesData 2'!$F60-'SalesData 2'!$G60</f>
        <v>-26.559999999999945</v>
      </c>
    </row>
    <row r="61" spans="1:8" ht="14.4" x14ac:dyDescent="0.25">
      <c r="A61" s="41">
        <v>41300</v>
      </c>
      <c r="B61" s="29" t="s">
        <v>4</v>
      </c>
      <c r="C61" s="14" t="s">
        <v>70</v>
      </c>
      <c r="D61" s="29" t="s">
        <v>118</v>
      </c>
      <c r="E61" s="29" t="s">
        <v>128</v>
      </c>
      <c r="F61" s="30">
        <v>992.58</v>
      </c>
      <c r="G61" s="36">
        <v>942.95</v>
      </c>
      <c r="H61" s="36">
        <f>'SalesData 2'!$F61-'SalesData 2'!$G61</f>
        <v>49.629999999999995</v>
      </c>
    </row>
    <row r="62" spans="1:8" ht="14.4" x14ac:dyDescent="0.25">
      <c r="A62" s="40">
        <v>41301</v>
      </c>
      <c r="B62" s="25" t="s">
        <v>22</v>
      </c>
      <c r="C62" s="9" t="s">
        <v>76</v>
      </c>
      <c r="D62" s="25" t="s">
        <v>119</v>
      </c>
      <c r="E62" s="25" t="s">
        <v>129</v>
      </c>
      <c r="F62" s="26">
        <v>366.62</v>
      </c>
      <c r="G62" s="35">
        <v>340.96</v>
      </c>
      <c r="H62" s="35">
        <f>'SalesData 2'!$F62-'SalesData 2'!$G62</f>
        <v>25.660000000000025</v>
      </c>
    </row>
    <row r="63" spans="1:8" ht="14.4" x14ac:dyDescent="0.25">
      <c r="A63" s="41">
        <v>41301</v>
      </c>
      <c r="B63" s="29" t="s">
        <v>44</v>
      </c>
      <c r="C63" s="14" t="s">
        <v>104</v>
      </c>
      <c r="D63" s="29" t="s">
        <v>122</v>
      </c>
      <c r="E63" s="29" t="s">
        <v>128</v>
      </c>
      <c r="F63" s="30">
        <v>936.97</v>
      </c>
      <c r="G63" s="36">
        <v>1002.5600000000001</v>
      </c>
      <c r="H63" s="36">
        <f>'SalesData 2'!$F63-'SalesData 2'!$G63</f>
        <v>-65.590000000000032</v>
      </c>
    </row>
    <row r="64" spans="1:8" ht="14.4" x14ac:dyDescent="0.25">
      <c r="A64" s="40">
        <v>41301</v>
      </c>
      <c r="B64" s="25" t="s">
        <v>29</v>
      </c>
      <c r="C64" s="9" t="s">
        <v>98</v>
      </c>
      <c r="D64" s="25" t="s">
        <v>120</v>
      </c>
      <c r="E64" s="25" t="s">
        <v>130</v>
      </c>
      <c r="F64" s="26">
        <v>832.54</v>
      </c>
      <c r="G64" s="35">
        <v>774.26</v>
      </c>
      <c r="H64" s="35">
        <f>'SalesData 2'!$F64-'SalesData 2'!$G64</f>
        <v>58.279999999999973</v>
      </c>
    </row>
    <row r="65" spans="1:8" ht="14.4" x14ac:dyDescent="0.25">
      <c r="A65" s="41">
        <v>41302</v>
      </c>
      <c r="B65" s="29" t="s">
        <v>27</v>
      </c>
      <c r="C65" s="14" t="s">
        <v>110</v>
      </c>
      <c r="D65" s="29" t="s">
        <v>120</v>
      </c>
      <c r="E65" s="29" t="s">
        <v>128</v>
      </c>
      <c r="F65" s="30">
        <v>761.05</v>
      </c>
      <c r="G65" s="36">
        <v>700.17</v>
      </c>
      <c r="H65" s="36">
        <f>'SalesData 2'!$F65-'SalesData 2'!$G65</f>
        <v>60.879999999999995</v>
      </c>
    </row>
    <row r="66" spans="1:8" ht="14.4" x14ac:dyDescent="0.25">
      <c r="A66" s="40">
        <v>41302</v>
      </c>
      <c r="B66" s="25" t="s">
        <v>46</v>
      </c>
      <c r="C66" s="9" t="s">
        <v>100</v>
      </c>
      <c r="D66" s="25" t="s">
        <v>122</v>
      </c>
      <c r="E66" s="25" t="s">
        <v>130</v>
      </c>
      <c r="F66" s="26">
        <v>211.03</v>
      </c>
      <c r="G66" s="35">
        <v>198.37</v>
      </c>
      <c r="H66" s="35">
        <f>'SalesData 2'!$F66-'SalesData 2'!$G66</f>
        <v>12.659999999999997</v>
      </c>
    </row>
    <row r="67" spans="1:8" ht="14.4" x14ac:dyDescent="0.25">
      <c r="A67" s="41">
        <v>41307</v>
      </c>
      <c r="B67" s="29" t="s">
        <v>39</v>
      </c>
      <c r="C67" s="14" t="s">
        <v>75</v>
      </c>
      <c r="D67" s="29" t="s">
        <v>122</v>
      </c>
      <c r="E67" s="29" t="s">
        <v>128</v>
      </c>
      <c r="F67" s="30">
        <v>638.38</v>
      </c>
      <c r="G67" s="36">
        <v>644.76</v>
      </c>
      <c r="H67" s="36">
        <f>'SalesData 2'!$F67-'SalesData 2'!$G67</f>
        <v>-6.3799999999999955</v>
      </c>
    </row>
    <row r="68" spans="1:8" ht="14.4" x14ac:dyDescent="0.25">
      <c r="A68" s="40">
        <v>41310</v>
      </c>
      <c r="B68" s="25" t="s">
        <v>8</v>
      </c>
      <c r="C68" s="9" t="s">
        <v>54</v>
      </c>
      <c r="D68" s="25" t="s">
        <v>118</v>
      </c>
      <c r="E68" s="25" t="s">
        <v>130</v>
      </c>
      <c r="F68" s="26">
        <v>357.17</v>
      </c>
      <c r="G68" s="35">
        <v>325.02000000000004</v>
      </c>
      <c r="H68" s="35">
        <f>'SalesData 2'!$F68-'SalesData 2'!$G68</f>
        <v>32.149999999999977</v>
      </c>
    </row>
    <row r="69" spans="1:8" ht="14.4" x14ac:dyDescent="0.25">
      <c r="A69" s="41">
        <v>41317</v>
      </c>
      <c r="B69" s="29" t="s">
        <v>41</v>
      </c>
      <c r="C69" s="14" t="s">
        <v>68</v>
      </c>
      <c r="D69" s="29" t="s">
        <v>122</v>
      </c>
      <c r="E69" s="29" t="s">
        <v>129</v>
      </c>
      <c r="F69" s="30">
        <v>392.84</v>
      </c>
      <c r="G69" s="36">
        <v>408.54999999999995</v>
      </c>
      <c r="H69" s="36">
        <f>'SalesData 2'!$F69-'SalesData 2'!$G69</f>
        <v>-15.70999999999998</v>
      </c>
    </row>
    <row r="70" spans="1:8" ht="14.4" x14ac:dyDescent="0.25">
      <c r="A70" s="40">
        <v>41318</v>
      </c>
      <c r="B70" s="25" t="s">
        <v>41</v>
      </c>
      <c r="C70" s="9" t="s">
        <v>67</v>
      </c>
      <c r="D70" s="25" t="s">
        <v>122</v>
      </c>
      <c r="E70" s="25" t="s">
        <v>128</v>
      </c>
      <c r="F70" s="26">
        <v>67.290000000000006</v>
      </c>
      <c r="G70" s="35">
        <v>61.230000000000004</v>
      </c>
      <c r="H70" s="35">
        <f>'SalesData 2'!$F70-'SalesData 2'!$G70</f>
        <v>6.0600000000000023</v>
      </c>
    </row>
    <row r="71" spans="1:8" ht="14.4" x14ac:dyDescent="0.25">
      <c r="A71" s="41">
        <v>41320</v>
      </c>
      <c r="B71" s="29" t="s">
        <v>42</v>
      </c>
      <c r="C71" s="14" t="s">
        <v>69</v>
      </c>
      <c r="D71" s="29" t="s">
        <v>122</v>
      </c>
      <c r="E71" s="29" t="s">
        <v>130</v>
      </c>
      <c r="F71" s="30">
        <v>825.78</v>
      </c>
      <c r="G71" s="36">
        <v>792.75</v>
      </c>
      <c r="H71" s="36">
        <f>'SalesData 2'!$F71-'SalesData 2'!$G71</f>
        <v>33.029999999999973</v>
      </c>
    </row>
    <row r="72" spans="1:8" ht="14.4" x14ac:dyDescent="0.25">
      <c r="A72" s="40">
        <v>41323</v>
      </c>
      <c r="B72" s="25" t="s">
        <v>26</v>
      </c>
      <c r="C72" s="9" t="s">
        <v>117</v>
      </c>
      <c r="D72" s="25" t="s">
        <v>120</v>
      </c>
      <c r="E72" s="25" t="s">
        <v>128</v>
      </c>
      <c r="F72" s="45">
        <v>385.71</v>
      </c>
      <c r="G72" s="35">
        <v>416.57</v>
      </c>
      <c r="H72" s="35">
        <f>'SalesData 2'!$F72-'SalesData 2'!$G72</f>
        <v>-30.860000000000014</v>
      </c>
    </row>
    <row r="73" spans="1:8" ht="14.4" x14ac:dyDescent="0.25">
      <c r="A73" s="41">
        <v>41323</v>
      </c>
      <c r="B73" s="29" t="s">
        <v>40</v>
      </c>
      <c r="C73" s="14" t="s">
        <v>111</v>
      </c>
      <c r="D73" s="29" t="s">
        <v>122</v>
      </c>
      <c r="E73" s="29" t="s">
        <v>129</v>
      </c>
      <c r="F73" s="30">
        <v>436.3</v>
      </c>
      <c r="G73" s="36">
        <v>453.75</v>
      </c>
      <c r="H73" s="36">
        <f>'SalesData 2'!$F73-'SalesData 2'!$G73</f>
        <v>-17.449999999999989</v>
      </c>
    </row>
    <row r="74" spans="1:8" ht="14.4" x14ac:dyDescent="0.25">
      <c r="A74" s="40">
        <v>41323</v>
      </c>
      <c r="B74" s="25" t="s">
        <v>14</v>
      </c>
      <c r="C74" s="9" t="s">
        <v>83</v>
      </c>
      <c r="D74" s="25" t="s">
        <v>118</v>
      </c>
      <c r="E74" s="25" t="s">
        <v>129</v>
      </c>
      <c r="F74" s="26">
        <v>401.85</v>
      </c>
      <c r="G74" s="35">
        <v>397.83000000000004</v>
      </c>
      <c r="H74" s="35">
        <f>'SalesData 2'!$F74-'SalesData 2'!G$74</f>
        <v>4.0199999999999818</v>
      </c>
    </row>
    <row r="75" spans="1:8" ht="14.4" x14ac:dyDescent="0.25">
      <c r="A75" s="41">
        <v>41324</v>
      </c>
      <c r="B75" s="29" t="s">
        <v>22</v>
      </c>
      <c r="C75" s="14" t="s">
        <v>78</v>
      </c>
      <c r="D75" s="29" t="s">
        <v>119</v>
      </c>
      <c r="E75" s="29" t="s">
        <v>128</v>
      </c>
      <c r="F75" s="30">
        <v>246.28</v>
      </c>
      <c r="G75" s="36">
        <v>233.97</v>
      </c>
      <c r="H75" s="36">
        <f>'SalesData 2'!$F75-'SalesData 2'!$G75</f>
        <v>12.310000000000002</v>
      </c>
    </row>
    <row r="76" spans="1:8" ht="14.4" x14ac:dyDescent="0.25">
      <c r="A76" s="40">
        <v>41325</v>
      </c>
      <c r="B76" s="25" t="s">
        <v>23</v>
      </c>
      <c r="C76" s="9" t="s">
        <v>109</v>
      </c>
      <c r="D76" s="25" t="s">
        <v>119</v>
      </c>
      <c r="E76" s="25" t="s">
        <v>128</v>
      </c>
      <c r="F76" s="26">
        <v>996.56</v>
      </c>
      <c r="G76" s="35">
        <v>986.58999999999992</v>
      </c>
      <c r="H76" s="35">
        <f>'SalesData 2'!$F76-'SalesData 2'!$G76</f>
        <v>9.9700000000000273</v>
      </c>
    </row>
    <row r="77" spans="1:8" ht="14.4" x14ac:dyDescent="0.25">
      <c r="A77" s="41">
        <v>41326</v>
      </c>
      <c r="B77" s="29" t="s">
        <v>30</v>
      </c>
      <c r="C77" s="14" t="s">
        <v>88</v>
      </c>
      <c r="D77" s="29" t="s">
        <v>120</v>
      </c>
      <c r="E77" s="29" t="s">
        <v>130</v>
      </c>
      <c r="F77" s="30">
        <v>99.2</v>
      </c>
      <c r="G77" s="36">
        <v>91.26</v>
      </c>
      <c r="H77" s="36">
        <f>'SalesData 2'!$F77-'SalesData 2'!$G77</f>
        <v>7.9399999999999977</v>
      </c>
    </row>
    <row r="78" spans="1:8" ht="14.4" x14ac:dyDescent="0.25">
      <c r="A78" s="40">
        <v>41330</v>
      </c>
      <c r="B78" s="25" t="s">
        <v>49</v>
      </c>
      <c r="C78" s="9" t="s">
        <v>72</v>
      </c>
      <c r="D78" s="25" t="s">
        <v>122</v>
      </c>
      <c r="E78" s="25" t="s">
        <v>128</v>
      </c>
      <c r="F78" s="26">
        <v>193.94</v>
      </c>
      <c r="G78" s="35">
        <v>205.57999999999998</v>
      </c>
      <c r="H78" s="35">
        <f>'SalesData 2'!$F78-'SalesData 2'!$G78</f>
        <v>-11.639999999999986</v>
      </c>
    </row>
    <row r="79" spans="1:8" ht="14.4" x14ac:dyDescent="0.25">
      <c r="A79" s="41">
        <v>41331</v>
      </c>
      <c r="B79" s="29" t="s">
        <v>48</v>
      </c>
      <c r="C79" s="14" t="s">
        <v>71</v>
      </c>
      <c r="D79" s="29" t="s">
        <v>122</v>
      </c>
      <c r="E79" s="29" t="s">
        <v>128</v>
      </c>
      <c r="F79" s="30">
        <v>316.67</v>
      </c>
      <c r="G79" s="36">
        <v>329.34000000000003</v>
      </c>
      <c r="H79" s="36">
        <f>'SalesData 2'!$F79-'SalesData 2'!$G79</f>
        <v>-12.670000000000016</v>
      </c>
    </row>
    <row r="80" spans="1:8" ht="14.4" x14ac:dyDescent="0.25">
      <c r="A80" s="40">
        <v>41332</v>
      </c>
      <c r="B80" s="25" t="s">
        <v>13</v>
      </c>
      <c r="C80" s="9" t="s">
        <v>73</v>
      </c>
      <c r="D80" s="25" t="s">
        <v>118</v>
      </c>
      <c r="E80" s="25" t="s">
        <v>128</v>
      </c>
      <c r="F80" s="26">
        <v>983.55</v>
      </c>
      <c r="G80" s="35">
        <v>963.88</v>
      </c>
      <c r="H80" s="35">
        <f>'SalesData 2'!$F80-'SalesData 2'!$G80</f>
        <v>19.669999999999959</v>
      </c>
    </row>
    <row r="81" spans="1:8" ht="14.4" x14ac:dyDescent="0.25">
      <c r="A81" s="41">
        <v>41333</v>
      </c>
      <c r="B81" s="29" t="s">
        <v>2</v>
      </c>
      <c r="C81" s="14" t="s">
        <v>108</v>
      </c>
      <c r="D81" s="29" t="s">
        <v>118</v>
      </c>
      <c r="E81" s="29" t="s">
        <v>130</v>
      </c>
      <c r="F81" s="30">
        <v>196.57</v>
      </c>
      <c r="G81" s="36">
        <v>182.81</v>
      </c>
      <c r="H81" s="36">
        <f>'SalesData 2'!$F81-'SalesData 2'!$G81</f>
        <v>13.759999999999991</v>
      </c>
    </row>
    <row r="82" spans="1:8" ht="14.4" x14ac:dyDescent="0.25">
      <c r="A82" s="40">
        <v>41333</v>
      </c>
      <c r="B82" s="25" t="s">
        <v>28</v>
      </c>
      <c r="C82" s="9" t="s">
        <v>103</v>
      </c>
      <c r="D82" s="25" t="s">
        <v>120</v>
      </c>
      <c r="E82" s="25" t="s">
        <v>129</v>
      </c>
      <c r="F82" s="26">
        <v>258.25</v>
      </c>
      <c r="G82" s="35">
        <v>273.75</v>
      </c>
      <c r="H82" s="35">
        <f>'SalesData 2'!$F82-'SalesData 2'!$G82</f>
        <v>-15.5</v>
      </c>
    </row>
    <row r="83" spans="1:8" ht="14.4" x14ac:dyDescent="0.25">
      <c r="A83" s="41">
        <v>41335</v>
      </c>
      <c r="B83" s="29" t="s">
        <v>0</v>
      </c>
      <c r="C83" s="14" t="s">
        <v>114</v>
      </c>
      <c r="D83" s="29" t="s">
        <v>118</v>
      </c>
      <c r="E83" s="29" t="s">
        <v>130</v>
      </c>
      <c r="F83" s="30">
        <v>428.05</v>
      </c>
      <c r="G83" s="36">
        <v>432.33</v>
      </c>
      <c r="H83" s="36">
        <f>'SalesData 2'!$F83-'SalesData 2'!$G83</f>
        <v>-4.2799999999999727</v>
      </c>
    </row>
    <row r="84" spans="1:8" ht="14.4" x14ac:dyDescent="0.25">
      <c r="A84" s="40">
        <v>41336</v>
      </c>
      <c r="B84" s="25" t="s">
        <v>24</v>
      </c>
      <c r="C84" s="9" t="s">
        <v>107</v>
      </c>
      <c r="D84" s="25" t="s">
        <v>119</v>
      </c>
      <c r="E84" s="25" t="s">
        <v>130</v>
      </c>
      <c r="F84" s="26">
        <v>952.76</v>
      </c>
      <c r="G84" s="35">
        <v>914.65</v>
      </c>
      <c r="H84" s="35">
        <f>'SalesData 2'!$F84-'SalesData 2'!$G84</f>
        <v>38.110000000000014</v>
      </c>
    </row>
    <row r="85" spans="1:8" ht="14.4" x14ac:dyDescent="0.25">
      <c r="A85" s="41">
        <v>41336</v>
      </c>
      <c r="B85" s="29" t="s">
        <v>16</v>
      </c>
      <c r="C85" s="14" t="s">
        <v>61</v>
      </c>
      <c r="D85" s="29" t="s">
        <v>118</v>
      </c>
      <c r="E85" s="29" t="s">
        <v>128</v>
      </c>
      <c r="F85" s="30">
        <v>391.72</v>
      </c>
      <c r="G85" s="36">
        <v>395.64000000000004</v>
      </c>
      <c r="H85" s="36">
        <f>'SalesData 2'!$F85-'SalesData 2'!$G85</f>
        <v>-3.9200000000000159</v>
      </c>
    </row>
    <row r="86" spans="1:8" ht="14.4" x14ac:dyDescent="0.25">
      <c r="A86" s="40">
        <v>41338</v>
      </c>
      <c r="B86" s="25" t="s">
        <v>19</v>
      </c>
      <c r="C86" s="9" t="s">
        <v>113</v>
      </c>
      <c r="D86" s="25" t="s">
        <v>119</v>
      </c>
      <c r="E86" s="25" t="s">
        <v>128</v>
      </c>
      <c r="F86" s="26">
        <v>363.3</v>
      </c>
      <c r="G86" s="35">
        <v>356.03000000000003</v>
      </c>
      <c r="H86" s="35">
        <f>'SalesData 2'!$F86-'SalesData 2'!$G86</f>
        <v>7.2699999999999818</v>
      </c>
    </row>
    <row r="87" spans="1:8" ht="14.4" x14ac:dyDescent="0.25">
      <c r="A87" s="41">
        <v>41339</v>
      </c>
      <c r="B87" s="29" t="s">
        <v>12</v>
      </c>
      <c r="C87" s="14" t="s">
        <v>89</v>
      </c>
      <c r="D87" s="29" t="s">
        <v>118</v>
      </c>
      <c r="E87" s="29" t="s">
        <v>130</v>
      </c>
      <c r="F87" s="30">
        <v>165.99</v>
      </c>
      <c r="G87" s="36">
        <v>177.61</v>
      </c>
      <c r="H87" s="36">
        <f>'SalesData 2'!$F87-'SalesData 2'!$G87</f>
        <v>-11.620000000000005</v>
      </c>
    </row>
    <row r="88" spans="1:8" ht="14.4" x14ac:dyDescent="0.25">
      <c r="A88" s="40">
        <v>41340</v>
      </c>
      <c r="B88" s="25" t="s">
        <v>25</v>
      </c>
      <c r="C88" s="9" t="s">
        <v>94</v>
      </c>
      <c r="D88" s="25" t="s">
        <v>119</v>
      </c>
      <c r="E88" s="25" t="s">
        <v>130</v>
      </c>
      <c r="F88" s="26">
        <v>921.82</v>
      </c>
      <c r="G88" s="35">
        <v>866.51</v>
      </c>
      <c r="H88" s="35">
        <f>'SalesData 2'!$F88-'SalesData 2'!$G88</f>
        <v>55.310000000000059</v>
      </c>
    </row>
    <row r="89" spans="1:8" ht="14.4" x14ac:dyDescent="0.25">
      <c r="A89" s="41">
        <v>41343</v>
      </c>
      <c r="B89" s="29" t="s">
        <v>40</v>
      </c>
      <c r="C89" s="14" t="s">
        <v>65</v>
      </c>
      <c r="D89" s="29" t="s">
        <v>122</v>
      </c>
      <c r="E89" s="29" t="s">
        <v>130</v>
      </c>
      <c r="F89" s="30">
        <v>597.21</v>
      </c>
      <c r="G89" s="36">
        <v>597.21</v>
      </c>
      <c r="H89" s="36">
        <f>'SalesData 2'!$F89-'SalesData 2'!$G89</f>
        <v>0</v>
      </c>
    </row>
    <row r="90" spans="1:8" ht="14.4" x14ac:dyDescent="0.25">
      <c r="A90" s="40">
        <v>41343</v>
      </c>
      <c r="B90" s="25" t="s">
        <v>36</v>
      </c>
      <c r="C90" s="9" t="s">
        <v>59</v>
      </c>
      <c r="D90" s="25" t="s">
        <v>121</v>
      </c>
      <c r="E90" s="25" t="s">
        <v>128</v>
      </c>
      <c r="F90" s="26">
        <v>397.52</v>
      </c>
      <c r="G90" s="35">
        <v>405.46999999999997</v>
      </c>
      <c r="H90" s="35">
        <f>'SalesData 2'!$F90-'SalesData 2'!$G90</f>
        <v>-7.9499999999999886</v>
      </c>
    </row>
    <row r="91" spans="1:8" ht="14.4" x14ac:dyDescent="0.25">
      <c r="A91" s="41">
        <v>41345</v>
      </c>
      <c r="B91" s="29" t="s">
        <v>7</v>
      </c>
      <c r="C91" s="14" t="s">
        <v>99</v>
      </c>
      <c r="D91" s="29" t="s">
        <v>118</v>
      </c>
      <c r="E91" s="29" t="s">
        <v>130</v>
      </c>
      <c r="F91" s="30">
        <v>488.55</v>
      </c>
      <c r="G91" s="36">
        <v>488.55</v>
      </c>
      <c r="H91" s="36">
        <f>'SalesData 2'!$F91-'SalesData 2'!$G91</f>
        <v>0</v>
      </c>
    </row>
    <row r="92" spans="1:8" ht="14.4" x14ac:dyDescent="0.25">
      <c r="A92" s="40">
        <v>41345</v>
      </c>
      <c r="B92" s="25" t="s">
        <v>51</v>
      </c>
      <c r="C92" s="9" t="s">
        <v>86</v>
      </c>
      <c r="D92" s="25" t="s">
        <v>122</v>
      </c>
      <c r="E92" s="25" t="s">
        <v>130</v>
      </c>
      <c r="F92" s="26">
        <v>155.31</v>
      </c>
      <c r="G92" s="35">
        <v>150.65</v>
      </c>
      <c r="H92" s="35">
        <f>'SalesData 2'!$F92-'SalesData 2'!$G92</f>
        <v>4.6599999999999966</v>
      </c>
    </row>
    <row r="93" spans="1:8" ht="14.4" x14ac:dyDescent="0.25">
      <c r="A93" s="41">
        <v>41350</v>
      </c>
      <c r="B93" s="29" t="s">
        <v>9</v>
      </c>
      <c r="C93" s="14" t="s">
        <v>95</v>
      </c>
      <c r="D93" s="29" t="s">
        <v>118</v>
      </c>
      <c r="E93" s="29" t="s">
        <v>129</v>
      </c>
      <c r="F93" s="30">
        <v>322.83999999999997</v>
      </c>
      <c r="G93" s="36">
        <v>332.53</v>
      </c>
      <c r="H93" s="36">
        <f>'SalesData 2'!$F93-'SalesData 2'!$G93</f>
        <v>-9.6899999999999977</v>
      </c>
    </row>
    <row r="94" spans="1:8" ht="14.4" x14ac:dyDescent="0.25">
      <c r="A94" s="40">
        <v>41351</v>
      </c>
      <c r="B94" s="25" t="s">
        <v>5</v>
      </c>
      <c r="C94" s="9" t="s">
        <v>102</v>
      </c>
      <c r="D94" s="25" t="s">
        <v>118</v>
      </c>
      <c r="E94" s="25" t="s">
        <v>129</v>
      </c>
      <c r="F94" s="26">
        <v>157.77000000000001</v>
      </c>
      <c r="G94" s="35">
        <v>162.5</v>
      </c>
      <c r="H94" s="35">
        <f>'SalesData 2'!$F94-'SalesData 2'!$G94</f>
        <v>-4.7299999999999898</v>
      </c>
    </row>
    <row r="95" spans="1:8" ht="14.4" x14ac:dyDescent="0.25">
      <c r="A95" s="41">
        <v>41351</v>
      </c>
      <c r="B95" s="29" t="s">
        <v>48</v>
      </c>
      <c r="C95" s="14" t="s">
        <v>55</v>
      </c>
      <c r="D95" s="29" t="s">
        <v>122</v>
      </c>
      <c r="E95" s="29" t="s">
        <v>128</v>
      </c>
      <c r="F95" s="30">
        <v>966.47</v>
      </c>
      <c r="G95" s="36">
        <v>879.49</v>
      </c>
      <c r="H95" s="36">
        <f>'SalesData 2'!$F95-'SalesData 2'!$G95</f>
        <v>86.980000000000018</v>
      </c>
    </row>
    <row r="96" spans="1:8" ht="14.4" x14ac:dyDescent="0.25">
      <c r="A96" s="40">
        <v>41353</v>
      </c>
      <c r="B96" s="25" t="s">
        <v>27</v>
      </c>
      <c r="C96" s="9" t="s">
        <v>110</v>
      </c>
      <c r="D96" s="25" t="s">
        <v>120</v>
      </c>
      <c r="E96" s="25" t="s">
        <v>128</v>
      </c>
      <c r="F96" s="26">
        <v>444.69</v>
      </c>
      <c r="G96" s="35">
        <v>431.35</v>
      </c>
      <c r="H96" s="35">
        <f>'SalesData 2'!$F96-'SalesData 2'!$G96</f>
        <v>13.339999999999975</v>
      </c>
    </row>
    <row r="97" spans="1:8" ht="14.4" x14ac:dyDescent="0.25">
      <c r="A97" s="41">
        <v>41355</v>
      </c>
      <c r="B97" s="29" t="s">
        <v>44</v>
      </c>
      <c r="C97" s="14" t="s">
        <v>104</v>
      </c>
      <c r="D97" s="29" t="s">
        <v>122</v>
      </c>
      <c r="E97" s="29" t="s">
        <v>129</v>
      </c>
      <c r="F97" s="30">
        <v>301.63</v>
      </c>
      <c r="G97" s="36">
        <v>310.68</v>
      </c>
      <c r="H97" s="36">
        <f>'SalesData 2'!$F97-'SalesData 2'!$G97</f>
        <v>-9.0500000000000114</v>
      </c>
    </row>
    <row r="98" spans="1:8" ht="14.4" x14ac:dyDescent="0.25">
      <c r="A98" s="40">
        <v>41358</v>
      </c>
      <c r="B98" s="25" t="s">
        <v>18</v>
      </c>
      <c r="C98" s="9" t="s">
        <v>64</v>
      </c>
      <c r="D98" s="25" t="s">
        <v>119</v>
      </c>
      <c r="E98" s="25" t="s">
        <v>130</v>
      </c>
      <c r="F98" s="26">
        <v>736.79</v>
      </c>
      <c r="G98" s="35">
        <v>714.68999999999994</v>
      </c>
      <c r="H98" s="35">
        <f>'SalesData 2'!$F98-'SalesData 2'!$G98</f>
        <v>22.100000000000023</v>
      </c>
    </row>
    <row r="99" spans="1:8" ht="14.4" x14ac:dyDescent="0.25">
      <c r="A99" s="41">
        <v>41359</v>
      </c>
      <c r="B99" s="29" t="s">
        <v>35</v>
      </c>
      <c r="C99" s="14" t="s">
        <v>97</v>
      </c>
      <c r="D99" s="29" t="s">
        <v>121</v>
      </c>
      <c r="E99" s="29" t="s">
        <v>128</v>
      </c>
      <c r="F99" s="30">
        <v>69.7</v>
      </c>
      <c r="G99" s="36">
        <v>62.730000000000004</v>
      </c>
      <c r="H99" s="36">
        <f>'SalesData 2'!$F99-'SalesData 2'!$G99</f>
        <v>6.9699999999999989</v>
      </c>
    </row>
    <row r="100" spans="1:8" ht="14.4" x14ac:dyDescent="0.25">
      <c r="A100" s="40">
        <v>41368</v>
      </c>
      <c r="B100" s="25" t="s">
        <v>32</v>
      </c>
      <c r="C100" s="9" t="s">
        <v>126</v>
      </c>
      <c r="D100" s="25" t="s">
        <v>120</v>
      </c>
      <c r="E100" s="25" t="s">
        <v>130</v>
      </c>
      <c r="F100" s="26">
        <v>761.86</v>
      </c>
      <c r="G100" s="35">
        <v>716.15</v>
      </c>
      <c r="H100" s="35">
        <f>'SalesData 2'!$F100-'SalesData 2'!$G100</f>
        <v>45.710000000000036</v>
      </c>
    </row>
    <row r="101" spans="1:8" ht="14.4" x14ac:dyDescent="0.25">
      <c r="A101" s="41">
        <v>41373</v>
      </c>
      <c r="B101" s="29" t="s">
        <v>38</v>
      </c>
      <c r="C101" s="14" t="s">
        <v>116</v>
      </c>
      <c r="D101" s="29" t="s">
        <v>122</v>
      </c>
      <c r="E101" s="29" t="s">
        <v>129</v>
      </c>
      <c r="F101" s="30">
        <v>989.86</v>
      </c>
      <c r="G101" s="36">
        <v>920.57</v>
      </c>
      <c r="H101" s="36">
        <f>'SalesData 2'!$F101-'SalesData 2'!$G101</f>
        <v>69.289999999999964</v>
      </c>
    </row>
    <row r="102" spans="1:8" ht="14.4" x14ac:dyDescent="0.25">
      <c r="A102" s="40">
        <v>41373</v>
      </c>
      <c r="B102" s="25" t="s">
        <v>6</v>
      </c>
      <c r="C102" s="9" t="s">
        <v>81</v>
      </c>
      <c r="D102" s="25" t="s">
        <v>118</v>
      </c>
      <c r="E102" s="25" t="s">
        <v>128</v>
      </c>
      <c r="F102" s="26">
        <v>809.98</v>
      </c>
      <c r="G102" s="35">
        <v>769.48</v>
      </c>
      <c r="H102" s="35">
        <f>'SalesData 2'!$F102-'SalesData 2'!$G102</f>
        <v>40.5</v>
      </c>
    </row>
    <row r="103" spans="1:8" ht="14.4" x14ac:dyDescent="0.25">
      <c r="A103" s="41">
        <v>41377</v>
      </c>
      <c r="B103" s="29" t="s">
        <v>30</v>
      </c>
      <c r="C103" s="14" t="s">
        <v>88</v>
      </c>
      <c r="D103" s="29" t="s">
        <v>120</v>
      </c>
      <c r="E103" s="29" t="s">
        <v>128</v>
      </c>
      <c r="F103" s="30">
        <v>580.98</v>
      </c>
      <c r="G103" s="36">
        <v>557.74</v>
      </c>
      <c r="H103" s="36">
        <f>'SalesData 2'!$F103-'SalesData 2'!$G103</f>
        <v>23.240000000000009</v>
      </c>
    </row>
    <row r="104" spans="1:8" ht="14.4" x14ac:dyDescent="0.25">
      <c r="A104" s="40">
        <v>41385</v>
      </c>
      <c r="B104" s="25" t="s">
        <v>43</v>
      </c>
      <c r="C104" s="9" t="s">
        <v>106</v>
      </c>
      <c r="D104" s="25" t="s">
        <v>122</v>
      </c>
      <c r="E104" s="25" t="s">
        <v>128</v>
      </c>
      <c r="F104" s="26">
        <v>559.51</v>
      </c>
      <c r="G104" s="35">
        <v>537.13</v>
      </c>
      <c r="H104" s="35">
        <f>'SalesData 2'!$F104-'SalesData 2'!$G104</f>
        <v>22.379999999999995</v>
      </c>
    </row>
    <row r="105" spans="1:8" ht="14.4" x14ac:dyDescent="0.25">
      <c r="A105" s="41">
        <v>41387</v>
      </c>
      <c r="B105" s="29" t="s">
        <v>36</v>
      </c>
      <c r="C105" s="14" t="s">
        <v>90</v>
      </c>
      <c r="D105" s="29" t="s">
        <v>121</v>
      </c>
      <c r="E105" s="29" t="s">
        <v>129</v>
      </c>
      <c r="F105" s="30">
        <v>1.3900000000000001</v>
      </c>
      <c r="G105" s="36">
        <v>1.4500000000000002</v>
      </c>
      <c r="H105" s="36">
        <f>'SalesData 2'!$F105-'SalesData 2'!$G105</f>
        <v>-6.0000000000000053E-2</v>
      </c>
    </row>
    <row r="106" spans="1:8" ht="14.4" x14ac:dyDescent="0.25">
      <c r="A106" s="40">
        <v>41388</v>
      </c>
      <c r="B106" s="25" t="s">
        <v>22</v>
      </c>
      <c r="C106" s="9" t="s">
        <v>77</v>
      </c>
      <c r="D106" s="25" t="s">
        <v>119</v>
      </c>
      <c r="E106" s="25" t="s">
        <v>130</v>
      </c>
      <c r="F106" s="26">
        <v>447.06</v>
      </c>
      <c r="G106" s="35">
        <v>473.88</v>
      </c>
      <c r="H106" s="35">
        <f>'SalesData 2'!$F106-'SalesData 2'!$G106</f>
        <v>-26.819999999999993</v>
      </c>
    </row>
    <row r="107" spans="1:8" ht="14.4" x14ac:dyDescent="0.25">
      <c r="A107" s="41">
        <v>41388</v>
      </c>
      <c r="B107" s="29" t="s">
        <v>47</v>
      </c>
      <c r="C107" s="14" t="s">
        <v>96</v>
      </c>
      <c r="D107" s="29" t="s">
        <v>122</v>
      </c>
      <c r="E107" s="29" t="s">
        <v>129</v>
      </c>
      <c r="F107" s="30">
        <v>59.99</v>
      </c>
      <c r="G107" s="36">
        <v>64.790000000000006</v>
      </c>
      <c r="H107" s="36">
        <f>'SalesData 2'!$F107-'SalesData 2'!$G107</f>
        <v>-4.8000000000000043</v>
      </c>
    </row>
    <row r="108" spans="1:8" ht="14.4" x14ac:dyDescent="0.25">
      <c r="A108" s="40">
        <v>41389</v>
      </c>
      <c r="B108" s="25" t="s">
        <v>31</v>
      </c>
      <c r="C108" s="9" t="s">
        <v>85</v>
      </c>
      <c r="D108" s="25" t="s">
        <v>120</v>
      </c>
      <c r="E108" s="25" t="s">
        <v>129</v>
      </c>
      <c r="F108" s="26">
        <v>772.52</v>
      </c>
      <c r="G108" s="35">
        <v>818.87</v>
      </c>
      <c r="H108" s="35">
        <f>'SalesData 2'!$F108-'SalesData 2'!$G108</f>
        <v>-46.350000000000023</v>
      </c>
    </row>
    <row r="109" spans="1:8" ht="14.4" x14ac:dyDescent="0.25">
      <c r="A109" s="41">
        <v>41390</v>
      </c>
      <c r="B109" s="29" t="s">
        <v>48</v>
      </c>
      <c r="C109" s="14" t="s">
        <v>56</v>
      </c>
      <c r="D109" s="29" t="s">
        <v>122</v>
      </c>
      <c r="E109" s="29" t="s">
        <v>129</v>
      </c>
      <c r="F109" s="30">
        <v>626.23</v>
      </c>
      <c r="G109" s="36">
        <v>657.54</v>
      </c>
      <c r="H109" s="36">
        <f>'SalesData 2'!$F109-'SalesData 2'!$G109</f>
        <v>-31.309999999999945</v>
      </c>
    </row>
    <row r="110" spans="1:8" ht="14.4" x14ac:dyDescent="0.25">
      <c r="A110" s="40">
        <v>41391</v>
      </c>
      <c r="B110" s="25" t="s">
        <v>38</v>
      </c>
      <c r="C110" s="9" t="s">
        <v>62</v>
      </c>
      <c r="D110" s="25" t="s">
        <v>122</v>
      </c>
      <c r="E110" s="25" t="s">
        <v>129</v>
      </c>
      <c r="F110" s="26">
        <v>435.48</v>
      </c>
      <c r="G110" s="35">
        <v>426.77000000000004</v>
      </c>
      <c r="H110" s="35">
        <f>'SalesData 2'!$F110-'SalesData 2'!$G110</f>
        <v>8.7099999999999795</v>
      </c>
    </row>
    <row r="111" spans="1:8" ht="14.4" x14ac:dyDescent="0.25">
      <c r="A111" s="41">
        <v>41396</v>
      </c>
      <c r="B111" s="29" t="s">
        <v>3</v>
      </c>
      <c r="C111" s="14" t="s">
        <v>66</v>
      </c>
      <c r="D111" s="29" t="s">
        <v>118</v>
      </c>
      <c r="E111" s="29" t="s">
        <v>129</v>
      </c>
      <c r="F111" s="30">
        <v>600.36</v>
      </c>
      <c r="G111" s="36">
        <v>594.36</v>
      </c>
      <c r="H111" s="36">
        <f>'SalesData 2'!$F111-'SalesData 2'!$G111</f>
        <v>6</v>
      </c>
    </row>
    <row r="112" spans="1:8" ht="14.4" x14ac:dyDescent="0.25">
      <c r="A112" s="40">
        <v>41398</v>
      </c>
      <c r="B112" s="25" t="s">
        <v>21</v>
      </c>
      <c r="C112" s="9" t="s">
        <v>79</v>
      </c>
      <c r="D112" s="25" t="s">
        <v>119</v>
      </c>
      <c r="E112" s="25" t="s">
        <v>128</v>
      </c>
      <c r="F112" s="26">
        <v>949.63</v>
      </c>
      <c r="G112" s="35">
        <v>997.11</v>
      </c>
      <c r="H112" s="35">
        <f>'SalesData 2'!$F112-'SalesData 2'!$G112</f>
        <v>-47.480000000000018</v>
      </c>
    </row>
    <row r="113" spans="1:8" ht="14.4" x14ac:dyDescent="0.25">
      <c r="A113" s="41">
        <v>41398</v>
      </c>
      <c r="B113" s="29" t="s">
        <v>42</v>
      </c>
      <c r="C113" s="14" t="s">
        <v>69</v>
      </c>
      <c r="D113" s="29" t="s">
        <v>122</v>
      </c>
      <c r="E113" s="29" t="s">
        <v>130</v>
      </c>
      <c r="F113" s="30">
        <v>10.69</v>
      </c>
      <c r="G113" s="36">
        <v>11.44</v>
      </c>
      <c r="H113" s="36">
        <f>'SalesData 2'!$F113-'SalesData 2'!$G113</f>
        <v>-0.75</v>
      </c>
    </row>
    <row r="114" spans="1:8" ht="14.4" x14ac:dyDescent="0.25">
      <c r="A114" s="40">
        <v>41398</v>
      </c>
      <c r="B114" s="25" t="s">
        <v>31</v>
      </c>
      <c r="C114" s="9" t="s">
        <v>85</v>
      </c>
      <c r="D114" s="25" t="s">
        <v>120</v>
      </c>
      <c r="E114" s="25" t="s">
        <v>129</v>
      </c>
      <c r="F114" s="26">
        <v>875.36</v>
      </c>
      <c r="G114" s="35">
        <v>831.59</v>
      </c>
      <c r="H114" s="35">
        <f>'SalesData 2'!$F114-'SalesData 2'!$G114</f>
        <v>43.769999999999982</v>
      </c>
    </row>
    <row r="115" spans="1:8" ht="14.4" x14ac:dyDescent="0.25">
      <c r="A115" s="41">
        <v>41401</v>
      </c>
      <c r="B115" s="29" t="s">
        <v>38</v>
      </c>
      <c r="C115" s="14" t="s">
        <v>116</v>
      </c>
      <c r="D115" s="29" t="s">
        <v>122</v>
      </c>
      <c r="E115" s="29" t="s">
        <v>130</v>
      </c>
      <c r="F115" s="30">
        <v>986.77</v>
      </c>
      <c r="G115" s="36">
        <v>1016.37</v>
      </c>
      <c r="H115" s="36">
        <f>'SalesData 2'!$F115-'SalesData 2'!$G115</f>
        <v>-29.600000000000023</v>
      </c>
    </row>
    <row r="116" spans="1:8" ht="14.4" x14ac:dyDescent="0.25">
      <c r="A116" s="40">
        <v>41401</v>
      </c>
      <c r="B116" s="25" t="s">
        <v>18</v>
      </c>
      <c r="C116" s="9" t="s">
        <v>63</v>
      </c>
      <c r="D116" s="25" t="s">
        <v>119</v>
      </c>
      <c r="E116" s="25" t="s">
        <v>130</v>
      </c>
      <c r="F116" s="26">
        <v>678.52</v>
      </c>
      <c r="G116" s="35">
        <v>705.66</v>
      </c>
      <c r="H116" s="35">
        <f>'SalesData 2'!$F116-'SalesData 2'!$G116</f>
        <v>-27.139999999999986</v>
      </c>
    </row>
    <row r="117" spans="1:8" ht="14.4" x14ac:dyDescent="0.25">
      <c r="A117" s="41">
        <v>41401</v>
      </c>
      <c r="B117" s="29" t="s">
        <v>43</v>
      </c>
      <c r="C117" s="14" t="s">
        <v>106</v>
      </c>
      <c r="D117" s="29" t="s">
        <v>122</v>
      </c>
      <c r="E117" s="29" t="s">
        <v>128</v>
      </c>
      <c r="F117" s="30">
        <v>782.81</v>
      </c>
      <c r="G117" s="36">
        <v>728.01</v>
      </c>
      <c r="H117" s="36">
        <f>'SalesData 2'!$F117-'SalesData 2'!$G117</f>
        <v>54.799999999999955</v>
      </c>
    </row>
    <row r="118" spans="1:8" ht="14.4" x14ac:dyDescent="0.25">
      <c r="A118" s="40">
        <v>41403</v>
      </c>
      <c r="B118" s="25" t="s">
        <v>24</v>
      </c>
      <c r="C118" s="9" t="s">
        <v>107</v>
      </c>
      <c r="D118" s="25" t="s">
        <v>119</v>
      </c>
      <c r="E118" s="25" t="s">
        <v>128</v>
      </c>
      <c r="F118" s="26">
        <v>914.72</v>
      </c>
      <c r="G118" s="35">
        <v>914.72</v>
      </c>
      <c r="H118" s="35">
        <f>'SalesData 2'!$F118-'SalesData 2'!$G118</f>
        <v>0</v>
      </c>
    </row>
    <row r="119" spans="1:8" ht="14.4" x14ac:dyDescent="0.25">
      <c r="A119" s="41">
        <v>41404</v>
      </c>
      <c r="B119" s="29" t="s">
        <v>33</v>
      </c>
      <c r="C119" s="14" t="s">
        <v>115</v>
      </c>
      <c r="D119" s="29" t="s">
        <v>121</v>
      </c>
      <c r="E119" s="29" t="s">
        <v>129</v>
      </c>
      <c r="F119" s="30">
        <v>953.86</v>
      </c>
      <c r="G119" s="36">
        <v>858.47</v>
      </c>
      <c r="H119" s="36">
        <f>'SalesData 2'!$F119-'SalesData 2'!$G119</f>
        <v>95.389999999999986</v>
      </c>
    </row>
    <row r="120" spans="1:8" ht="14.4" x14ac:dyDescent="0.25">
      <c r="A120" s="40">
        <v>41404</v>
      </c>
      <c r="B120" s="25" t="s">
        <v>34</v>
      </c>
      <c r="C120" s="9" t="s">
        <v>105</v>
      </c>
      <c r="D120" s="25" t="s">
        <v>121</v>
      </c>
      <c r="E120" s="25" t="s">
        <v>130</v>
      </c>
      <c r="F120" s="26">
        <v>484.25</v>
      </c>
      <c r="G120" s="35">
        <v>450.35</v>
      </c>
      <c r="H120" s="35">
        <f>'SalesData 2'!$F120-'SalesData 2'!$G120</f>
        <v>33.899999999999977</v>
      </c>
    </row>
    <row r="121" spans="1:8" ht="14.4" x14ac:dyDescent="0.25">
      <c r="A121" s="41">
        <v>41405</v>
      </c>
      <c r="B121" s="29" t="s">
        <v>30</v>
      </c>
      <c r="C121" s="14" t="s">
        <v>88</v>
      </c>
      <c r="D121" s="29" t="s">
        <v>120</v>
      </c>
      <c r="E121" s="29" t="s">
        <v>128</v>
      </c>
      <c r="F121" s="30">
        <v>921.68</v>
      </c>
      <c r="G121" s="36">
        <v>884.81</v>
      </c>
      <c r="H121" s="36">
        <f>'SalesData 2'!$F121-'SalesData 2'!$G121</f>
        <v>36.870000000000005</v>
      </c>
    </row>
    <row r="122" spans="1:8" ht="14.4" x14ac:dyDescent="0.25">
      <c r="A122" s="40">
        <v>41406</v>
      </c>
      <c r="B122" s="25" t="s">
        <v>15</v>
      </c>
      <c r="C122" s="9" t="s">
        <v>60</v>
      </c>
      <c r="D122" s="25" t="s">
        <v>118</v>
      </c>
      <c r="E122" s="25" t="s">
        <v>130</v>
      </c>
      <c r="F122" s="26">
        <v>751.73</v>
      </c>
      <c r="G122" s="35">
        <v>766.76</v>
      </c>
      <c r="H122" s="35">
        <f>'SalesData 2'!$F122-'SalesData 2'!$G122</f>
        <v>-15.029999999999973</v>
      </c>
    </row>
    <row r="123" spans="1:8" ht="14.4" x14ac:dyDescent="0.25">
      <c r="A123" s="41">
        <v>41407</v>
      </c>
      <c r="B123" s="29" t="s">
        <v>18</v>
      </c>
      <c r="C123" s="14" t="s">
        <v>64</v>
      </c>
      <c r="D123" s="29" t="s">
        <v>119</v>
      </c>
      <c r="E123" s="29" t="s">
        <v>130</v>
      </c>
      <c r="F123" s="30">
        <v>865.75</v>
      </c>
      <c r="G123" s="36">
        <v>917.7</v>
      </c>
      <c r="H123" s="36">
        <f>'SalesData 2'!$F123-'SalesData 2'!$G123</f>
        <v>-51.950000000000045</v>
      </c>
    </row>
    <row r="124" spans="1:8" ht="14.4" x14ac:dyDescent="0.25">
      <c r="A124" s="40">
        <v>41408</v>
      </c>
      <c r="B124" s="25" t="s">
        <v>11</v>
      </c>
      <c r="C124" s="9" t="s">
        <v>91</v>
      </c>
      <c r="D124" s="25" t="s">
        <v>118</v>
      </c>
      <c r="E124" s="25" t="s">
        <v>129</v>
      </c>
      <c r="F124" s="26">
        <v>673.55</v>
      </c>
      <c r="G124" s="35">
        <v>687.02</v>
      </c>
      <c r="H124" s="35">
        <f>'SalesData 2'!$F124-'SalesData 2'!$G124</f>
        <v>-13.470000000000027</v>
      </c>
    </row>
    <row r="125" spans="1:8" ht="14.4" x14ac:dyDescent="0.25">
      <c r="A125" s="41">
        <v>41409</v>
      </c>
      <c r="B125" s="29" t="s">
        <v>2</v>
      </c>
      <c r="C125" s="14" t="s">
        <v>108</v>
      </c>
      <c r="D125" s="29" t="s">
        <v>118</v>
      </c>
      <c r="E125" s="29" t="s">
        <v>128</v>
      </c>
      <c r="F125" s="30">
        <v>857.28</v>
      </c>
      <c r="G125" s="36">
        <v>891.56999999999994</v>
      </c>
      <c r="H125" s="36">
        <f>'SalesData 2'!$F125-'SalesData 2'!$G125</f>
        <v>-34.289999999999964</v>
      </c>
    </row>
    <row r="126" spans="1:8" ht="14.4" x14ac:dyDescent="0.25">
      <c r="A126" s="40">
        <v>41412</v>
      </c>
      <c r="B126" s="25" t="s">
        <v>27</v>
      </c>
      <c r="C126" s="9" t="s">
        <v>110</v>
      </c>
      <c r="D126" s="25" t="s">
        <v>120</v>
      </c>
      <c r="E126" s="25" t="s">
        <v>129</v>
      </c>
      <c r="F126" s="26">
        <v>510.23</v>
      </c>
      <c r="G126" s="35">
        <v>489.82</v>
      </c>
      <c r="H126" s="35">
        <f>'SalesData 2'!$F126-'SalesData 2'!$G126</f>
        <v>20.410000000000025</v>
      </c>
    </row>
    <row r="127" spans="1:8" ht="14.4" x14ac:dyDescent="0.25">
      <c r="A127" s="41">
        <v>41416</v>
      </c>
      <c r="B127" s="29" t="s">
        <v>17</v>
      </c>
      <c r="C127" s="14" t="s">
        <v>74</v>
      </c>
      <c r="D127" s="29" t="s">
        <v>119</v>
      </c>
      <c r="E127" s="29" t="s">
        <v>128</v>
      </c>
      <c r="F127" s="30">
        <v>688.25</v>
      </c>
      <c r="G127" s="36">
        <v>619.41999999999996</v>
      </c>
      <c r="H127" s="36">
        <f>'SalesData 2'!$F127-'SalesData 2'!$G127</f>
        <v>68.830000000000041</v>
      </c>
    </row>
    <row r="128" spans="1:8" ht="14.4" x14ac:dyDescent="0.25">
      <c r="A128" s="40">
        <v>41417</v>
      </c>
      <c r="B128" s="25" t="s">
        <v>46</v>
      </c>
      <c r="C128" s="9" t="s">
        <v>100</v>
      </c>
      <c r="D128" s="25" t="s">
        <v>122</v>
      </c>
      <c r="E128" s="25" t="s">
        <v>130</v>
      </c>
      <c r="F128" s="26">
        <v>42.63</v>
      </c>
      <c r="G128" s="35">
        <v>39.650000000000006</v>
      </c>
      <c r="H128" s="35">
        <f>'SalesData 2'!$F128-'SalesData 2'!$G128</f>
        <v>2.9799999999999969</v>
      </c>
    </row>
    <row r="129" spans="1:8" ht="14.4" x14ac:dyDescent="0.25">
      <c r="A129" s="41">
        <v>41417</v>
      </c>
      <c r="B129" s="29" t="s">
        <v>29</v>
      </c>
      <c r="C129" s="14" t="s">
        <v>98</v>
      </c>
      <c r="D129" s="29" t="s">
        <v>120</v>
      </c>
      <c r="E129" s="29" t="s">
        <v>129</v>
      </c>
      <c r="F129" s="30">
        <v>703.93</v>
      </c>
      <c r="G129" s="36">
        <v>739.13</v>
      </c>
      <c r="H129" s="36">
        <f>'SalesData 2'!$F129-'SalesData 2'!$G129</f>
        <v>-35.200000000000045</v>
      </c>
    </row>
    <row r="130" spans="1:8" ht="14.4" x14ac:dyDescent="0.25">
      <c r="A130" s="40">
        <v>41417</v>
      </c>
      <c r="B130" s="25" t="s">
        <v>37</v>
      </c>
      <c r="C130" s="9" t="s">
        <v>87</v>
      </c>
      <c r="D130" s="25" t="s">
        <v>121</v>
      </c>
      <c r="E130" s="25" t="s">
        <v>130</v>
      </c>
      <c r="F130" s="26">
        <v>760.7</v>
      </c>
      <c r="G130" s="35">
        <v>730.2700000000001</v>
      </c>
      <c r="H130" s="35">
        <f>'SalesData 2'!$F130-'SalesData 2'!$G130</f>
        <v>30.42999999999995</v>
      </c>
    </row>
    <row r="131" spans="1:8" ht="14.4" x14ac:dyDescent="0.25">
      <c r="A131" s="41">
        <v>41418</v>
      </c>
      <c r="B131" s="29" t="s">
        <v>22</v>
      </c>
      <c r="C131" s="14" t="s">
        <v>76</v>
      </c>
      <c r="D131" s="29" t="s">
        <v>119</v>
      </c>
      <c r="E131" s="29" t="s">
        <v>129</v>
      </c>
      <c r="F131" s="30">
        <v>335.87</v>
      </c>
      <c r="G131" s="36">
        <v>305.64</v>
      </c>
      <c r="H131" s="36">
        <f>'SalesData 2'!$F131-'SalesData 2'!$G131</f>
        <v>30.230000000000018</v>
      </c>
    </row>
    <row r="132" spans="1:8" ht="14.4" x14ac:dyDescent="0.25">
      <c r="A132" s="40">
        <v>41426</v>
      </c>
      <c r="B132" s="25" t="s">
        <v>51</v>
      </c>
      <c r="C132" s="9" t="s">
        <v>86</v>
      </c>
      <c r="D132" s="25" t="s">
        <v>122</v>
      </c>
      <c r="E132" s="25" t="s">
        <v>129</v>
      </c>
      <c r="F132" s="26">
        <v>572.05999999999995</v>
      </c>
      <c r="G132" s="35">
        <v>554.9</v>
      </c>
      <c r="H132" s="35">
        <f>'SalesData 2'!$F132-'SalesData 2'!$G132</f>
        <v>17.159999999999968</v>
      </c>
    </row>
    <row r="133" spans="1:8" ht="14.4" x14ac:dyDescent="0.25">
      <c r="A133" s="41">
        <v>41427</v>
      </c>
      <c r="B133" s="29" t="s">
        <v>0</v>
      </c>
      <c r="C133" s="14" t="s">
        <v>114</v>
      </c>
      <c r="D133" s="29" t="s">
        <v>118</v>
      </c>
      <c r="E133" s="29" t="s">
        <v>130</v>
      </c>
      <c r="F133" s="30">
        <v>542.67999999999995</v>
      </c>
      <c r="G133" s="36">
        <v>542.67999999999995</v>
      </c>
      <c r="H133" s="36">
        <f>'SalesData 2'!$F133-'SalesData 2'!$G133</f>
        <v>0</v>
      </c>
    </row>
    <row r="134" spans="1:8" ht="14.4" x14ac:dyDescent="0.25">
      <c r="A134" s="40">
        <v>41427</v>
      </c>
      <c r="B134" s="25" t="s">
        <v>21</v>
      </c>
      <c r="C134" s="9" t="s">
        <v>79</v>
      </c>
      <c r="D134" s="25" t="s">
        <v>119</v>
      </c>
      <c r="E134" s="25" t="s">
        <v>128</v>
      </c>
      <c r="F134" s="26">
        <v>725.91</v>
      </c>
      <c r="G134" s="35">
        <v>667.83999999999992</v>
      </c>
      <c r="H134" s="35">
        <f>'SalesData 2'!$F134-'SalesData 2'!$G134</f>
        <v>58.07000000000005</v>
      </c>
    </row>
    <row r="135" spans="1:8" ht="14.4" x14ac:dyDescent="0.25">
      <c r="A135" s="41">
        <v>41428</v>
      </c>
      <c r="B135" s="29" t="s">
        <v>45</v>
      </c>
      <c r="C135" s="14" t="s">
        <v>101</v>
      </c>
      <c r="D135" s="29" t="s">
        <v>122</v>
      </c>
      <c r="E135" s="29" t="s">
        <v>130</v>
      </c>
      <c r="F135" s="30">
        <v>242.34</v>
      </c>
      <c r="G135" s="36">
        <v>259.3</v>
      </c>
      <c r="H135" s="36">
        <f>'SalesData 2'!$F135-'SalesData 2'!$G135</f>
        <v>-16.960000000000008</v>
      </c>
    </row>
    <row r="136" spans="1:8" ht="14.4" x14ac:dyDescent="0.25">
      <c r="A136" s="40">
        <v>41429</v>
      </c>
      <c r="B136" s="25" t="s">
        <v>18</v>
      </c>
      <c r="C136" s="9" t="s">
        <v>63</v>
      </c>
      <c r="D136" s="25" t="s">
        <v>119</v>
      </c>
      <c r="E136" s="25" t="s">
        <v>129</v>
      </c>
      <c r="F136" s="26">
        <v>52.91</v>
      </c>
      <c r="G136" s="35">
        <v>50.79</v>
      </c>
      <c r="H136" s="35">
        <f>'SalesData 2'!$F136-'SalesData 2'!$G136</f>
        <v>2.1199999999999974</v>
      </c>
    </row>
    <row r="137" spans="1:8" ht="14.4" x14ac:dyDescent="0.25">
      <c r="A137" s="41">
        <v>41429</v>
      </c>
      <c r="B137" s="29" t="s">
        <v>1</v>
      </c>
      <c r="C137" s="14" t="s">
        <v>1</v>
      </c>
      <c r="D137" s="29" t="s">
        <v>118</v>
      </c>
      <c r="E137" s="29" t="s">
        <v>128</v>
      </c>
      <c r="F137" s="30">
        <v>724.69</v>
      </c>
      <c r="G137" s="36">
        <v>731.94</v>
      </c>
      <c r="H137" s="36">
        <f>'SalesData 2'!$F137-'SalesData 2'!$G137</f>
        <v>-7.25</v>
      </c>
    </row>
    <row r="138" spans="1:8" ht="14.4" x14ac:dyDescent="0.25">
      <c r="A138" s="40">
        <v>41429</v>
      </c>
      <c r="B138" s="25" t="s">
        <v>8</v>
      </c>
      <c r="C138" s="9" t="s">
        <v>54</v>
      </c>
      <c r="D138" s="25" t="s">
        <v>118</v>
      </c>
      <c r="E138" s="25" t="s">
        <v>128</v>
      </c>
      <c r="F138" s="26">
        <v>986.39</v>
      </c>
      <c r="G138" s="35">
        <v>1006.12</v>
      </c>
      <c r="H138" s="35">
        <f>'SalesData 2'!$F138-'SalesData 2'!$G138</f>
        <v>-19.730000000000018</v>
      </c>
    </row>
    <row r="139" spans="1:8" ht="14.4" x14ac:dyDescent="0.25">
      <c r="A139" s="41">
        <v>41431</v>
      </c>
      <c r="B139" s="29" t="s">
        <v>36</v>
      </c>
      <c r="C139" s="14" t="s">
        <v>90</v>
      </c>
      <c r="D139" s="29" t="s">
        <v>121</v>
      </c>
      <c r="E139" s="29" t="s">
        <v>129</v>
      </c>
      <c r="F139" s="30">
        <v>793.52</v>
      </c>
      <c r="G139" s="36">
        <v>753.84</v>
      </c>
      <c r="H139" s="36">
        <f>'SalesData 2'!$F139-'SalesData 2'!$G139</f>
        <v>39.67999999999995</v>
      </c>
    </row>
    <row r="140" spans="1:8" ht="14.4" x14ac:dyDescent="0.25">
      <c r="A140" s="40">
        <v>41432</v>
      </c>
      <c r="B140" s="25" t="s">
        <v>50</v>
      </c>
      <c r="C140" s="9" t="s">
        <v>92</v>
      </c>
      <c r="D140" s="25" t="s">
        <v>122</v>
      </c>
      <c r="E140" s="25" t="s">
        <v>129</v>
      </c>
      <c r="F140" s="26">
        <v>695.88</v>
      </c>
      <c r="G140" s="35">
        <v>709.8</v>
      </c>
      <c r="H140" s="35">
        <f>'SalesData 2'!$F140-'SalesData 2'!$G140</f>
        <v>-13.919999999999959</v>
      </c>
    </row>
    <row r="141" spans="1:8" ht="14.4" x14ac:dyDescent="0.25">
      <c r="A141" s="41">
        <v>41432</v>
      </c>
      <c r="B141" s="29" t="s">
        <v>36</v>
      </c>
      <c r="C141" s="14" t="s">
        <v>57</v>
      </c>
      <c r="D141" s="29" t="s">
        <v>121</v>
      </c>
      <c r="E141" s="29" t="s">
        <v>130</v>
      </c>
      <c r="F141" s="30">
        <v>686.67</v>
      </c>
      <c r="G141" s="36">
        <v>638.59999999999991</v>
      </c>
      <c r="H141" s="36">
        <f>'SalesData 2'!$F141-'SalesData 2'!$G141</f>
        <v>48.07000000000005</v>
      </c>
    </row>
    <row r="142" spans="1:8" ht="14.4" x14ac:dyDescent="0.25">
      <c r="A142" s="40">
        <v>41433</v>
      </c>
      <c r="B142" s="25" t="s">
        <v>28</v>
      </c>
      <c r="C142" s="9" t="s">
        <v>103</v>
      </c>
      <c r="D142" s="25" t="s">
        <v>120</v>
      </c>
      <c r="E142" s="25" t="s">
        <v>130</v>
      </c>
      <c r="F142" s="26">
        <v>587.33000000000004</v>
      </c>
      <c r="G142" s="35">
        <v>593.20000000000005</v>
      </c>
      <c r="H142" s="35">
        <f>'SalesData 2'!$F142-'SalesData 2'!$G142</f>
        <v>-5.8700000000000045</v>
      </c>
    </row>
    <row r="143" spans="1:8" ht="14.4" x14ac:dyDescent="0.25">
      <c r="A143" s="41">
        <v>41434</v>
      </c>
      <c r="B143" s="29" t="s">
        <v>20</v>
      </c>
      <c r="C143" s="14" t="s">
        <v>112</v>
      </c>
      <c r="D143" s="29" t="s">
        <v>119</v>
      </c>
      <c r="E143" s="29" t="s">
        <v>129</v>
      </c>
      <c r="F143" s="30">
        <v>35.549999999999997</v>
      </c>
      <c r="G143" s="36">
        <v>32.349999999999994</v>
      </c>
      <c r="H143" s="36">
        <f>'SalesData 2'!$F143-'SalesData 2'!$G143</f>
        <v>3.2000000000000028</v>
      </c>
    </row>
    <row r="144" spans="1:8" ht="14.4" x14ac:dyDescent="0.25">
      <c r="A144" s="40">
        <v>41434</v>
      </c>
      <c r="B144" s="25" t="s">
        <v>48</v>
      </c>
      <c r="C144" s="9" t="s">
        <v>82</v>
      </c>
      <c r="D144" s="25" t="s">
        <v>122</v>
      </c>
      <c r="E144" s="25" t="s">
        <v>129</v>
      </c>
      <c r="F144" s="26">
        <v>652.21</v>
      </c>
      <c r="G144" s="35">
        <v>593.51</v>
      </c>
      <c r="H144" s="35">
        <f>'SalesData 2'!$F144-'SalesData 2'!$G144</f>
        <v>58.700000000000045</v>
      </c>
    </row>
    <row r="145" spans="1:8" ht="14.4" x14ac:dyDescent="0.25">
      <c r="A145" s="41">
        <v>41435</v>
      </c>
      <c r="B145" s="29" t="s">
        <v>10</v>
      </c>
      <c r="C145" s="14" t="s">
        <v>93</v>
      </c>
      <c r="D145" s="29" t="s">
        <v>118</v>
      </c>
      <c r="E145" s="29" t="s">
        <v>128</v>
      </c>
      <c r="F145" s="30">
        <v>40.119999999999997</v>
      </c>
      <c r="G145" s="36">
        <v>41.72</v>
      </c>
      <c r="H145" s="36">
        <f>'SalesData 2'!$F145-'SalesData 2'!$G145</f>
        <v>-1.6000000000000014</v>
      </c>
    </row>
    <row r="146" spans="1:8" ht="14.4" x14ac:dyDescent="0.25">
      <c r="A146" s="40">
        <v>41438</v>
      </c>
      <c r="B146" s="25" t="s">
        <v>9</v>
      </c>
      <c r="C146" s="9" t="s">
        <v>95</v>
      </c>
      <c r="D146" s="25" t="s">
        <v>118</v>
      </c>
      <c r="E146" s="25" t="s">
        <v>130</v>
      </c>
      <c r="F146" s="26">
        <v>736.43</v>
      </c>
      <c r="G146" s="35">
        <v>721.69999999999993</v>
      </c>
      <c r="H146" s="35">
        <f>'SalesData 2'!$F146-'SalesData 2'!$G146</f>
        <v>14.730000000000018</v>
      </c>
    </row>
    <row r="147" spans="1:8" ht="14.4" x14ac:dyDescent="0.25">
      <c r="A147" s="41">
        <v>41442</v>
      </c>
      <c r="B147" s="29" t="s">
        <v>4</v>
      </c>
      <c r="C147" s="14" t="s">
        <v>70</v>
      </c>
      <c r="D147" s="29" t="s">
        <v>118</v>
      </c>
      <c r="E147" s="29" t="s">
        <v>128</v>
      </c>
      <c r="F147" s="30">
        <v>70.94</v>
      </c>
      <c r="G147" s="36">
        <v>68.099999999999994</v>
      </c>
      <c r="H147" s="36">
        <f>'SalesData 2'!$F147-'SalesData 2'!$G147</f>
        <v>2.8400000000000034</v>
      </c>
    </row>
    <row r="148" spans="1:8" ht="14.4" x14ac:dyDescent="0.25">
      <c r="A148" s="40">
        <v>41442</v>
      </c>
      <c r="B148" s="25" t="s">
        <v>6</v>
      </c>
      <c r="C148" s="9" t="s">
        <v>80</v>
      </c>
      <c r="D148" s="25" t="s">
        <v>118</v>
      </c>
      <c r="E148" s="25" t="s">
        <v>129</v>
      </c>
      <c r="F148" s="26">
        <v>130.06</v>
      </c>
      <c r="G148" s="35">
        <v>119.66</v>
      </c>
      <c r="H148" s="35">
        <f>'SalesData 2'!$F148-'SalesData 2'!$G148</f>
        <v>10.400000000000006</v>
      </c>
    </row>
    <row r="149" spans="1:8" ht="14.4" x14ac:dyDescent="0.25">
      <c r="A149" s="41">
        <v>41443</v>
      </c>
      <c r="B149" s="29" t="s">
        <v>46</v>
      </c>
      <c r="C149" s="14" t="s">
        <v>100</v>
      </c>
      <c r="D149" s="29" t="s">
        <v>122</v>
      </c>
      <c r="E149" s="29" t="s">
        <v>130</v>
      </c>
      <c r="F149" s="30">
        <v>796.23</v>
      </c>
      <c r="G149" s="36">
        <v>740.49</v>
      </c>
      <c r="H149" s="36">
        <f>'SalesData 2'!$F149-'SalesData 2'!$G149</f>
        <v>55.740000000000009</v>
      </c>
    </row>
    <row r="150" spans="1:8" ht="14.4" x14ac:dyDescent="0.25">
      <c r="A150" s="40">
        <v>41443</v>
      </c>
      <c r="B150" s="25" t="s">
        <v>36</v>
      </c>
      <c r="C150" s="9" t="s">
        <v>57</v>
      </c>
      <c r="D150" s="25" t="s">
        <v>121</v>
      </c>
      <c r="E150" s="25" t="s">
        <v>128</v>
      </c>
      <c r="F150" s="26">
        <v>981.17</v>
      </c>
      <c r="G150" s="35">
        <v>1010.61</v>
      </c>
      <c r="H150" s="35">
        <f>'SalesData 2'!$F150-'SalesData 2'!$G150</f>
        <v>-29.440000000000055</v>
      </c>
    </row>
    <row r="151" spans="1:8" ht="14.4" x14ac:dyDescent="0.25">
      <c r="A151" s="41">
        <v>41444</v>
      </c>
      <c r="B151" s="29" t="s">
        <v>6</v>
      </c>
      <c r="C151" s="14" t="s">
        <v>81</v>
      </c>
      <c r="D151" s="29" t="s">
        <v>118</v>
      </c>
      <c r="E151" s="29" t="s">
        <v>128</v>
      </c>
      <c r="F151" s="30">
        <v>45.51</v>
      </c>
      <c r="G151" s="36">
        <v>42.32</v>
      </c>
      <c r="H151" s="36">
        <f>'SalesData 2'!$F151-'SalesData 2'!$G151</f>
        <v>3.1899999999999977</v>
      </c>
    </row>
    <row r="152" spans="1:8" ht="14.4" x14ac:dyDescent="0.25">
      <c r="A152" s="40">
        <v>41445</v>
      </c>
      <c r="B152" s="25" t="s">
        <v>16</v>
      </c>
      <c r="C152" s="9" t="s">
        <v>61</v>
      </c>
      <c r="D152" s="25" t="s">
        <v>118</v>
      </c>
      <c r="E152" s="25" t="s">
        <v>128</v>
      </c>
      <c r="F152" s="26">
        <v>451.47</v>
      </c>
      <c r="G152" s="35">
        <v>483.07000000000005</v>
      </c>
      <c r="H152" s="35">
        <f>'SalesData 2'!$F152-'SalesData 2'!$G152</f>
        <v>-31.600000000000023</v>
      </c>
    </row>
    <row r="153" spans="1:8" ht="14.4" x14ac:dyDescent="0.25">
      <c r="A153" s="41">
        <v>41448</v>
      </c>
      <c r="B153" s="29" t="s">
        <v>36</v>
      </c>
      <c r="C153" s="14" t="s">
        <v>58</v>
      </c>
      <c r="D153" s="29" t="s">
        <v>121</v>
      </c>
      <c r="E153" s="29" t="s">
        <v>130</v>
      </c>
      <c r="F153" s="30">
        <v>478.39</v>
      </c>
      <c r="G153" s="36">
        <v>459.25</v>
      </c>
      <c r="H153" s="36">
        <f>'SalesData 2'!$F153-'SalesData 2'!$G153</f>
        <v>19.139999999999986</v>
      </c>
    </row>
    <row r="154" spans="1:8" ht="14.4" x14ac:dyDescent="0.25">
      <c r="A154" s="40">
        <v>41449</v>
      </c>
      <c r="B154" s="25" t="s">
        <v>4</v>
      </c>
      <c r="C154" s="9" t="s">
        <v>70</v>
      </c>
      <c r="D154" s="25" t="s">
        <v>118</v>
      </c>
      <c r="E154" s="25" t="s">
        <v>128</v>
      </c>
      <c r="F154" s="26">
        <v>904.98</v>
      </c>
      <c r="G154" s="35">
        <v>977.38</v>
      </c>
      <c r="H154" s="35">
        <f>'SalesData 2'!$F154-'SalesData 2'!$G154</f>
        <v>-72.399999999999977</v>
      </c>
    </row>
    <row r="155" spans="1:8" ht="14.4" x14ac:dyDescent="0.25">
      <c r="A155" s="41">
        <v>41452</v>
      </c>
      <c r="B155" s="29" t="s">
        <v>44</v>
      </c>
      <c r="C155" s="14" t="s">
        <v>104</v>
      </c>
      <c r="D155" s="29" t="s">
        <v>122</v>
      </c>
      <c r="E155" s="29" t="s">
        <v>128</v>
      </c>
      <c r="F155" s="30">
        <v>480.03</v>
      </c>
      <c r="G155" s="36">
        <v>475.22999999999996</v>
      </c>
      <c r="H155" s="36">
        <f>'SalesData 2'!$F155-'SalesData 2'!$G155</f>
        <v>4.8000000000000114</v>
      </c>
    </row>
    <row r="156" spans="1:8" ht="14.4" x14ac:dyDescent="0.25">
      <c r="A156" s="40">
        <v>41456</v>
      </c>
      <c r="B156" s="25" t="s">
        <v>19</v>
      </c>
      <c r="C156" s="9" t="s">
        <v>113</v>
      </c>
      <c r="D156" s="25" t="s">
        <v>119</v>
      </c>
      <c r="E156" s="25" t="s">
        <v>130</v>
      </c>
      <c r="F156" s="26">
        <v>76.459999999999994</v>
      </c>
      <c r="G156" s="35">
        <v>72.64</v>
      </c>
      <c r="H156" s="35">
        <f>'SalesData 2'!$F156-'SalesData 2'!$G156</f>
        <v>3.8199999999999932</v>
      </c>
    </row>
    <row r="157" spans="1:8" ht="14.4" x14ac:dyDescent="0.25">
      <c r="A157" s="41">
        <v>41457</v>
      </c>
      <c r="B157" s="29" t="s">
        <v>40</v>
      </c>
      <c r="C157" s="14" t="s">
        <v>65</v>
      </c>
      <c r="D157" s="29" t="s">
        <v>122</v>
      </c>
      <c r="E157" s="29" t="s">
        <v>128</v>
      </c>
      <c r="F157" s="30">
        <v>977.84</v>
      </c>
      <c r="G157" s="36">
        <v>1036.51</v>
      </c>
      <c r="H157" s="36">
        <f>'SalesData 2'!$F157-'SalesData 2'!$G157</f>
        <v>-58.669999999999959</v>
      </c>
    </row>
    <row r="158" spans="1:8" ht="14.4" x14ac:dyDescent="0.25">
      <c r="A158" s="40">
        <v>41458</v>
      </c>
      <c r="B158" s="25" t="s">
        <v>33</v>
      </c>
      <c r="C158" s="9" t="s">
        <v>115</v>
      </c>
      <c r="D158" s="25" t="s">
        <v>121</v>
      </c>
      <c r="E158" s="25" t="s">
        <v>129</v>
      </c>
      <c r="F158" s="26">
        <v>874.66</v>
      </c>
      <c r="G158" s="35">
        <v>795.93999999999994</v>
      </c>
      <c r="H158" s="35">
        <f>'SalesData 2'!$F158-'SalesData 2'!$G158</f>
        <v>78.720000000000027</v>
      </c>
    </row>
    <row r="159" spans="1:8" ht="14.4" x14ac:dyDescent="0.25">
      <c r="A159" s="41">
        <v>41459</v>
      </c>
      <c r="B159" s="29" t="s">
        <v>13</v>
      </c>
      <c r="C159" s="14" t="s">
        <v>73</v>
      </c>
      <c r="D159" s="29" t="s">
        <v>118</v>
      </c>
      <c r="E159" s="29" t="s">
        <v>130</v>
      </c>
      <c r="F159" s="30">
        <v>168.2</v>
      </c>
      <c r="G159" s="36">
        <v>164.83999999999997</v>
      </c>
      <c r="H159" s="36">
        <f>'SalesData 2'!$F159-'SalesData 2'!$G159</f>
        <v>3.3600000000000136</v>
      </c>
    </row>
    <row r="160" spans="1:8" ht="14.4" x14ac:dyDescent="0.25">
      <c r="A160" s="40">
        <v>41461</v>
      </c>
      <c r="B160" s="25" t="s">
        <v>3</v>
      </c>
      <c r="C160" s="9" t="s">
        <v>66</v>
      </c>
      <c r="D160" s="25" t="s">
        <v>118</v>
      </c>
      <c r="E160" s="25" t="s">
        <v>130</v>
      </c>
      <c r="F160" s="26">
        <v>18.170000000000002</v>
      </c>
      <c r="G160" s="35">
        <v>17.440000000000001</v>
      </c>
      <c r="H160" s="35">
        <f>'SalesData 2'!$F160-'SalesData 2'!$G160</f>
        <v>0.73000000000000043</v>
      </c>
    </row>
    <row r="161" spans="1:8" ht="14.4" x14ac:dyDescent="0.25">
      <c r="A161" s="41">
        <v>41462</v>
      </c>
      <c r="B161" s="29" t="s">
        <v>25</v>
      </c>
      <c r="C161" s="14" t="s">
        <v>94</v>
      </c>
      <c r="D161" s="29" t="s">
        <v>119</v>
      </c>
      <c r="E161" s="29" t="s">
        <v>129</v>
      </c>
      <c r="F161" s="30">
        <v>591.09</v>
      </c>
      <c r="G161" s="36">
        <v>597</v>
      </c>
      <c r="H161" s="36">
        <f>'SalesData 2'!$F161-'SalesData 2'!$G161</f>
        <v>-5.9099999999999682</v>
      </c>
    </row>
    <row r="162" spans="1:8" ht="14.4" x14ac:dyDescent="0.25">
      <c r="A162" s="40">
        <v>41463</v>
      </c>
      <c r="B162" s="25" t="s">
        <v>6</v>
      </c>
      <c r="C162" s="9" t="s">
        <v>80</v>
      </c>
      <c r="D162" s="25" t="s">
        <v>118</v>
      </c>
      <c r="E162" s="25" t="s">
        <v>129</v>
      </c>
      <c r="F162" s="26">
        <v>826.12</v>
      </c>
      <c r="G162" s="35">
        <v>793.08</v>
      </c>
      <c r="H162" s="35">
        <f>'SalesData 2'!$F162-'SalesData 2'!$G162</f>
        <v>33.039999999999964</v>
      </c>
    </row>
    <row r="163" spans="1:8" ht="14.4" x14ac:dyDescent="0.25">
      <c r="A163" s="41">
        <v>41467</v>
      </c>
      <c r="B163" s="29" t="s">
        <v>5</v>
      </c>
      <c r="C163" s="14" t="s">
        <v>102</v>
      </c>
      <c r="D163" s="29" t="s">
        <v>118</v>
      </c>
      <c r="E163" s="29" t="s">
        <v>128</v>
      </c>
      <c r="F163" s="30">
        <v>787.38</v>
      </c>
      <c r="G163" s="36">
        <v>803.13</v>
      </c>
      <c r="H163" s="36">
        <f>'SalesData 2'!$F163-'SalesData 2'!$G163</f>
        <v>-15.75</v>
      </c>
    </row>
    <row r="164" spans="1:8" ht="14.4" x14ac:dyDescent="0.25">
      <c r="A164" s="40">
        <v>41467</v>
      </c>
      <c r="B164" s="25" t="s">
        <v>36</v>
      </c>
      <c r="C164" s="9" t="s">
        <v>59</v>
      </c>
      <c r="D164" s="25" t="s">
        <v>121</v>
      </c>
      <c r="E164" s="25" t="s">
        <v>130</v>
      </c>
      <c r="F164" s="26">
        <v>883.26</v>
      </c>
      <c r="G164" s="35">
        <v>839.1</v>
      </c>
      <c r="H164" s="35">
        <f>'SalesData 2'!$F164-'SalesData 2'!$G164</f>
        <v>44.159999999999968</v>
      </c>
    </row>
    <row r="165" spans="1:8" ht="14.4" x14ac:dyDescent="0.25">
      <c r="A165" s="41">
        <v>41469</v>
      </c>
      <c r="B165" s="29" t="s">
        <v>41</v>
      </c>
      <c r="C165" s="14" t="s">
        <v>68</v>
      </c>
      <c r="D165" s="29" t="s">
        <v>122</v>
      </c>
      <c r="E165" s="29" t="s">
        <v>128</v>
      </c>
      <c r="F165" s="30">
        <v>977.69</v>
      </c>
      <c r="G165" s="36">
        <v>987.47</v>
      </c>
      <c r="H165" s="36">
        <f>'SalesData 2'!$F165-'SalesData 2'!$G165</f>
        <v>-9.7799999999999727</v>
      </c>
    </row>
    <row r="166" spans="1:8" ht="14.4" x14ac:dyDescent="0.25">
      <c r="A166" s="40">
        <v>41470</v>
      </c>
      <c r="B166" s="25" t="s">
        <v>17</v>
      </c>
      <c r="C166" s="9" t="s">
        <v>74</v>
      </c>
      <c r="D166" s="25" t="s">
        <v>119</v>
      </c>
      <c r="E166" s="25" t="s">
        <v>130</v>
      </c>
      <c r="F166" s="26">
        <v>453.66</v>
      </c>
      <c r="G166" s="35">
        <v>408.29</v>
      </c>
      <c r="H166" s="35">
        <f>'SalesData 2'!$F166-'SalesData 2'!$G166</f>
        <v>45.370000000000005</v>
      </c>
    </row>
    <row r="167" spans="1:8" ht="14.4" x14ac:dyDescent="0.25">
      <c r="A167" s="41">
        <v>41473</v>
      </c>
      <c r="B167" s="29" t="s">
        <v>48</v>
      </c>
      <c r="C167" s="14" t="s">
        <v>71</v>
      </c>
      <c r="D167" s="29" t="s">
        <v>122</v>
      </c>
      <c r="E167" s="29" t="s">
        <v>130</v>
      </c>
      <c r="F167" s="30">
        <v>303.31</v>
      </c>
      <c r="G167" s="36">
        <v>300.28000000000003</v>
      </c>
      <c r="H167" s="36">
        <f>'SalesData 2'!$F167-'SalesData 2'!$G167</f>
        <v>3.0299999999999727</v>
      </c>
    </row>
    <row r="168" spans="1:8" ht="14.4" x14ac:dyDescent="0.25">
      <c r="A168" s="40">
        <v>41473</v>
      </c>
      <c r="B168" s="25" t="s">
        <v>30</v>
      </c>
      <c r="C168" s="9" t="s">
        <v>88</v>
      </c>
      <c r="D168" s="25" t="s">
        <v>120</v>
      </c>
      <c r="E168" s="25" t="s">
        <v>130</v>
      </c>
      <c r="F168" s="26">
        <v>593.16999999999996</v>
      </c>
      <c r="G168" s="35">
        <v>634.68999999999994</v>
      </c>
      <c r="H168" s="35">
        <f>'SalesData 2'!$F168-'SalesData 2'!$G168</f>
        <v>-41.519999999999982</v>
      </c>
    </row>
    <row r="169" spans="1:8" ht="14.4" x14ac:dyDescent="0.25">
      <c r="A169" s="41">
        <v>41476</v>
      </c>
      <c r="B169" s="29" t="s">
        <v>50</v>
      </c>
      <c r="C169" s="14" t="s">
        <v>92</v>
      </c>
      <c r="D169" s="29" t="s">
        <v>122</v>
      </c>
      <c r="E169" s="29" t="s">
        <v>130</v>
      </c>
      <c r="F169" s="30">
        <v>238.65</v>
      </c>
      <c r="G169" s="36">
        <v>236.26000000000002</v>
      </c>
      <c r="H169" s="36">
        <f>'SalesData 2'!$F169-'SalesData 2'!$G169</f>
        <v>2.3899999999999864</v>
      </c>
    </row>
    <row r="170" spans="1:8" ht="14.4" x14ac:dyDescent="0.25">
      <c r="A170" s="40">
        <v>41479</v>
      </c>
      <c r="B170" s="25" t="s">
        <v>48</v>
      </c>
      <c r="C170" s="9" t="s">
        <v>55</v>
      </c>
      <c r="D170" s="25" t="s">
        <v>122</v>
      </c>
      <c r="E170" s="25" t="s">
        <v>128</v>
      </c>
      <c r="F170" s="26">
        <v>458.22</v>
      </c>
      <c r="G170" s="35">
        <v>490.3</v>
      </c>
      <c r="H170" s="35">
        <f>'SalesData 2'!$F170-'SalesData 2'!$G170</f>
        <v>-32.079999999999984</v>
      </c>
    </row>
    <row r="171" spans="1:8" ht="14.4" x14ac:dyDescent="0.25">
      <c r="A171" s="41">
        <v>41481</v>
      </c>
      <c r="B171" s="29" t="s">
        <v>20</v>
      </c>
      <c r="C171" s="14" t="s">
        <v>112</v>
      </c>
      <c r="D171" s="29" t="s">
        <v>119</v>
      </c>
      <c r="E171" s="29" t="s">
        <v>129</v>
      </c>
      <c r="F171" s="30">
        <v>85.19</v>
      </c>
      <c r="G171" s="36">
        <v>87.75</v>
      </c>
      <c r="H171" s="36">
        <f>'SalesData 2'!$F171-'SalesData 2'!$G171</f>
        <v>-2.5600000000000023</v>
      </c>
    </row>
    <row r="172" spans="1:8" ht="14.4" x14ac:dyDescent="0.25">
      <c r="A172" s="40">
        <v>41483</v>
      </c>
      <c r="B172" s="25" t="s">
        <v>32</v>
      </c>
      <c r="C172" s="9" t="s">
        <v>126</v>
      </c>
      <c r="D172" s="25" t="s">
        <v>120</v>
      </c>
      <c r="E172" s="25" t="s">
        <v>130</v>
      </c>
      <c r="F172" s="26">
        <v>737.15</v>
      </c>
      <c r="G172" s="35">
        <v>685.55</v>
      </c>
      <c r="H172" s="35">
        <f>'SalesData 2'!$F172-'SalesData 2'!$G172</f>
        <v>51.600000000000023</v>
      </c>
    </row>
    <row r="173" spans="1:8" ht="14.4" x14ac:dyDescent="0.25">
      <c r="A173" s="41">
        <v>41488</v>
      </c>
      <c r="B173" s="29" t="s">
        <v>6</v>
      </c>
      <c r="C173" s="14" t="s">
        <v>80</v>
      </c>
      <c r="D173" s="29" t="s">
        <v>118</v>
      </c>
      <c r="E173" s="29" t="s">
        <v>130</v>
      </c>
      <c r="F173" s="30">
        <v>799.11</v>
      </c>
      <c r="G173" s="36">
        <v>847.06000000000006</v>
      </c>
      <c r="H173" s="36">
        <f>'SalesData 2'!$F173-'SalesData 2'!$G173</f>
        <v>-47.950000000000045</v>
      </c>
    </row>
    <row r="174" spans="1:8" ht="14.4" x14ac:dyDescent="0.25">
      <c r="A174" s="40">
        <v>41491</v>
      </c>
      <c r="B174" s="25" t="s">
        <v>27</v>
      </c>
      <c r="C174" s="9" t="s">
        <v>110</v>
      </c>
      <c r="D174" s="25" t="s">
        <v>120</v>
      </c>
      <c r="E174" s="25" t="s">
        <v>129</v>
      </c>
      <c r="F174" s="26">
        <v>928.29</v>
      </c>
      <c r="G174" s="35">
        <v>881.88</v>
      </c>
      <c r="H174" s="35">
        <f>'SalesData 2'!$F174-'SalesData 2'!$G174</f>
        <v>46.409999999999968</v>
      </c>
    </row>
    <row r="175" spans="1:8" ht="14.4" x14ac:dyDescent="0.25">
      <c r="A175" s="41">
        <v>41492</v>
      </c>
      <c r="B175" s="29" t="s">
        <v>35</v>
      </c>
      <c r="C175" s="14" t="s">
        <v>97</v>
      </c>
      <c r="D175" s="29" t="s">
        <v>121</v>
      </c>
      <c r="E175" s="29" t="s">
        <v>128</v>
      </c>
      <c r="F175" s="30">
        <v>953.13</v>
      </c>
      <c r="G175" s="36">
        <v>991.26</v>
      </c>
      <c r="H175" s="36">
        <f>'SalesData 2'!$F175-'SalesData 2'!$G175</f>
        <v>-38.129999999999995</v>
      </c>
    </row>
    <row r="176" spans="1:8" ht="14.4" x14ac:dyDescent="0.25">
      <c r="A176" s="40">
        <v>41493</v>
      </c>
      <c r="B176" s="25" t="s">
        <v>1</v>
      </c>
      <c r="C176" s="9" t="s">
        <v>1</v>
      </c>
      <c r="D176" s="25" t="s">
        <v>118</v>
      </c>
      <c r="E176" s="25" t="s">
        <v>128</v>
      </c>
      <c r="F176" s="26">
        <v>782.06</v>
      </c>
      <c r="G176" s="35">
        <v>797.69999999999993</v>
      </c>
      <c r="H176" s="35">
        <f>'SalesData 2'!$F176-'SalesData 2'!$G176</f>
        <v>-15.639999999999986</v>
      </c>
    </row>
    <row r="177" spans="1:8" ht="14.4" x14ac:dyDescent="0.25">
      <c r="A177" s="41">
        <v>41493</v>
      </c>
      <c r="B177" s="29" t="s">
        <v>45</v>
      </c>
      <c r="C177" s="14" t="s">
        <v>101</v>
      </c>
      <c r="D177" s="29" t="s">
        <v>122</v>
      </c>
      <c r="E177" s="29" t="s">
        <v>130</v>
      </c>
      <c r="F177" s="30">
        <v>97.9</v>
      </c>
      <c r="G177" s="36">
        <v>103.77000000000001</v>
      </c>
      <c r="H177" s="36">
        <f>'SalesData 2'!$F177-'SalesData 2'!$G177</f>
        <v>-5.8700000000000045</v>
      </c>
    </row>
    <row r="178" spans="1:8" ht="14.4" x14ac:dyDescent="0.25">
      <c r="A178" s="40">
        <v>41493</v>
      </c>
      <c r="B178" s="25" t="s">
        <v>12</v>
      </c>
      <c r="C178" s="9" t="s">
        <v>89</v>
      </c>
      <c r="D178" s="25" t="s">
        <v>118</v>
      </c>
      <c r="E178" s="25" t="s">
        <v>130</v>
      </c>
      <c r="F178" s="26">
        <v>443.6</v>
      </c>
      <c r="G178" s="35">
        <v>470.22</v>
      </c>
      <c r="H178" s="35">
        <f>'SalesData 2'!$F178-'SalesData 2'!$G178</f>
        <v>-26.620000000000005</v>
      </c>
    </row>
    <row r="179" spans="1:8" ht="14.4" x14ac:dyDescent="0.25">
      <c r="A179" s="41">
        <v>41494</v>
      </c>
      <c r="B179" s="29" t="s">
        <v>48</v>
      </c>
      <c r="C179" s="14" t="s">
        <v>82</v>
      </c>
      <c r="D179" s="29" t="s">
        <v>122</v>
      </c>
      <c r="E179" s="29" t="s">
        <v>130</v>
      </c>
      <c r="F179" s="30">
        <v>936.65</v>
      </c>
      <c r="G179" s="36">
        <v>992.85</v>
      </c>
      <c r="H179" s="36">
        <f>'SalesData 2'!$F179-'SalesData 2'!$G179</f>
        <v>-56.200000000000045</v>
      </c>
    </row>
    <row r="180" spans="1:8" ht="14.4" x14ac:dyDescent="0.25">
      <c r="A180" s="40">
        <v>41494</v>
      </c>
      <c r="B180" s="25" t="s">
        <v>11</v>
      </c>
      <c r="C180" s="9" t="s">
        <v>91</v>
      </c>
      <c r="D180" s="25" t="s">
        <v>118</v>
      </c>
      <c r="E180" s="25" t="s">
        <v>128</v>
      </c>
      <c r="F180" s="26">
        <v>320.89999999999998</v>
      </c>
      <c r="G180" s="35">
        <v>340.15</v>
      </c>
      <c r="H180" s="35">
        <f>'SalesData 2'!$F180-'SalesData 2'!$G180</f>
        <v>-19.25</v>
      </c>
    </row>
    <row r="181" spans="1:8" ht="14.4" x14ac:dyDescent="0.25">
      <c r="A181" s="41">
        <v>41495</v>
      </c>
      <c r="B181" s="29" t="s">
        <v>49</v>
      </c>
      <c r="C181" s="14" t="s">
        <v>72</v>
      </c>
      <c r="D181" s="29" t="s">
        <v>122</v>
      </c>
      <c r="E181" s="29" t="s">
        <v>128</v>
      </c>
      <c r="F181" s="30">
        <v>276.04000000000002</v>
      </c>
      <c r="G181" s="36">
        <v>251.20000000000002</v>
      </c>
      <c r="H181" s="36">
        <f>'SalesData 2'!$F181-'SalesData 2'!$G181</f>
        <v>24.840000000000003</v>
      </c>
    </row>
    <row r="182" spans="1:8" ht="14.4" x14ac:dyDescent="0.25">
      <c r="A182" s="40">
        <v>41495</v>
      </c>
      <c r="B182" s="25" t="s">
        <v>36</v>
      </c>
      <c r="C182" s="9" t="s">
        <v>58</v>
      </c>
      <c r="D182" s="25" t="s">
        <v>121</v>
      </c>
      <c r="E182" s="25" t="s">
        <v>128</v>
      </c>
      <c r="F182" s="26">
        <v>539.01</v>
      </c>
      <c r="G182" s="35">
        <v>582.13</v>
      </c>
      <c r="H182" s="35">
        <f>'SalesData 2'!$F182-'SalesData 2'!$G182</f>
        <v>-43.120000000000005</v>
      </c>
    </row>
    <row r="183" spans="1:8" ht="14.4" x14ac:dyDescent="0.25">
      <c r="A183" s="41">
        <v>41497</v>
      </c>
      <c r="B183" s="29" t="s">
        <v>40</v>
      </c>
      <c r="C183" s="14" t="s">
        <v>65</v>
      </c>
      <c r="D183" s="29" t="s">
        <v>122</v>
      </c>
      <c r="E183" s="29" t="s">
        <v>128</v>
      </c>
      <c r="F183" s="30">
        <v>660.79</v>
      </c>
      <c r="G183" s="36">
        <v>687.21999999999991</v>
      </c>
      <c r="H183" s="36">
        <f>'SalesData 2'!$F183-'SalesData 2'!$G183</f>
        <v>-26.42999999999995</v>
      </c>
    </row>
    <row r="184" spans="1:8" ht="14.4" x14ac:dyDescent="0.25">
      <c r="A184" s="40">
        <v>41497</v>
      </c>
      <c r="B184" s="25" t="s">
        <v>37</v>
      </c>
      <c r="C184" s="9" t="s">
        <v>87</v>
      </c>
      <c r="D184" s="25" t="s">
        <v>121</v>
      </c>
      <c r="E184" s="25" t="s">
        <v>130</v>
      </c>
      <c r="F184" s="26">
        <v>699.75</v>
      </c>
      <c r="G184" s="35">
        <v>720.74</v>
      </c>
      <c r="H184" s="35">
        <f>'SalesData 2'!$F184-'SalesData 2'!$G184</f>
        <v>-20.990000000000009</v>
      </c>
    </row>
    <row r="185" spans="1:8" ht="14.4" x14ac:dyDescent="0.25">
      <c r="A185" s="41">
        <v>41499</v>
      </c>
      <c r="B185" s="29" t="s">
        <v>25</v>
      </c>
      <c r="C185" s="14" t="s">
        <v>94</v>
      </c>
      <c r="D185" s="29" t="s">
        <v>119</v>
      </c>
      <c r="E185" s="29" t="s">
        <v>129</v>
      </c>
      <c r="F185" s="30">
        <v>105.81</v>
      </c>
      <c r="G185" s="36">
        <v>102.64</v>
      </c>
      <c r="H185" s="36">
        <f>'SalesData 2'!$F185-'SalesData 2'!$G185</f>
        <v>3.1700000000000017</v>
      </c>
    </row>
    <row r="186" spans="1:8" ht="14.4" x14ac:dyDescent="0.25">
      <c r="A186" s="40">
        <v>41499</v>
      </c>
      <c r="B186" s="25" t="s">
        <v>31</v>
      </c>
      <c r="C186" s="9" t="s">
        <v>85</v>
      </c>
      <c r="D186" s="25" t="s">
        <v>120</v>
      </c>
      <c r="E186" s="25" t="s">
        <v>130</v>
      </c>
      <c r="F186" s="26">
        <v>701.35</v>
      </c>
      <c r="G186" s="35">
        <v>645.24</v>
      </c>
      <c r="H186" s="35">
        <f>'SalesData 2'!$F186-'SalesData 2'!$G186</f>
        <v>56.110000000000014</v>
      </c>
    </row>
    <row r="187" spans="1:8" ht="14.4" x14ac:dyDescent="0.25">
      <c r="A187" s="41">
        <v>41500</v>
      </c>
      <c r="B187" s="29" t="s">
        <v>37</v>
      </c>
      <c r="C187" s="14" t="s">
        <v>87</v>
      </c>
      <c r="D187" s="29" t="s">
        <v>121</v>
      </c>
      <c r="E187" s="29" t="s">
        <v>128</v>
      </c>
      <c r="F187" s="30">
        <v>480.82</v>
      </c>
      <c r="G187" s="36">
        <v>471.2</v>
      </c>
      <c r="H187" s="36">
        <f>'SalesData 2'!$F187-'SalesData 2'!$G187</f>
        <v>9.6200000000000045</v>
      </c>
    </row>
    <row r="188" spans="1:8" ht="14.4" x14ac:dyDescent="0.25">
      <c r="A188" s="40">
        <v>41503</v>
      </c>
      <c r="B188" s="25" t="s">
        <v>29</v>
      </c>
      <c r="C188" s="9" t="s">
        <v>98</v>
      </c>
      <c r="D188" s="25" t="s">
        <v>120</v>
      </c>
      <c r="E188" s="25" t="s">
        <v>130</v>
      </c>
      <c r="F188" s="26">
        <v>241.48</v>
      </c>
      <c r="G188" s="35">
        <v>246.31</v>
      </c>
      <c r="H188" s="35">
        <f>'SalesData 2'!$F188-'SalesData 2'!$G188</f>
        <v>-4.8300000000000125</v>
      </c>
    </row>
    <row r="189" spans="1:8" ht="14.4" x14ac:dyDescent="0.25">
      <c r="A189" s="41">
        <v>41504</v>
      </c>
      <c r="B189" s="29" t="s">
        <v>22</v>
      </c>
      <c r="C189" s="14" t="s">
        <v>78</v>
      </c>
      <c r="D189" s="29" t="s">
        <v>119</v>
      </c>
      <c r="E189" s="29" t="s">
        <v>130</v>
      </c>
      <c r="F189" s="30">
        <v>112.3</v>
      </c>
      <c r="G189" s="36">
        <v>107.81</v>
      </c>
      <c r="H189" s="36">
        <f>'SalesData 2'!$F189-'SalesData 2'!$G189</f>
        <v>4.4899999999999949</v>
      </c>
    </row>
    <row r="190" spans="1:8" ht="14.4" x14ac:dyDescent="0.25">
      <c r="A190" s="40">
        <v>41506</v>
      </c>
      <c r="B190" s="25" t="s">
        <v>17</v>
      </c>
      <c r="C190" s="9" t="s">
        <v>74</v>
      </c>
      <c r="D190" s="25" t="s">
        <v>119</v>
      </c>
      <c r="E190" s="25" t="s">
        <v>130</v>
      </c>
      <c r="F190" s="26">
        <v>216.35</v>
      </c>
      <c r="G190" s="35">
        <v>214.19</v>
      </c>
      <c r="H190" s="35">
        <f>'SalesData 2'!$F190-'SalesData 2'!$G190</f>
        <v>2.1599999999999966</v>
      </c>
    </row>
    <row r="191" spans="1:8" ht="14.4" x14ac:dyDescent="0.25">
      <c r="A191" s="41">
        <v>41507</v>
      </c>
      <c r="B191" s="29" t="s">
        <v>44</v>
      </c>
      <c r="C191" s="14" t="s">
        <v>104</v>
      </c>
      <c r="D191" s="29" t="s">
        <v>122</v>
      </c>
      <c r="E191" s="29" t="s">
        <v>130</v>
      </c>
      <c r="F191" s="30">
        <v>78.12</v>
      </c>
      <c r="G191" s="36">
        <v>83.59</v>
      </c>
      <c r="H191" s="36">
        <f>'SalesData 2'!$F191-'SalesData 2'!$G191</f>
        <v>-5.4699999999999989</v>
      </c>
    </row>
    <row r="192" spans="1:8" ht="14.4" x14ac:dyDescent="0.25">
      <c r="A192" s="40">
        <v>41507</v>
      </c>
      <c r="B192" s="25" t="s">
        <v>49</v>
      </c>
      <c r="C192" s="9" t="s">
        <v>72</v>
      </c>
      <c r="D192" s="25" t="s">
        <v>122</v>
      </c>
      <c r="E192" s="25" t="s">
        <v>129</v>
      </c>
      <c r="F192" s="26">
        <v>218.25</v>
      </c>
      <c r="G192" s="35">
        <v>229.16</v>
      </c>
      <c r="H192" s="35">
        <f>'SalesData 2'!$F192-'SalesData 2'!$G192</f>
        <v>-10.909999999999997</v>
      </c>
    </row>
    <row r="193" spans="1:8" ht="14.4" x14ac:dyDescent="0.25">
      <c r="A193" s="41">
        <v>41507</v>
      </c>
      <c r="B193" s="29" t="s">
        <v>36</v>
      </c>
      <c r="C193" s="14" t="s">
        <v>90</v>
      </c>
      <c r="D193" s="29" t="s">
        <v>121</v>
      </c>
      <c r="E193" s="29" t="s">
        <v>129</v>
      </c>
      <c r="F193" s="30">
        <v>544.34</v>
      </c>
      <c r="G193" s="36">
        <v>489.91</v>
      </c>
      <c r="H193" s="36">
        <f>'SalesData 2'!$F193-'SalesData 2'!$G193</f>
        <v>54.430000000000007</v>
      </c>
    </row>
    <row r="194" spans="1:8" ht="14.4" x14ac:dyDescent="0.25">
      <c r="A194" s="40">
        <v>41507</v>
      </c>
      <c r="B194" s="25" t="s">
        <v>15</v>
      </c>
      <c r="C194" s="9" t="s">
        <v>60</v>
      </c>
      <c r="D194" s="25" t="s">
        <v>118</v>
      </c>
      <c r="E194" s="25" t="s">
        <v>130</v>
      </c>
      <c r="F194" s="26">
        <v>353.92</v>
      </c>
      <c r="G194" s="35">
        <v>378.69</v>
      </c>
      <c r="H194" s="35">
        <f>'SalesData 2'!$F194-'SalesData 2'!$G194</f>
        <v>-24.769999999999982</v>
      </c>
    </row>
    <row r="195" spans="1:8" ht="14.4" x14ac:dyDescent="0.25">
      <c r="A195" s="41">
        <v>41509</v>
      </c>
      <c r="B195" s="29" t="s">
        <v>35</v>
      </c>
      <c r="C195" s="14" t="s">
        <v>97</v>
      </c>
      <c r="D195" s="29" t="s">
        <v>121</v>
      </c>
      <c r="E195" s="29" t="s">
        <v>130</v>
      </c>
      <c r="F195" s="30">
        <v>659.86</v>
      </c>
      <c r="G195" s="36">
        <v>666.46</v>
      </c>
      <c r="H195" s="36">
        <f>'SalesData 2'!$F195-'SalesData 2'!$G195</f>
        <v>-6.6000000000000227</v>
      </c>
    </row>
    <row r="196" spans="1:8" ht="14.4" x14ac:dyDescent="0.25">
      <c r="A196" s="40">
        <v>41509</v>
      </c>
      <c r="B196" s="25" t="s">
        <v>30</v>
      </c>
      <c r="C196" s="9" t="s">
        <v>88</v>
      </c>
      <c r="D196" s="25" t="s">
        <v>120</v>
      </c>
      <c r="E196" s="25" t="s">
        <v>128</v>
      </c>
      <c r="F196" s="26">
        <v>126.44</v>
      </c>
      <c r="G196" s="35">
        <v>121.38</v>
      </c>
      <c r="H196" s="35">
        <f>'SalesData 2'!$F196-'SalesData 2'!$G196</f>
        <v>5.0600000000000023</v>
      </c>
    </row>
    <row r="197" spans="1:8" ht="14.4" x14ac:dyDescent="0.25">
      <c r="A197" s="41">
        <v>41510</v>
      </c>
      <c r="B197" s="29" t="s">
        <v>23</v>
      </c>
      <c r="C197" s="14" t="s">
        <v>109</v>
      </c>
      <c r="D197" s="29" t="s">
        <v>119</v>
      </c>
      <c r="E197" s="29" t="s">
        <v>129</v>
      </c>
      <c r="F197" s="30">
        <v>736.28</v>
      </c>
      <c r="G197" s="36">
        <v>706.82999999999993</v>
      </c>
      <c r="H197" s="36">
        <f>'SalesData 2'!$F197-'SalesData 2'!$G197</f>
        <v>29.450000000000045</v>
      </c>
    </row>
    <row r="198" spans="1:8" ht="14.4" x14ac:dyDescent="0.25">
      <c r="A198" s="40">
        <v>41511</v>
      </c>
      <c r="B198" s="25" t="s">
        <v>22</v>
      </c>
      <c r="C198" s="9" t="s">
        <v>76</v>
      </c>
      <c r="D198" s="25" t="s">
        <v>119</v>
      </c>
      <c r="E198" s="25" t="s">
        <v>130</v>
      </c>
      <c r="F198" s="26">
        <v>358.47</v>
      </c>
      <c r="G198" s="35">
        <v>347.72</v>
      </c>
      <c r="H198" s="35">
        <f>'SalesData 2'!$F198-'SalesData 2'!$G198</f>
        <v>10.75</v>
      </c>
    </row>
    <row r="199" spans="1:8" ht="14.4" x14ac:dyDescent="0.25">
      <c r="A199" s="41">
        <v>41512</v>
      </c>
      <c r="B199" s="29" t="s">
        <v>22</v>
      </c>
      <c r="C199" s="14" t="s">
        <v>77</v>
      </c>
      <c r="D199" s="29" t="s">
        <v>119</v>
      </c>
      <c r="E199" s="29" t="s">
        <v>129</v>
      </c>
      <c r="F199" s="30">
        <v>895.59</v>
      </c>
      <c r="G199" s="36">
        <v>814.99</v>
      </c>
      <c r="H199" s="36">
        <f>'SalesData 2'!$F199-'SalesData 2'!$G199</f>
        <v>80.600000000000023</v>
      </c>
    </row>
    <row r="200" spans="1:8" ht="14.4" x14ac:dyDescent="0.25">
      <c r="A200" s="40">
        <v>41512</v>
      </c>
      <c r="B200" s="25" t="s">
        <v>22</v>
      </c>
      <c r="C200" s="9" t="s">
        <v>76</v>
      </c>
      <c r="D200" s="25" t="s">
        <v>119</v>
      </c>
      <c r="E200" s="25" t="s">
        <v>129</v>
      </c>
      <c r="F200" s="26">
        <v>930.49</v>
      </c>
      <c r="G200" s="35">
        <v>958.4</v>
      </c>
      <c r="H200" s="35">
        <f>'SalesData 2'!$F200-'SalesData 2'!$G200</f>
        <v>-27.909999999999968</v>
      </c>
    </row>
    <row r="201" spans="1:8" ht="14.4" x14ac:dyDescent="0.25">
      <c r="A201" s="41">
        <v>41518</v>
      </c>
      <c r="B201" s="29" t="s">
        <v>48</v>
      </c>
      <c r="C201" s="14" t="s">
        <v>71</v>
      </c>
      <c r="D201" s="29" t="s">
        <v>122</v>
      </c>
      <c r="E201" s="29" t="s">
        <v>130</v>
      </c>
      <c r="F201" s="30">
        <v>368</v>
      </c>
      <c r="G201" s="36">
        <v>390.08</v>
      </c>
      <c r="H201" s="36">
        <f>'SalesData 2'!$F201-'SalesData 2'!$G201</f>
        <v>-22.079999999999984</v>
      </c>
    </row>
    <row r="202" spans="1:8" ht="14.4" x14ac:dyDescent="0.25">
      <c r="A202" s="40">
        <v>41519</v>
      </c>
      <c r="B202" s="25" t="s">
        <v>41</v>
      </c>
      <c r="C202" s="9" t="s">
        <v>67</v>
      </c>
      <c r="D202" s="25" t="s">
        <v>122</v>
      </c>
      <c r="E202" s="25" t="s">
        <v>130</v>
      </c>
      <c r="F202" s="26">
        <v>142.12</v>
      </c>
      <c r="G202" s="35">
        <v>142.12</v>
      </c>
      <c r="H202" s="35">
        <f>'SalesData 2'!$F202-'SalesData 2'!$G202</f>
        <v>0</v>
      </c>
    </row>
    <row r="203" spans="1:8" ht="14.4" x14ac:dyDescent="0.25">
      <c r="A203" s="41">
        <v>41520</v>
      </c>
      <c r="B203" s="29" t="s">
        <v>18</v>
      </c>
      <c r="C203" s="14" t="s">
        <v>63</v>
      </c>
      <c r="D203" s="29" t="s">
        <v>119</v>
      </c>
      <c r="E203" s="29" t="s">
        <v>130</v>
      </c>
      <c r="F203" s="30">
        <v>609.53</v>
      </c>
      <c r="G203" s="36">
        <v>566.86</v>
      </c>
      <c r="H203" s="36">
        <f>'SalesData 2'!$F203-'SalesData 2'!$G203</f>
        <v>42.669999999999959</v>
      </c>
    </row>
    <row r="204" spans="1:8" ht="14.4" x14ac:dyDescent="0.25">
      <c r="A204" s="40">
        <v>41521</v>
      </c>
      <c r="B204" s="25" t="s">
        <v>38</v>
      </c>
      <c r="C204" s="9" t="s">
        <v>62</v>
      </c>
      <c r="D204" s="25" t="s">
        <v>122</v>
      </c>
      <c r="E204" s="25" t="s">
        <v>130</v>
      </c>
      <c r="F204" s="26">
        <v>739.48</v>
      </c>
      <c r="G204" s="35">
        <v>746.87</v>
      </c>
      <c r="H204" s="35">
        <f>'SalesData 2'!$F204-'SalesData 2'!$G204</f>
        <v>-7.3899999999999864</v>
      </c>
    </row>
    <row r="205" spans="1:8" ht="14.4" x14ac:dyDescent="0.25">
      <c r="A205" s="41">
        <v>41521</v>
      </c>
      <c r="B205" s="29" t="s">
        <v>34</v>
      </c>
      <c r="C205" s="14" t="s">
        <v>105</v>
      </c>
      <c r="D205" s="29" t="s">
        <v>121</v>
      </c>
      <c r="E205" s="29" t="s">
        <v>129</v>
      </c>
      <c r="F205" s="30">
        <v>517.80999999999995</v>
      </c>
      <c r="G205" s="36">
        <v>476.38999999999993</v>
      </c>
      <c r="H205" s="36">
        <f>'SalesData 2'!$F205-'SalesData 2'!$G205</f>
        <v>41.420000000000016</v>
      </c>
    </row>
    <row r="206" spans="1:8" ht="14.4" x14ac:dyDescent="0.25">
      <c r="A206" s="40">
        <v>41522</v>
      </c>
      <c r="B206" s="25" t="s">
        <v>26</v>
      </c>
      <c r="C206" s="9" t="s">
        <v>117</v>
      </c>
      <c r="D206" s="25" t="s">
        <v>120</v>
      </c>
      <c r="E206" s="25" t="s">
        <v>129</v>
      </c>
      <c r="F206" s="45">
        <v>723.41</v>
      </c>
      <c r="G206" s="35">
        <v>687.24</v>
      </c>
      <c r="H206" s="35">
        <f>'SalesData 2'!$F206-'SalesData 2'!$G206</f>
        <v>36.169999999999959</v>
      </c>
    </row>
    <row r="207" spans="1:8" ht="14.4" x14ac:dyDescent="0.25">
      <c r="A207" s="41">
        <v>41523</v>
      </c>
      <c r="B207" s="29" t="s">
        <v>40</v>
      </c>
      <c r="C207" s="14" t="s">
        <v>111</v>
      </c>
      <c r="D207" s="29" t="s">
        <v>122</v>
      </c>
      <c r="E207" s="29" t="s">
        <v>129</v>
      </c>
      <c r="F207" s="30">
        <v>229.43</v>
      </c>
      <c r="G207" s="36">
        <v>247.78</v>
      </c>
      <c r="H207" s="36">
        <f>'SalesData 2'!$F207-'SalesData 2'!$G207</f>
        <v>-18.349999999999994</v>
      </c>
    </row>
    <row r="208" spans="1:8" ht="14.4" x14ac:dyDescent="0.25">
      <c r="A208" s="40">
        <v>41523</v>
      </c>
      <c r="B208" s="25" t="s">
        <v>7</v>
      </c>
      <c r="C208" s="9" t="s">
        <v>99</v>
      </c>
      <c r="D208" s="25" t="s">
        <v>118</v>
      </c>
      <c r="E208" s="25" t="s">
        <v>129</v>
      </c>
      <c r="F208" s="26">
        <v>512.94000000000005</v>
      </c>
      <c r="G208" s="35">
        <v>487.29000000000008</v>
      </c>
      <c r="H208" s="35">
        <f>'SalesData 2'!$F208-'SalesData 2'!$G208</f>
        <v>25.649999999999977</v>
      </c>
    </row>
    <row r="209" spans="1:8" ht="14.4" x14ac:dyDescent="0.25">
      <c r="A209" s="41">
        <v>41523</v>
      </c>
      <c r="B209" s="29" t="s">
        <v>47</v>
      </c>
      <c r="C209" s="14" t="s">
        <v>96</v>
      </c>
      <c r="D209" s="29" t="s">
        <v>122</v>
      </c>
      <c r="E209" s="29" t="s">
        <v>130</v>
      </c>
      <c r="F209" s="30">
        <v>665.2</v>
      </c>
      <c r="G209" s="36">
        <v>711.76</v>
      </c>
      <c r="H209" s="36">
        <f>'SalesData 2'!$F209-'SalesData 2'!$G209</f>
        <v>-46.559999999999945</v>
      </c>
    </row>
    <row r="210" spans="1:8" ht="14.4" x14ac:dyDescent="0.25">
      <c r="A210" s="40">
        <v>41527</v>
      </c>
      <c r="B210" s="25" t="s">
        <v>24</v>
      </c>
      <c r="C210" s="9" t="s">
        <v>107</v>
      </c>
      <c r="D210" s="25" t="s">
        <v>119</v>
      </c>
      <c r="E210" s="25" t="s">
        <v>129</v>
      </c>
      <c r="F210" s="26">
        <v>950.34</v>
      </c>
      <c r="G210" s="35">
        <v>1016.86</v>
      </c>
      <c r="H210" s="35">
        <f>'SalesData 2'!$F210-'SalesData 2'!$G210</f>
        <v>-66.519999999999982</v>
      </c>
    </row>
    <row r="211" spans="1:8" ht="14.4" x14ac:dyDescent="0.25">
      <c r="A211" s="41">
        <v>41527</v>
      </c>
      <c r="B211" s="29" t="s">
        <v>46</v>
      </c>
      <c r="C211" s="14" t="s">
        <v>100</v>
      </c>
      <c r="D211" s="29" t="s">
        <v>122</v>
      </c>
      <c r="E211" s="29" t="s">
        <v>129</v>
      </c>
      <c r="F211" s="30">
        <v>573.76</v>
      </c>
      <c r="G211" s="36">
        <v>608.18999999999994</v>
      </c>
      <c r="H211" s="36">
        <f>'SalesData 2'!$F211-'SalesData 2'!$G211</f>
        <v>-34.42999999999995</v>
      </c>
    </row>
    <row r="212" spans="1:8" ht="14.4" x14ac:dyDescent="0.25">
      <c r="A212" s="40">
        <v>41529</v>
      </c>
      <c r="B212" s="25" t="s">
        <v>40</v>
      </c>
      <c r="C212" s="9" t="s">
        <v>111</v>
      </c>
      <c r="D212" s="25" t="s">
        <v>122</v>
      </c>
      <c r="E212" s="25" t="s">
        <v>128</v>
      </c>
      <c r="F212" s="26">
        <v>801</v>
      </c>
      <c r="G212" s="35">
        <v>841.05</v>
      </c>
      <c r="H212" s="35">
        <f>'SalesData 2'!$F212-'SalesData 2'!$G212</f>
        <v>-40.049999999999955</v>
      </c>
    </row>
    <row r="213" spans="1:8" ht="14.4" x14ac:dyDescent="0.25">
      <c r="A213" s="41">
        <v>41530</v>
      </c>
      <c r="B213" s="29" t="s">
        <v>11</v>
      </c>
      <c r="C213" s="14" t="s">
        <v>91</v>
      </c>
      <c r="D213" s="29" t="s">
        <v>118</v>
      </c>
      <c r="E213" s="29" t="s">
        <v>129</v>
      </c>
      <c r="F213" s="30">
        <v>668.57</v>
      </c>
      <c r="G213" s="36">
        <v>608.40000000000009</v>
      </c>
      <c r="H213" s="36">
        <f>'SalesData 2'!$F213-'SalesData 2'!$G213</f>
        <v>60.169999999999959</v>
      </c>
    </row>
    <row r="214" spans="1:8" ht="14.4" x14ac:dyDescent="0.25">
      <c r="A214" s="40">
        <v>41531</v>
      </c>
      <c r="B214" s="25" t="s">
        <v>10</v>
      </c>
      <c r="C214" s="9" t="s">
        <v>93</v>
      </c>
      <c r="D214" s="25" t="s">
        <v>118</v>
      </c>
      <c r="E214" s="25" t="s">
        <v>130</v>
      </c>
      <c r="F214" s="26">
        <v>576.87</v>
      </c>
      <c r="G214" s="35">
        <v>599.94000000000005</v>
      </c>
      <c r="H214" s="35">
        <f>'SalesData 2'!$F214-'SalesData 2'!$G214</f>
        <v>-23.07000000000005</v>
      </c>
    </row>
    <row r="215" spans="1:8" ht="14.4" x14ac:dyDescent="0.25">
      <c r="A215" s="41">
        <v>41531</v>
      </c>
      <c r="B215" s="29" t="s">
        <v>10</v>
      </c>
      <c r="C215" s="14" t="s">
        <v>93</v>
      </c>
      <c r="D215" s="29" t="s">
        <v>118</v>
      </c>
      <c r="E215" s="29" t="s">
        <v>130</v>
      </c>
      <c r="F215" s="30">
        <v>916.42</v>
      </c>
      <c r="G215" s="36">
        <v>916.42</v>
      </c>
      <c r="H215" s="36">
        <f>'SalesData 2'!$F215-'SalesData 2'!$G215</f>
        <v>0</v>
      </c>
    </row>
    <row r="216" spans="1:8" ht="14.4" x14ac:dyDescent="0.25">
      <c r="A216" s="40">
        <v>41532</v>
      </c>
      <c r="B216" s="25" t="s">
        <v>9</v>
      </c>
      <c r="C216" s="9" t="s">
        <v>95</v>
      </c>
      <c r="D216" s="25" t="s">
        <v>118</v>
      </c>
      <c r="E216" s="25" t="s">
        <v>130</v>
      </c>
      <c r="F216" s="26">
        <v>264.47000000000003</v>
      </c>
      <c r="G216" s="35">
        <v>269.76000000000005</v>
      </c>
      <c r="H216" s="35">
        <f>'SalesData 2'!$F216-'SalesData 2'!$G216</f>
        <v>-5.2900000000000205</v>
      </c>
    </row>
    <row r="217" spans="1:8" ht="14.4" x14ac:dyDescent="0.25">
      <c r="A217" s="41">
        <v>41534</v>
      </c>
      <c r="B217" s="29" t="s">
        <v>50</v>
      </c>
      <c r="C217" s="14" t="s">
        <v>92</v>
      </c>
      <c r="D217" s="29" t="s">
        <v>122</v>
      </c>
      <c r="E217" s="29" t="s">
        <v>128</v>
      </c>
      <c r="F217" s="30">
        <v>911.76</v>
      </c>
      <c r="G217" s="36">
        <v>911.76</v>
      </c>
      <c r="H217" s="36">
        <f>'SalesData 2'!$F217-'SalesData 2'!$G217</f>
        <v>0</v>
      </c>
    </row>
    <row r="218" spans="1:8" ht="14.4" x14ac:dyDescent="0.25">
      <c r="A218" s="40">
        <v>41535</v>
      </c>
      <c r="B218" s="25" t="s">
        <v>19</v>
      </c>
      <c r="C218" s="9" t="s">
        <v>113</v>
      </c>
      <c r="D218" s="25" t="s">
        <v>119</v>
      </c>
      <c r="E218" s="25" t="s">
        <v>129</v>
      </c>
      <c r="F218" s="26">
        <v>973.93</v>
      </c>
      <c r="G218" s="35">
        <v>954.44999999999993</v>
      </c>
      <c r="H218" s="35">
        <f>'SalesData 2'!$F218-'SalesData 2'!$G218</f>
        <v>19.480000000000018</v>
      </c>
    </row>
    <row r="219" spans="1:8" ht="14.4" x14ac:dyDescent="0.25">
      <c r="A219" s="41">
        <v>41535</v>
      </c>
      <c r="B219" s="29" t="s">
        <v>23</v>
      </c>
      <c r="C219" s="14" t="s">
        <v>109</v>
      </c>
      <c r="D219" s="29" t="s">
        <v>119</v>
      </c>
      <c r="E219" s="29" t="s">
        <v>129</v>
      </c>
      <c r="F219" s="30">
        <v>420.68</v>
      </c>
      <c r="G219" s="36">
        <v>416.47</v>
      </c>
      <c r="H219" s="36">
        <f>'SalesData 2'!$F219-'SalesData 2'!$G219</f>
        <v>4.2099999999999795</v>
      </c>
    </row>
    <row r="220" spans="1:8" ht="14.4" x14ac:dyDescent="0.25">
      <c r="A220" s="40">
        <v>41537</v>
      </c>
      <c r="B220" s="25" t="s">
        <v>47</v>
      </c>
      <c r="C220" s="9" t="s">
        <v>96</v>
      </c>
      <c r="D220" s="25" t="s">
        <v>122</v>
      </c>
      <c r="E220" s="25" t="s">
        <v>130</v>
      </c>
      <c r="F220" s="26">
        <v>327.81</v>
      </c>
      <c r="G220" s="35">
        <v>311.42</v>
      </c>
      <c r="H220" s="35">
        <f>'SalesData 2'!$F220-'SalesData 2'!$G220</f>
        <v>16.389999999999986</v>
      </c>
    </row>
    <row r="221" spans="1:8" ht="14.4" x14ac:dyDescent="0.25">
      <c r="A221" s="41">
        <v>41538</v>
      </c>
      <c r="B221" s="29" t="s">
        <v>39</v>
      </c>
      <c r="C221" s="14" t="s">
        <v>75</v>
      </c>
      <c r="D221" s="29" t="s">
        <v>122</v>
      </c>
      <c r="E221" s="29" t="s">
        <v>129</v>
      </c>
      <c r="F221" s="30">
        <v>745.22</v>
      </c>
      <c r="G221" s="36">
        <v>775.03</v>
      </c>
      <c r="H221" s="36">
        <f>'SalesData 2'!$F221-'SalesData 2'!$G221</f>
        <v>-29.809999999999945</v>
      </c>
    </row>
    <row r="222" spans="1:8" ht="14.4" x14ac:dyDescent="0.25">
      <c r="A222" s="40">
        <v>41538</v>
      </c>
      <c r="B222" s="25" t="s">
        <v>14</v>
      </c>
      <c r="C222" s="9" t="s">
        <v>83</v>
      </c>
      <c r="D222" s="25" t="s">
        <v>118</v>
      </c>
      <c r="E222" s="25" t="s">
        <v>130</v>
      </c>
      <c r="F222" s="26">
        <v>196.25</v>
      </c>
      <c r="G222" s="35">
        <v>211.95</v>
      </c>
      <c r="H222" s="35">
        <f>'SalesData 2'!$F222-'SalesData 2'!$G222</f>
        <v>-15.699999999999989</v>
      </c>
    </row>
    <row r="223" spans="1:8" ht="14.4" x14ac:dyDescent="0.25">
      <c r="A223" s="41">
        <v>41539</v>
      </c>
      <c r="B223" s="29" t="s">
        <v>45</v>
      </c>
      <c r="C223" s="14" t="s">
        <v>101</v>
      </c>
      <c r="D223" s="29" t="s">
        <v>122</v>
      </c>
      <c r="E223" s="29" t="s">
        <v>128</v>
      </c>
      <c r="F223" s="30">
        <v>401.71</v>
      </c>
      <c r="G223" s="36">
        <v>433.84999999999997</v>
      </c>
      <c r="H223" s="36">
        <f>'SalesData 2'!$F223-'SalesData 2'!$G223</f>
        <v>-32.139999999999986</v>
      </c>
    </row>
    <row r="224" spans="1:8" ht="14.4" x14ac:dyDescent="0.25">
      <c r="A224" s="40">
        <v>41542</v>
      </c>
      <c r="B224" s="25" t="s">
        <v>48</v>
      </c>
      <c r="C224" s="9" t="s">
        <v>56</v>
      </c>
      <c r="D224" s="25" t="s">
        <v>122</v>
      </c>
      <c r="E224" s="25" t="s">
        <v>130</v>
      </c>
      <c r="F224" s="26">
        <v>717.72</v>
      </c>
      <c r="G224" s="35">
        <v>753.61</v>
      </c>
      <c r="H224" s="35">
        <f>'SalesData 2'!$F224-'SalesData 2'!$G224</f>
        <v>-35.889999999999986</v>
      </c>
    </row>
    <row r="225" spans="1:8" ht="14.4" x14ac:dyDescent="0.25">
      <c r="A225" s="41">
        <v>41543</v>
      </c>
      <c r="B225" s="29" t="s">
        <v>48</v>
      </c>
      <c r="C225" s="14" t="s">
        <v>55</v>
      </c>
      <c r="D225" s="29" t="s">
        <v>122</v>
      </c>
      <c r="E225" s="29" t="s">
        <v>129</v>
      </c>
      <c r="F225" s="30">
        <v>365.58</v>
      </c>
      <c r="G225" s="36">
        <v>394.83</v>
      </c>
      <c r="H225" s="36">
        <f>'SalesData 2'!$F225-'SalesData 2'!$G225</f>
        <v>-29.25</v>
      </c>
    </row>
    <row r="226" spans="1:8" ht="14.4" x14ac:dyDescent="0.25">
      <c r="A226" s="40">
        <v>41543</v>
      </c>
      <c r="B226" s="25" t="s">
        <v>36</v>
      </c>
      <c r="C226" s="9" t="s">
        <v>59</v>
      </c>
      <c r="D226" s="25" t="s">
        <v>121</v>
      </c>
      <c r="E226" s="25" t="s">
        <v>130</v>
      </c>
      <c r="F226" s="26">
        <v>621.63</v>
      </c>
      <c r="G226" s="35">
        <v>559.47</v>
      </c>
      <c r="H226" s="35">
        <f>'SalesData 2'!$F226-'SalesData 2'!$G226</f>
        <v>62.159999999999968</v>
      </c>
    </row>
    <row r="227" spans="1:8" ht="14.4" x14ac:dyDescent="0.25">
      <c r="A227" s="41">
        <v>41544</v>
      </c>
      <c r="B227" s="29" t="s">
        <v>34</v>
      </c>
      <c r="C227" s="14" t="s">
        <v>105</v>
      </c>
      <c r="D227" s="29" t="s">
        <v>121</v>
      </c>
      <c r="E227" s="29" t="s">
        <v>130</v>
      </c>
      <c r="F227" s="30">
        <v>607.46</v>
      </c>
      <c r="G227" s="36">
        <v>583.16000000000008</v>
      </c>
      <c r="H227" s="36">
        <f>'SalesData 2'!$F227-'SalesData 2'!$G227</f>
        <v>24.299999999999955</v>
      </c>
    </row>
    <row r="228" spans="1:8" ht="14.4" x14ac:dyDescent="0.25">
      <c r="A228" s="40">
        <v>41545</v>
      </c>
      <c r="B228" s="25" t="s">
        <v>1</v>
      </c>
      <c r="C228" s="9" t="s">
        <v>1</v>
      </c>
      <c r="D228" s="25" t="s">
        <v>118</v>
      </c>
      <c r="E228" s="25" t="s">
        <v>128</v>
      </c>
      <c r="F228" s="26">
        <v>613.1</v>
      </c>
      <c r="G228" s="35">
        <v>576.31000000000006</v>
      </c>
      <c r="H228" s="35">
        <f>'SalesData 2'!$F228-'SalesData 2'!$G228</f>
        <v>36.789999999999964</v>
      </c>
    </row>
    <row r="229" spans="1:8" ht="14.4" x14ac:dyDescent="0.25">
      <c r="A229" s="41">
        <v>41545</v>
      </c>
      <c r="B229" s="29" t="s">
        <v>15</v>
      </c>
      <c r="C229" s="14" t="s">
        <v>60</v>
      </c>
      <c r="D229" s="29" t="s">
        <v>118</v>
      </c>
      <c r="E229" s="29" t="s">
        <v>128</v>
      </c>
      <c r="F229" s="30">
        <v>627.11</v>
      </c>
      <c r="G229" s="36">
        <v>589.48</v>
      </c>
      <c r="H229" s="36">
        <f>'SalesData 2'!$F229-'SalesData 2'!$G229</f>
        <v>37.629999999999995</v>
      </c>
    </row>
    <row r="230" spans="1:8" ht="14.4" x14ac:dyDescent="0.25">
      <c r="A230" s="40">
        <v>41549</v>
      </c>
      <c r="B230" s="25" t="s">
        <v>12</v>
      </c>
      <c r="C230" s="9" t="s">
        <v>89</v>
      </c>
      <c r="D230" s="25" t="s">
        <v>118</v>
      </c>
      <c r="E230" s="25" t="s">
        <v>128</v>
      </c>
      <c r="F230" s="26">
        <v>372.63</v>
      </c>
      <c r="G230" s="35">
        <v>394.99</v>
      </c>
      <c r="H230" s="35">
        <f>'SalesData 2'!$F230-'SalesData 2'!$G230</f>
        <v>-22.360000000000014</v>
      </c>
    </row>
    <row r="231" spans="1:8" ht="14.4" x14ac:dyDescent="0.25">
      <c r="A231" s="41">
        <v>41550</v>
      </c>
      <c r="B231" s="29" t="s">
        <v>2</v>
      </c>
      <c r="C231" s="14" t="s">
        <v>108</v>
      </c>
      <c r="D231" s="29" t="s">
        <v>118</v>
      </c>
      <c r="E231" s="29" t="s">
        <v>128</v>
      </c>
      <c r="F231" s="30">
        <v>155.37</v>
      </c>
      <c r="G231" s="36">
        <v>156.92000000000002</v>
      </c>
      <c r="H231" s="36">
        <f>'SalesData 2'!$F231-'SalesData 2'!$G231</f>
        <v>-1.5500000000000114</v>
      </c>
    </row>
    <row r="232" spans="1:8" ht="14.4" x14ac:dyDescent="0.25">
      <c r="A232" s="40">
        <v>41551</v>
      </c>
      <c r="B232" s="25" t="s">
        <v>7</v>
      </c>
      <c r="C232" s="9" t="s">
        <v>99</v>
      </c>
      <c r="D232" s="25" t="s">
        <v>118</v>
      </c>
      <c r="E232" s="25" t="s">
        <v>130</v>
      </c>
      <c r="F232" s="26">
        <v>223.29</v>
      </c>
      <c r="G232" s="35">
        <v>212.13</v>
      </c>
      <c r="H232" s="35">
        <f>'SalesData 2'!$F232-'SalesData 2'!$G232</f>
        <v>11.159999999999997</v>
      </c>
    </row>
    <row r="233" spans="1:8" ht="14.4" x14ac:dyDescent="0.25">
      <c r="A233" s="41">
        <v>41552</v>
      </c>
      <c r="B233" s="29" t="s">
        <v>18</v>
      </c>
      <c r="C233" s="14" t="s">
        <v>64</v>
      </c>
      <c r="D233" s="29" t="s">
        <v>119</v>
      </c>
      <c r="E233" s="29" t="s">
        <v>128</v>
      </c>
      <c r="F233" s="30">
        <v>466.81</v>
      </c>
      <c r="G233" s="36">
        <v>490.15</v>
      </c>
      <c r="H233" s="36">
        <f>'SalesData 2'!$F233-'SalesData 2'!$G233</f>
        <v>-23.339999999999975</v>
      </c>
    </row>
    <row r="234" spans="1:8" ht="14.4" x14ac:dyDescent="0.25">
      <c r="A234" s="40">
        <v>41553</v>
      </c>
      <c r="B234" s="25" t="s">
        <v>39</v>
      </c>
      <c r="C234" s="9" t="s">
        <v>75</v>
      </c>
      <c r="D234" s="25" t="s">
        <v>122</v>
      </c>
      <c r="E234" s="25" t="s">
        <v>130</v>
      </c>
      <c r="F234" s="26">
        <v>488.98</v>
      </c>
      <c r="G234" s="35">
        <v>518.32000000000005</v>
      </c>
      <c r="H234" s="35">
        <f>'SalesData 2'!$F234-'SalesData 2'!$G234</f>
        <v>-29.340000000000032</v>
      </c>
    </row>
    <row r="235" spans="1:8" ht="14.4" x14ac:dyDescent="0.25">
      <c r="A235" s="41">
        <v>41555</v>
      </c>
      <c r="B235" s="29" t="s">
        <v>0</v>
      </c>
      <c r="C235" s="14" t="s">
        <v>114</v>
      </c>
      <c r="D235" s="29" t="s">
        <v>118</v>
      </c>
      <c r="E235" s="29" t="s">
        <v>130</v>
      </c>
      <c r="F235" s="30">
        <v>81.63</v>
      </c>
      <c r="G235" s="36">
        <v>80.81</v>
      </c>
      <c r="H235" s="36">
        <f>'SalesData 2'!$F235-'SalesData 2'!$G235</f>
        <v>0.81999999999999318</v>
      </c>
    </row>
    <row r="236" spans="1:8" ht="14.4" x14ac:dyDescent="0.25">
      <c r="A236" s="40">
        <v>41556</v>
      </c>
      <c r="B236" s="25" t="s">
        <v>3</v>
      </c>
      <c r="C236" s="9" t="s">
        <v>66</v>
      </c>
      <c r="D236" s="25" t="s">
        <v>118</v>
      </c>
      <c r="E236" s="25" t="s">
        <v>130</v>
      </c>
      <c r="F236" s="26">
        <v>386.59</v>
      </c>
      <c r="G236" s="35">
        <v>409.78999999999996</v>
      </c>
      <c r="H236" s="35">
        <f>'SalesData 2'!$F236-'SalesData 2'!$G236</f>
        <v>-23.199999999999989</v>
      </c>
    </row>
    <row r="237" spans="1:8" ht="14.4" x14ac:dyDescent="0.25">
      <c r="A237" s="41">
        <v>41558</v>
      </c>
      <c r="B237" s="29" t="s">
        <v>21</v>
      </c>
      <c r="C237" s="14" t="s">
        <v>79</v>
      </c>
      <c r="D237" s="29" t="s">
        <v>119</v>
      </c>
      <c r="E237" s="29" t="s">
        <v>129</v>
      </c>
      <c r="F237" s="30">
        <v>483.35</v>
      </c>
      <c r="G237" s="36">
        <v>517.18000000000006</v>
      </c>
      <c r="H237" s="36">
        <f>'SalesData 2'!$F237-'SalesData 2'!$G237</f>
        <v>-33.830000000000041</v>
      </c>
    </row>
    <row r="238" spans="1:8" ht="14.4" x14ac:dyDescent="0.25">
      <c r="A238" s="40">
        <v>41559</v>
      </c>
      <c r="B238" s="25" t="s">
        <v>33</v>
      </c>
      <c r="C238" s="9" t="s">
        <v>115</v>
      </c>
      <c r="D238" s="25" t="s">
        <v>121</v>
      </c>
      <c r="E238" s="25" t="s">
        <v>128</v>
      </c>
      <c r="F238" s="26">
        <v>114.52</v>
      </c>
      <c r="G238" s="35">
        <v>117.96</v>
      </c>
      <c r="H238" s="35">
        <f>'SalesData 2'!$F238-'SalesData 2'!$G238</f>
        <v>-3.4399999999999977</v>
      </c>
    </row>
    <row r="239" spans="1:8" ht="14.4" x14ac:dyDescent="0.25">
      <c r="A239" s="41">
        <v>41563</v>
      </c>
      <c r="B239" s="29" t="s">
        <v>20</v>
      </c>
      <c r="C239" s="14" t="s">
        <v>112</v>
      </c>
      <c r="D239" s="29" t="s">
        <v>119</v>
      </c>
      <c r="E239" s="29" t="s">
        <v>129</v>
      </c>
      <c r="F239" s="30">
        <v>704.01</v>
      </c>
      <c r="G239" s="36">
        <v>675.85</v>
      </c>
      <c r="H239" s="36">
        <f>'SalesData 2'!$F239-'SalesData 2'!$G239</f>
        <v>28.159999999999968</v>
      </c>
    </row>
    <row r="240" spans="1:8" ht="14.4" x14ac:dyDescent="0.25">
      <c r="A240" s="40">
        <v>41565</v>
      </c>
      <c r="B240" s="25" t="s">
        <v>14</v>
      </c>
      <c r="C240" s="9" t="s">
        <v>83</v>
      </c>
      <c r="D240" s="25" t="s">
        <v>118</v>
      </c>
      <c r="E240" s="25" t="s">
        <v>130</v>
      </c>
      <c r="F240" s="26">
        <v>434.34</v>
      </c>
      <c r="G240" s="35">
        <v>399.59</v>
      </c>
      <c r="H240" s="35">
        <f>'SalesData 2'!$F240-'SalesData 2'!$G240</f>
        <v>34.75</v>
      </c>
    </row>
    <row r="241" spans="1:8" ht="14.4" x14ac:dyDescent="0.25">
      <c r="A241" s="41">
        <v>41568</v>
      </c>
      <c r="B241" s="29" t="s">
        <v>48</v>
      </c>
      <c r="C241" s="14" t="s">
        <v>82</v>
      </c>
      <c r="D241" s="29" t="s">
        <v>122</v>
      </c>
      <c r="E241" s="29" t="s">
        <v>128</v>
      </c>
      <c r="F241" s="30">
        <v>473.33</v>
      </c>
      <c r="G241" s="36">
        <v>444.93</v>
      </c>
      <c r="H241" s="36">
        <f>'SalesData 2'!$F241-'SalesData 2'!$G241</f>
        <v>28.399999999999977</v>
      </c>
    </row>
    <row r="242" spans="1:8" ht="14.4" x14ac:dyDescent="0.25">
      <c r="A242" s="40">
        <v>41569</v>
      </c>
      <c r="B242" s="25" t="s">
        <v>43</v>
      </c>
      <c r="C242" s="9" t="s">
        <v>106</v>
      </c>
      <c r="D242" s="25" t="s">
        <v>122</v>
      </c>
      <c r="E242" s="25" t="s">
        <v>130</v>
      </c>
      <c r="F242" s="26">
        <v>812.02</v>
      </c>
      <c r="G242" s="35">
        <v>771.42</v>
      </c>
      <c r="H242" s="35">
        <f>'SalesData 2'!$F242-'SalesData 2'!$G242</f>
        <v>40.600000000000023</v>
      </c>
    </row>
    <row r="243" spans="1:8" ht="14.4" x14ac:dyDescent="0.25">
      <c r="A243" s="41">
        <v>41570</v>
      </c>
      <c r="B243" s="29" t="s">
        <v>51</v>
      </c>
      <c r="C243" s="14" t="s">
        <v>86</v>
      </c>
      <c r="D243" s="29" t="s">
        <v>122</v>
      </c>
      <c r="E243" s="29" t="s">
        <v>129</v>
      </c>
      <c r="F243" s="30">
        <v>885.66</v>
      </c>
      <c r="G243" s="36">
        <v>956.51</v>
      </c>
      <c r="H243" s="36">
        <f>'SalesData 2'!$F243-'SalesData 2'!$G243</f>
        <v>-70.850000000000023</v>
      </c>
    </row>
    <row r="244" spans="1:8" ht="14.4" x14ac:dyDescent="0.25">
      <c r="A244" s="40">
        <v>41575</v>
      </c>
      <c r="B244" s="25" t="s">
        <v>5</v>
      </c>
      <c r="C244" s="9" t="s">
        <v>102</v>
      </c>
      <c r="D244" s="25" t="s">
        <v>118</v>
      </c>
      <c r="E244" s="25" t="s">
        <v>128</v>
      </c>
      <c r="F244" s="26">
        <v>947.92</v>
      </c>
      <c r="G244" s="35">
        <v>910</v>
      </c>
      <c r="H244" s="35">
        <f>'SalesData 2'!$F244-'SalesData 2'!$G244</f>
        <v>37.919999999999959</v>
      </c>
    </row>
    <row r="245" spans="1:8" ht="14.4" x14ac:dyDescent="0.25">
      <c r="A245" s="41">
        <v>41581</v>
      </c>
      <c r="B245" s="29" t="s">
        <v>4</v>
      </c>
      <c r="C245" s="14" t="s">
        <v>70</v>
      </c>
      <c r="D245" s="29" t="s">
        <v>118</v>
      </c>
      <c r="E245" s="29" t="s">
        <v>130</v>
      </c>
      <c r="F245" s="30">
        <v>341.57</v>
      </c>
      <c r="G245" s="36">
        <v>351.82</v>
      </c>
      <c r="H245" s="36">
        <f>'SalesData 2'!$F245-'SalesData 2'!$G245</f>
        <v>-10.25</v>
      </c>
    </row>
    <row r="246" spans="1:8" ht="14.4" x14ac:dyDescent="0.25">
      <c r="A246" s="40">
        <v>41583</v>
      </c>
      <c r="B246" s="25" t="s">
        <v>30</v>
      </c>
      <c r="C246" s="9" t="s">
        <v>88</v>
      </c>
      <c r="D246" s="25" t="s">
        <v>120</v>
      </c>
      <c r="E246" s="25" t="s">
        <v>129</v>
      </c>
      <c r="F246" s="26">
        <v>541.59</v>
      </c>
      <c r="G246" s="35">
        <v>498.26000000000005</v>
      </c>
      <c r="H246" s="35">
        <f>'SalesData 2'!$F246-'SalesData 2'!$G246</f>
        <v>43.329999999999984</v>
      </c>
    </row>
    <row r="247" spans="1:8" ht="14.4" x14ac:dyDescent="0.25">
      <c r="A247" s="41">
        <v>41588</v>
      </c>
      <c r="B247" s="29" t="s">
        <v>42</v>
      </c>
      <c r="C247" s="14" t="s">
        <v>69</v>
      </c>
      <c r="D247" s="29" t="s">
        <v>122</v>
      </c>
      <c r="E247" s="29" t="s">
        <v>129</v>
      </c>
      <c r="F247" s="30">
        <v>291.86</v>
      </c>
      <c r="G247" s="36">
        <v>309.37</v>
      </c>
      <c r="H247" s="36">
        <f>'SalesData 2'!$F247-'SalesData 2'!$G247</f>
        <v>-17.509999999999991</v>
      </c>
    </row>
    <row r="248" spans="1:8" ht="14.4" x14ac:dyDescent="0.25">
      <c r="A248" s="40">
        <v>41591</v>
      </c>
      <c r="B248" s="25" t="s">
        <v>41</v>
      </c>
      <c r="C248" s="9" t="s">
        <v>67</v>
      </c>
      <c r="D248" s="25" t="s">
        <v>122</v>
      </c>
      <c r="E248" s="25" t="s">
        <v>130</v>
      </c>
      <c r="F248" s="26">
        <v>831.92</v>
      </c>
      <c r="G248" s="35">
        <v>782</v>
      </c>
      <c r="H248" s="35">
        <f>'SalesData 2'!$F248-'SalesData 2'!$G248</f>
        <v>49.919999999999959</v>
      </c>
    </row>
    <row r="249" spans="1:8" ht="14.4" x14ac:dyDescent="0.25">
      <c r="A249" s="41">
        <v>41592</v>
      </c>
      <c r="B249" s="29" t="s">
        <v>41</v>
      </c>
      <c r="C249" s="14" t="s">
        <v>68</v>
      </c>
      <c r="D249" s="29" t="s">
        <v>122</v>
      </c>
      <c r="E249" s="29" t="s">
        <v>128</v>
      </c>
      <c r="F249" s="30">
        <v>900.53</v>
      </c>
      <c r="G249" s="36">
        <v>972.56999999999994</v>
      </c>
      <c r="H249" s="36">
        <f>'SalesData 2'!$F249-'SalesData 2'!$G249</f>
        <v>-72.039999999999964</v>
      </c>
    </row>
    <row r="250" spans="1:8" ht="14.4" x14ac:dyDescent="0.25">
      <c r="A250" s="40">
        <v>41595</v>
      </c>
      <c r="B250" s="25" t="s">
        <v>26</v>
      </c>
      <c r="C250" s="9" t="s">
        <v>117</v>
      </c>
      <c r="D250" s="25" t="s">
        <v>120</v>
      </c>
      <c r="E250" s="25" t="s">
        <v>129</v>
      </c>
      <c r="F250" s="45">
        <v>852.33</v>
      </c>
      <c r="G250" s="35">
        <v>886.42000000000007</v>
      </c>
      <c r="H250" s="35">
        <f>'SalesData 2'!$F250-'SalesData 2'!$G250</f>
        <v>-34.090000000000032</v>
      </c>
    </row>
    <row r="251" spans="1:8" ht="14.4" x14ac:dyDescent="0.25">
      <c r="A251" s="41">
        <v>41596</v>
      </c>
      <c r="B251" s="29" t="s">
        <v>38</v>
      </c>
      <c r="C251" s="14" t="s">
        <v>116</v>
      </c>
      <c r="D251" s="29" t="s">
        <v>122</v>
      </c>
      <c r="E251" s="29" t="s">
        <v>129</v>
      </c>
      <c r="F251" s="30">
        <v>243.26</v>
      </c>
      <c r="G251" s="36">
        <v>252.98999999999998</v>
      </c>
      <c r="H251" s="36">
        <f>'SalesData 2'!$F251-'SalesData 2'!$G251</f>
        <v>-9.7299999999999898</v>
      </c>
    </row>
    <row r="252" spans="1:8" ht="14.4" x14ac:dyDescent="0.25">
      <c r="A252" s="40">
        <v>41597</v>
      </c>
      <c r="B252" s="25" t="s">
        <v>36</v>
      </c>
      <c r="C252" s="9" t="s">
        <v>57</v>
      </c>
      <c r="D252" s="25" t="s">
        <v>121</v>
      </c>
      <c r="E252" s="25" t="s">
        <v>128</v>
      </c>
      <c r="F252" s="26">
        <v>957.83</v>
      </c>
      <c r="G252" s="35">
        <v>1034.46</v>
      </c>
      <c r="H252" s="35">
        <f>'SalesData 2'!$F252-'SalesData 2'!$G252</f>
        <v>-76.63</v>
      </c>
    </row>
    <row r="253" spans="1:8" ht="14.4" x14ac:dyDescent="0.25">
      <c r="A253" s="41">
        <v>41601</v>
      </c>
      <c r="B253" s="29" t="s">
        <v>29</v>
      </c>
      <c r="C253" s="14" t="s">
        <v>98</v>
      </c>
      <c r="D253" s="29" t="s">
        <v>120</v>
      </c>
      <c r="E253" s="29" t="s">
        <v>128</v>
      </c>
      <c r="F253" s="30">
        <v>855.42</v>
      </c>
      <c r="G253" s="36">
        <v>804.08999999999992</v>
      </c>
      <c r="H253" s="36">
        <f>'SalesData 2'!$F253-'SalesData 2'!$G253</f>
        <v>51.330000000000041</v>
      </c>
    </row>
    <row r="254" spans="1:8" ht="14.4" x14ac:dyDescent="0.25">
      <c r="A254" s="40">
        <v>41602</v>
      </c>
      <c r="B254" s="25" t="s">
        <v>6</v>
      </c>
      <c r="C254" s="9" t="s">
        <v>81</v>
      </c>
      <c r="D254" s="25" t="s">
        <v>118</v>
      </c>
      <c r="E254" s="25" t="s">
        <v>130</v>
      </c>
      <c r="F254" s="26">
        <v>159.38</v>
      </c>
      <c r="G254" s="35">
        <v>172.13</v>
      </c>
      <c r="H254" s="35">
        <f>'SalesData 2'!$F254-'SalesData 2'!$G254</f>
        <v>-12.75</v>
      </c>
    </row>
    <row r="255" spans="1:8" ht="14.4" x14ac:dyDescent="0.25">
      <c r="A255" s="41">
        <v>41611</v>
      </c>
      <c r="B255" s="29" t="s">
        <v>28</v>
      </c>
      <c r="C255" s="14" t="s">
        <v>103</v>
      </c>
      <c r="D255" s="29" t="s">
        <v>120</v>
      </c>
      <c r="E255" s="29" t="s">
        <v>128</v>
      </c>
      <c r="F255" s="30">
        <v>823.82</v>
      </c>
      <c r="G255" s="36">
        <v>807.34</v>
      </c>
      <c r="H255" s="36">
        <f>'SalesData 2'!$F255-'SalesData 2'!$G255</f>
        <v>16.480000000000018</v>
      </c>
    </row>
    <row r="256" spans="1:8" ht="14.4" x14ac:dyDescent="0.25">
      <c r="A256" s="40">
        <v>41613</v>
      </c>
      <c r="B256" s="25" t="s">
        <v>22</v>
      </c>
      <c r="C256" s="9" t="s">
        <v>78</v>
      </c>
      <c r="D256" s="25" t="s">
        <v>119</v>
      </c>
      <c r="E256" s="25" t="s">
        <v>128</v>
      </c>
      <c r="F256" s="26">
        <v>470.83</v>
      </c>
      <c r="G256" s="35">
        <v>484.95</v>
      </c>
      <c r="H256" s="35">
        <f>'SalesData 2'!$F256-'SalesData 2'!$G256</f>
        <v>-14.120000000000005</v>
      </c>
    </row>
    <row r="257" spans="1:8" ht="14.4" x14ac:dyDescent="0.25">
      <c r="A257" s="41">
        <v>41618</v>
      </c>
      <c r="B257" s="29" t="s">
        <v>13</v>
      </c>
      <c r="C257" s="14" t="s">
        <v>73</v>
      </c>
      <c r="D257" s="29" t="s">
        <v>118</v>
      </c>
      <c r="E257" s="29" t="s">
        <v>129</v>
      </c>
      <c r="F257" s="30">
        <v>284.57</v>
      </c>
      <c r="G257" s="36">
        <v>281.71999999999997</v>
      </c>
      <c r="H257" s="36">
        <f>'SalesData 2'!$F257-'SalesData 2'!$G257</f>
        <v>2.8500000000000227</v>
      </c>
    </row>
    <row r="258" spans="1:8" ht="14.4" x14ac:dyDescent="0.25">
      <c r="A258" s="40">
        <v>41623</v>
      </c>
      <c r="B258" s="25" t="s">
        <v>32</v>
      </c>
      <c r="C258" s="9" t="s">
        <v>126</v>
      </c>
      <c r="D258" s="25" t="s">
        <v>120</v>
      </c>
      <c r="E258" s="25" t="s">
        <v>129</v>
      </c>
      <c r="F258" s="26">
        <v>601.87</v>
      </c>
      <c r="G258" s="35">
        <v>541.68000000000006</v>
      </c>
      <c r="H258" s="35">
        <f>'SalesData 2'!$F258-'SalesData 2'!$G258</f>
        <v>60.189999999999941</v>
      </c>
    </row>
    <row r="259" spans="1:8" ht="14.4" x14ac:dyDescent="0.25">
      <c r="A259" s="41">
        <v>41628</v>
      </c>
      <c r="B259" s="29" t="s">
        <v>22</v>
      </c>
      <c r="C259" s="14" t="s">
        <v>77</v>
      </c>
      <c r="D259" s="29" t="s">
        <v>119</v>
      </c>
      <c r="E259" s="29" t="s">
        <v>129</v>
      </c>
      <c r="F259" s="30">
        <v>788.25</v>
      </c>
      <c r="G259" s="36">
        <v>748.84</v>
      </c>
      <c r="H259" s="36">
        <f>'SalesData 2'!$F259-'SalesData 2'!$G259</f>
        <v>39.409999999999968</v>
      </c>
    </row>
    <row r="260" spans="1:8" ht="14.4" x14ac:dyDescent="0.25">
      <c r="A260" s="40">
        <v>41628</v>
      </c>
      <c r="B260" s="25" t="s">
        <v>36</v>
      </c>
      <c r="C260" s="9" t="s">
        <v>58</v>
      </c>
      <c r="D260" s="25" t="s">
        <v>121</v>
      </c>
      <c r="E260" s="25" t="s">
        <v>128</v>
      </c>
      <c r="F260" s="26">
        <v>819.25</v>
      </c>
      <c r="G260" s="35">
        <v>794.67</v>
      </c>
      <c r="H260" s="35">
        <f>'SalesData 2'!$F260-'SalesData 2'!$G260</f>
        <v>24.580000000000041</v>
      </c>
    </row>
    <row r="261" spans="1:8" ht="14.4" x14ac:dyDescent="0.25">
      <c r="A261" s="41">
        <v>41629</v>
      </c>
      <c r="B261" s="29" t="s">
        <v>16</v>
      </c>
      <c r="C261" s="14" t="s">
        <v>61</v>
      </c>
      <c r="D261" s="29" t="s">
        <v>118</v>
      </c>
      <c r="E261" s="29" t="s">
        <v>129</v>
      </c>
      <c r="F261" s="30">
        <v>231.41</v>
      </c>
      <c r="G261" s="36">
        <v>236.04</v>
      </c>
      <c r="H261" s="36">
        <f>'SalesData 2'!$F261-'SalesData 2'!$G261</f>
        <v>-4.6299999999999955</v>
      </c>
    </row>
    <row r="262" spans="1:8" ht="14.4" x14ac:dyDescent="0.25">
      <c r="A262" s="40">
        <v>41634</v>
      </c>
      <c r="B262" s="25" t="s">
        <v>48</v>
      </c>
      <c r="C262" s="9" t="s">
        <v>56</v>
      </c>
      <c r="D262" s="25" t="s">
        <v>122</v>
      </c>
      <c r="E262" s="25" t="s">
        <v>130</v>
      </c>
      <c r="F262" s="26">
        <v>572.13</v>
      </c>
      <c r="G262" s="35">
        <v>554.97</v>
      </c>
      <c r="H262" s="35">
        <f>'SalesData 2'!$F262-'SalesData 2'!$G262</f>
        <v>17.159999999999968</v>
      </c>
    </row>
    <row r="263" spans="1:8" ht="14.4" x14ac:dyDescent="0.25">
      <c r="A263" s="41">
        <v>41635</v>
      </c>
      <c r="B263" s="29" t="s">
        <v>38</v>
      </c>
      <c r="C263" s="14" t="s">
        <v>62</v>
      </c>
      <c r="D263" s="29" t="s">
        <v>122</v>
      </c>
      <c r="E263" s="29" t="s">
        <v>129</v>
      </c>
      <c r="F263" s="30">
        <v>431</v>
      </c>
      <c r="G263" s="36">
        <v>452.55</v>
      </c>
      <c r="H263" s="36">
        <f>'SalesData 2'!$F263-'SalesData 2'!$G263</f>
        <v>-21.550000000000011</v>
      </c>
    </row>
    <row r="264" spans="1:8" ht="14.4" x14ac:dyDescent="0.25">
      <c r="A264" s="40">
        <v>41635</v>
      </c>
      <c r="B264" s="25" t="s">
        <v>8</v>
      </c>
      <c r="C264" s="9" t="s">
        <v>54</v>
      </c>
      <c r="D264" s="25" t="s">
        <v>118</v>
      </c>
      <c r="E264" s="25" t="s">
        <v>130</v>
      </c>
      <c r="F264" s="26">
        <v>183.56</v>
      </c>
      <c r="G264" s="35">
        <v>190.9</v>
      </c>
      <c r="H264" s="35">
        <f>'SalesData 2'!$F264-'SalesData 2'!$G264</f>
        <v>-7.3400000000000034</v>
      </c>
    </row>
    <row r="265" spans="1:8" ht="14.4" x14ac:dyDescent="0.25">
      <c r="A265" s="41">
        <v>41640</v>
      </c>
      <c r="B265" s="29" t="s">
        <v>13</v>
      </c>
      <c r="C265" s="14" t="s">
        <v>73</v>
      </c>
      <c r="D265" s="29" t="s">
        <v>118</v>
      </c>
      <c r="E265" s="29" t="s">
        <v>130</v>
      </c>
      <c r="F265" s="30">
        <v>202.35</v>
      </c>
      <c r="G265" s="36">
        <v>188.19</v>
      </c>
      <c r="H265" s="36">
        <f>'SalesData 2'!$F265-'SalesData 2'!$G265</f>
        <v>14.159999999999997</v>
      </c>
    </row>
    <row r="266" spans="1:8" ht="14.4" x14ac:dyDescent="0.25">
      <c r="A266" s="40">
        <v>41641</v>
      </c>
      <c r="B266" s="25" t="s">
        <v>39</v>
      </c>
      <c r="C266" s="9" t="s">
        <v>75</v>
      </c>
      <c r="D266" s="25" t="s">
        <v>122</v>
      </c>
      <c r="E266" s="25" t="s">
        <v>129</v>
      </c>
      <c r="F266" s="26">
        <v>953.96</v>
      </c>
      <c r="G266" s="35">
        <v>925.34</v>
      </c>
      <c r="H266" s="35">
        <f>'SalesData 2'!$F266-'SalesData 2'!$G266</f>
        <v>28.620000000000005</v>
      </c>
    </row>
    <row r="267" spans="1:8" ht="14.4" x14ac:dyDescent="0.25">
      <c r="A267" s="41">
        <v>41641</v>
      </c>
      <c r="B267" s="29" t="s">
        <v>22</v>
      </c>
      <c r="C267" s="14" t="s">
        <v>78</v>
      </c>
      <c r="D267" s="29" t="s">
        <v>119</v>
      </c>
      <c r="E267" s="29" t="s">
        <v>129</v>
      </c>
      <c r="F267" s="30">
        <v>112.21</v>
      </c>
      <c r="G267" s="36">
        <v>121.19</v>
      </c>
      <c r="H267" s="36">
        <f>'SalesData 2'!$F267-'SalesData 2'!$G267</f>
        <v>-8.980000000000004</v>
      </c>
    </row>
    <row r="268" spans="1:8" ht="14.4" x14ac:dyDescent="0.25">
      <c r="A268" s="40">
        <v>41642</v>
      </c>
      <c r="B268" s="25" t="s">
        <v>5</v>
      </c>
      <c r="C268" s="9" t="s">
        <v>102</v>
      </c>
      <c r="D268" s="25" t="s">
        <v>118</v>
      </c>
      <c r="E268" s="25" t="s">
        <v>130</v>
      </c>
      <c r="F268" s="26">
        <v>893.28</v>
      </c>
      <c r="G268" s="35">
        <v>964.74</v>
      </c>
      <c r="H268" s="35">
        <f>'SalesData 2'!$F268-'SalesData 2'!$G268</f>
        <v>-71.460000000000036</v>
      </c>
    </row>
    <row r="269" spans="1:8" ht="14.4" x14ac:dyDescent="0.25">
      <c r="A269" s="41">
        <v>41642</v>
      </c>
      <c r="B269" s="29" t="s">
        <v>45</v>
      </c>
      <c r="C269" s="14" t="s">
        <v>101</v>
      </c>
      <c r="D269" s="29" t="s">
        <v>122</v>
      </c>
      <c r="E269" s="29" t="s">
        <v>129</v>
      </c>
      <c r="F269" s="30">
        <v>305.74</v>
      </c>
      <c r="G269" s="36">
        <v>314.91000000000003</v>
      </c>
      <c r="H269" s="36">
        <f>'SalesData 2'!$F269-'SalesData 2'!$G269</f>
        <v>-9.1700000000000159</v>
      </c>
    </row>
    <row r="270" spans="1:8" ht="14.4" x14ac:dyDescent="0.25">
      <c r="A270" s="40">
        <v>41642</v>
      </c>
      <c r="B270" s="25" t="s">
        <v>48</v>
      </c>
      <c r="C270" s="9" t="s">
        <v>56</v>
      </c>
      <c r="D270" s="25" t="s">
        <v>122</v>
      </c>
      <c r="E270" s="25" t="s">
        <v>130</v>
      </c>
      <c r="F270" s="26">
        <v>44.75</v>
      </c>
      <c r="G270" s="35">
        <v>40.72</v>
      </c>
      <c r="H270" s="35">
        <f>'SalesData 2'!$F270-'SalesData 2'!$G270</f>
        <v>4.0300000000000011</v>
      </c>
    </row>
    <row r="271" spans="1:8" ht="14.4" x14ac:dyDescent="0.25">
      <c r="A271" s="41">
        <v>41643</v>
      </c>
      <c r="B271" s="29" t="s">
        <v>44</v>
      </c>
      <c r="C271" s="14" t="s">
        <v>104</v>
      </c>
      <c r="D271" s="29" t="s">
        <v>122</v>
      </c>
      <c r="E271" s="29" t="s">
        <v>128</v>
      </c>
      <c r="F271" s="30">
        <v>634.04999999999995</v>
      </c>
      <c r="G271" s="36">
        <v>684.77</v>
      </c>
      <c r="H271" s="36">
        <f>'SalesData 2'!$F271-'SalesData 2'!$G271</f>
        <v>-50.720000000000027</v>
      </c>
    </row>
    <row r="272" spans="1:8" ht="14.4" x14ac:dyDescent="0.25">
      <c r="A272" s="40">
        <v>41644</v>
      </c>
      <c r="B272" s="25" t="s">
        <v>26</v>
      </c>
      <c r="C272" s="9" t="s">
        <v>117</v>
      </c>
      <c r="D272" s="25" t="s">
        <v>120</v>
      </c>
      <c r="E272" s="25" t="s">
        <v>129</v>
      </c>
      <c r="F272" s="45">
        <v>694.6</v>
      </c>
      <c r="G272" s="35">
        <v>639.03</v>
      </c>
      <c r="H272" s="35">
        <f>'SalesData 2'!$F272-'SalesData 2'!$G272</f>
        <v>55.57000000000005</v>
      </c>
    </row>
    <row r="273" spans="1:8" ht="14.4" x14ac:dyDescent="0.25">
      <c r="A273" s="41">
        <v>41645</v>
      </c>
      <c r="B273" s="29" t="s">
        <v>48</v>
      </c>
      <c r="C273" s="14" t="s">
        <v>82</v>
      </c>
      <c r="D273" s="29" t="s">
        <v>122</v>
      </c>
      <c r="E273" s="29" t="s">
        <v>129</v>
      </c>
      <c r="F273" s="30">
        <v>515.69000000000005</v>
      </c>
      <c r="G273" s="36">
        <v>536.32000000000005</v>
      </c>
      <c r="H273" s="36">
        <f>'SalesData 2'!$F273-'SalesData 2'!$G273</f>
        <v>-20.629999999999995</v>
      </c>
    </row>
    <row r="274" spans="1:8" ht="14.4" x14ac:dyDescent="0.25">
      <c r="A274" s="40">
        <v>41646</v>
      </c>
      <c r="B274" s="25" t="s">
        <v>29</v>
      </c>
      <c r="C274" s="9" t="s">
        <v>98</v>
      </c>
      <c r="D274" s="25" t="s">
        <v>120</v>
      </c>
      <c r="E274" s="25" t="s">
        <v>130</v>
      </c>
      <c r="F274" s="26">
        <v>301.61</v>
      </c>
      <c r="G274" s="35">
        <v>271.45</v>
      </c>
      <c r="H274" s="35">
        <f>'SalesData 2'!$F274-'SalesData 2'!$G274</f>
        <v>30.160000000000025</v>
      </c>
    </row>
    <row r="275" spans="1:8" ht="14.4" x14ac:dyDescent="0.25">
      <c r="A275" s="41">
        <v>41646</v>
      </c>
      <c r="B275" s="29" t="s">
        <v>31</v>
      </c>
      <c r="C275" s="14" t="s">
        <v>85</v>
      </c>
      <c r="D275" s="29" t="s">
        <v>120</v>
      </c>
      <c r="E275" s="29" t="s">
        <v>129</v>
      </c>
      <c r="F275" s="30">
        <v>403.54</v>
      </c>
      <c r="G275" s="36">
        <v>367.22</v>
      </c>
      <c r="H275" s="36">
        <f>'SalesData 2'!$F275-'SalesData 2'!$G275</f>
        <v>36.319999999999993</v>
      </c>
    </row>
    <row r="276" spans="1:8" ht="14.4" x14ac:dyDescent="0.25">
      <c r="A276" s="40">
        <v>41647</v>
      </c>
      <c r="B276" s="25" t="s">
        <v>6</v>
      </c>
      <c r="C276" s="9" t="s">
        <v>81</v>
      </c>
      <c r="D276" s="25" t="s">
        <v>118</v>
      </c>
      <c r="E276" s="25" t="s">
        <v>128</v>
      </c>
      <c r="F276" s="26">
        <v>794.58</v>
      </c>
      <c r="G276" s="35">
        <v>770.74</v>
      </c>
      <c r="H276" s="35">
        <f>'SalesData 2'!$F276-'SalesData 2'!$G276</f>
        <v>23.840000000000032</v>
      </c>
    </row>
    <row r="277" spans="1:8" ht="14.4" x14ac:dyDescent="0.25">
      <c r="A277" s="41">
        <v>41647</v>
      </c>
      <c r="B277" s="29" t="s">
        <v>50</v>
      </c>
      <c r="C277" s="14" t="s">
        <v>92</v>
      </c>
      <c r="D277" s="29" t="s">
        <v>122</v>
      </c>
      <c r="E277" s="29" t="s">
        <v>129</v>
      </c>
      <c r="F277" s="30">
        <v>436.28</v>
      </c>
      <c r="G277" s="36">
        <v>418.83</v>
      </c>
      <c r="H277" s="36">
        <f>'SalesData 2'!$F277-'SalesData 2'!$G277</f>
        <v>17.449999999999989</v>
      </c>
    </row>
    <row r="278" spans="1:8" ht="14.4" x14ac:dyDescent="0.25">
      <c r="A278" s="40">
        <v>41647</v>
      </c>
      <c r="B278" s="25" t="s">
        <v>36</v>
      </c>
      <c r="C278" s="9" t="s">
        <v>58</v>
      </c>
      <c r="D278" s="25" t="s">
        <v>121</v>
      </c>
      <c r="E278" s="25" t="s">
        <v>128</v>
      </c>
      <c r="F278" s="26">
        <v>853.09</v>
      </c>
      <c r="G278" s="35">
        <v>836.03000000000009</v>
      </c>
      <c r="H278" s="35">
        <f>'SalesData 2'!$F278-'SalesData 2'!$G278</f>
        <v>17.059999999999945</v>
      </c>
    </row>
    <row r="279" spans="1:8" ht="14.4" x14ac:dyDescent="0.25">
      <c r="A279" s="41">
        <v>41647</v>
      </c>
      <c r="B279" s="29" t="s">
        <v>36</v>
      </c>
      <c r="C279" s="14" t="s">
        <v>90</v>
      </c>
      <c r="D279" s="29" t="s">
        <v>121</v>
      </c>
      <c r="E279" s="29" t="s">
        <v>128</v>
      </c>
      <c r="F279" s="30">
        <v>742.07</v>
      </c>
      <c r="G279" s="36">
        <v>675.28000000000009</v>
      </c>
      <c r="H279" s="36">
        <f>'SalesData 2'!$F279-'SalesData 2'!$G279</f>
        <v>66.789999999999964</v>
      </c>
    </row>
    <row r="280" spans="1:8" ht="14.4" x14ac:dyDescent="0.25">
      <c r="A280" s="40">
        <v>41648</v>
      </c>
      <c r="B280" s="25" t="s">
        <v>38</v>
      </c>
      <c r="C280" s="9" t="s">
        <v>62</v>
      </c>
      <c r="D280" s="25" t="s">
        <v>122</v>
      </c>
      <c r="E280" s="25" t="s">
        <v>130</v>
      </c>
      <c r="F280" s="26">
        <v>628.33000000000004</v>
      </c>
      <c r="G280" s="35">
        <v>571.78000000000009</v>
      </c>
      <c r="H280" s="35">
        <f>'SalesData 2'!$F280-'SalesData 2'!$G280</f>
        <v>56.549999999999955</v>
      </c>
    </row>
    <row r="281" spans="1:8" ht="14.4" x14ac:dyDescent="0.25">
      <c r="A281" s="41">
        <v>41648</v>
      </c>
      <c r="B281" s="29" t="s">
        <v>1</v>
      </c>
      <c r="C281" s="14" t="s">
        <v>1</v>
      </c>
      <c r="D281" s="29" t="s">
        <v>118</v>
      </c>
      <c r="E281" s="29" t="s">
        <v>128</v>
      </c>
      <c r="F281" s="30">
        <v>52.48</v>
      </c>
      <c r="G281" s="36">
        <v>51.43</v>
      </c>
      <c r="H281" s="36">
        <f>'SalesData 2'!$F281-'SalesData 2'!$G281</f>
        <v>1.0499999999999972</v>
      </c>
    </row>
    <row r="282" spans="1:8" ht="14.4" x14ac:dyDescent="0.25">
      <c r="A282" s="40">
        <v>41648</v>
      </c>
      <c r="B282" s="25" t="s">
        <v>34</v>
      </c>
      <c r="C282" s="9" t="s">
        <v>105</v>
      </c>
      <c r="D282" s="25" t="s">
        <v>121</v>
      </c>
      <c r="E282" s="25" t="s">
        <v>129</v>
      </c>
      <c r="F282" s="26">
        <v>711.29</v>
      </c>
      <c r="G282" s="35">
        <v>654.39</v>
      </c>
      <c r="H282" s="35">
        <f>'SalesData 2'!$F282-'SalesData 2'!$G282</f>
        <v>56.899999999999977</v>
      </c>
    </row>
    <row r="283" spans="1:8" ht="14.4" x14ac:dyDescent="0.25">
      <c r="A283" s="41">
        <v>41648</v>
      </c>
      <c r="B283" s="29" t="s">
        <v>6</v>
      </c>
      <c r="C283" s="14" t="s">
        <v>80</v>
      </c>
      <c r="D283" s="29" t="s">
        <v>118</v>
      </c>
      <c r="E283" s="29" t="s">
        <v>129</v>
      </c>
      <c r="F283" s="30">
        <v>563.74</v>
      </c>
      <c r="G283" s="36">
        <v>541.19000000000005</v>
      </c>
      <c r="H283" s="36">
        <f>'SalesData 2'!$F283-'SalesData 2'!$G283</f>
        <v>22.549999999999955</v>
      </c>
    </row>
    <row r="284" spans="1:8" ht="14.4" x14ac:dyDescent="0.25">
      <c r="A284" s="40">
        <v>41650</v>
      </c>
      <c r="B284" s="25" t="s">
        <v>2</v>
      </c>
      <c r="C284" s="9" t="s">
        <v>108</v>
      </c>
      <c r="D284" s="25" t="s">
        <v>118</v>
      </c>
      <c r="E284" s="25" t="s">
        <v>129</v>
      </c>
      <c r="F284" s="26">
        <v>980.35</v>
      </c>
      <c r="G284" s="35">
        <v>892.12</v>
      </c>
      <c r="H284" s="35">
        <f>'SalesData 2'!$F284-'SalesData 2'!$G284</f>
        <v>88.230000000000018</v>
      </c>
    </row>
    <row r="285" spans="1:8" ht="14.4" x14ac:dyDescent="0.25">
      <c r="A285" s="41">
        <v>41650</v>
      </c>
      <c r="B285" s="29" t="s">
        <v>24</v>
      </c>
      <c r="C285" s="14" t="s">
        <v>107</v>
      </c>
      <c r="D285" s="29" t="s">
        <v>119</v>
      </c>
      <c r="E285" s="29" t="s">
        <v>128</v>
      </c>
      <c r="F285" s="30">
        <v>651.85</v>
      </c>
      <c r="G285" s="36">
        <v>638.81000000000006</v>
      </c>
      <c r="H285" s="36">
        <f>'SalesData 2'!$F285-'SalesData 2'!$G285</f>
        <v>13.039999999999964</v>
      </c>
    </row>
    <row r="286" spans="1:8" ht="14.4" x14ac:dyDescent="0.25">
      <c r="A286" s="40">
        <v>41651</v>
      </c>
      <c r="B286" s="25" t="s">
        <v>17</v>
      </c>
      <c r="C286" s="9" t="s">
        <v>74</v>
      </c>
      <c r="D286" s="25" t="s">
        <v>119</v>
      </c>
      <c r="E286" s="25" t="s">
        <v>129</v>
      </c>
      <c r="F286" s="26">
        <v>46.15</v>
      </c>
      <c r="G286" s="35">
        <v>49.379999999999995</v>
      </c>
      <c r="H286" s="35">
        <f>'SalesData 2'!$F286-'SalesData 2'!$G286</f>
        <v>-3.2299999999999969</v>
      </c>
    </row>
    <row r="287" spans="1:8" ht="14.4" x14ac:dyDescent="0.25">
      <c r="A287" s="41">
        <v>41652</v>
      </c>
      <c r="B287" s="29" t="s">
        <v>0</v>
      </c>
      <c r="C287" s="14" t="s">
        <v>114</v>
      </c>
      <c r="D287" s="29" t="s">
        <v>118</v>
      </c>
      <c r="E287" s="29" t="s">
        <v>128</v>
      </c>
      <c r="F287" s="30">
        <v>349.79</v>
      </c>
      <c r="G287" s="36">
        <v>377.77000000000004</v>
      </c>
      <c r="H287" s="36">
        <f>'SalesData 2'!$F287-'SalesData 2'!$G287</f>
        <v>-27.980000000000018</v>
      </c>
    </row>
    <row r="288" spans="1:8" ht="14.4" x14ac:dyDescent="0.25">
      <c r="A288" s="40">
        <v>41652</v>
      </c>
      <c r="B288" s="25" t="s">
        <v>40</v>
      </c>
      <c r="C288" s="9" t="s">
        <v>65</v>
      </c>
      <c r="D288" s="25" t="s">
        <v>122</v>
      </c>
      <c r="E288" s="25" t="s">
        <v>130</v>
      </c>
      <c r="F288" s="26">
        <v>87.93</v>
      </c>
      <c r="G288" s="35">
        <v>82.65</v>
      </c>
      <c r="H288" s="35">
        <f>'SalesData 2'!$F288-'SalesData 2'!$G288</f>
        <v>5.2800000000000011</v>
      </c>
    </row>
    <row r="289" spans="1:8" ht="14.4" x14ac:dyDescent="0.25">
      <c r="A289" s="41">
        <v>41652</v>
      </c>
      <c r="B289" s="29" t="s">
        <v>25</v>
      </c>
      <c r="C289" s="14" t="s">
        <v>94</v>
      </c>
      <c r="D289" s="29" t="s">
        <v>119</v>
      </c>
      <c r="E289" s="29" t="s">
        <v>128</v>
      </c>
      <c r="F289" s="30">
        <v>386.89</v>
      </c>
      <c r="G289" s="36">
        <v>406.22999999999996</v>
      </c>
      <c r="H289" s="36">
        <f>'SalesData 2'!$F289-'SalesData 2'!$G289</f>
        <v>-19.339999999999975</v>
      </c>
    </row>
    <row r="290" spans="1:8" ht="14.4" x14ac:dyDescent="0.25">
      <c r="A290" s="40">
        <v>41653</v>
      </c>
      <c r="B290" s="25" t="s">
        <v>40</v>
      </c>
      <c r="C290" s="9" t="s">
        <v>111</v>
      </c>
      <c r="D290" s="25" t="s">
        <v>122</v>
      </c>
      <c r="E290" s="25" t="s">
        <v>129</v>
      </c>
      <c r="F290" s="26">
        <v>894.21</v>
      </c>
      <c r="G290" s="35">
        <v>965.75</v>
      </c>
      <c r="H290" s="35">
        <f>'SalesData 2'!$F290-'SalesData 2'!$G290</f>
        <v>-71.539999999999964</v>
      </c>
    </row>
    <row r="291" spans="1:8" ht="14.4" x14ac:dyDescent="0.25">
      <c r="A291" s="41">
        <v>41653</v>
      </c>
      <c r="B291" s="29" t="s">
        <v>7</v>
      </c>
      <c r="C291" s="14" t="s">
        <v>99</v>
      </c>
      <c r="D291" s="29" t="s">
        <v>118</v>
      </c>
      <c r="E291" s="29" t="s">
        <v>129</v>
      </c>
      <c r="F291" s="30">
        <v>352.89</v>
      </c>
      <c r="G291" s="36">
        <v>321.13</v>
      </c>
      <c r="H291" s="36">
        <f>'SalesData 2'!$F291-'SalesData 2'!$G291</f>
        <v>31.759999999999991</v>
      </c>
    </row>
    <row r="292" spans="1:8" ht="14.4" x14ac:dyDescent="0.25">
      <c r="A292" s="40">
        <v>41653</v>
      </c>
      <c r="B292" s="25" t="s">
        <v>30</v>
      </c>
      <c r="C292" s="9" t="s">
        <v>88</v>
      </c>
      <c r="D292" s="25" t="s">
        <v>120</v>
      </c>
      <c r="E292" s="25" t="s">
        <v>128</v>
      </c>
      <c r="F292" s="26">
        <v>694.54</v>
      </c>
      <c r="G292" s="35">
        <v>687.58999999999992</v>
      </c>
      <c r="H292" s="35">
        <f>'SalesData 2'!$F292-'SalesData 2'!$G292</f>
        <v>6.9500000000000455</v>
      </c>
    </row>
    <row r="293" spans="1:8" ht="14.4" x14ac:dyDescent="0.25">
      <c r="A293" s="41">
        <v>41654</v>
      </c>
      <c r="B293" s="29" t="s">
        <v>21</v>
      </c>
      <c r="C293" s="14" t="s">
        <v>79</v>
      </c>
      <c r="D293" s="29" t="s">
        <v>119</v>
      </c>
      <c r="E293" s="29" t="s">
        <v>129</v>
      </c>
      <c r="F293" s="30">
        <v>744.63</v>
      </c>
      <c r="G293" s="36">
        <v>759.52</v>
      </c>
      <c r="H293" s="36">
        <f>'SalesData 2'!$F293-'SalesData 2'!$G293</f>
        <v>-14.889999999999986</v>
      </c>
    </row>
    <row r="294" spans="1:8" ht="14.4" x14ac:dyDescent="0.25">
      <c r="A294" s="40">
        <v>41654</v>
      </c>
      <c r="B294" s="25" t="s">
        <v>28</v>
      </c>
      <c r="C294" s="9" t="s">
        <v>103</v>
      </c>
      <c r="D294" s="25" t="s">
        <v>120</v>
      </c>
      <c r="E294" s="25" t="s">
        <v>128</v>
      </c>
      <c r="F294" s="26">
        <v>740.66</v>
      </c>
      <c r="G294" s="35">
        <v>666.58999999999992</v>
      </c>
      <c r="H294" s="35">
        <f>'SalesData 2'!$F294-'SalesData 2'!$G294</f>
        <v>74.07000000000005</v>
      </c>
    </row>
    <row r="295" spans="1:8" ht="14.4" x14ac:dyDescent="0.25">
      <c r="A295" s="41">
        <v>41654</v>
      </c>
      <c r="B295" s="29" t="s">
        <v>8</v>
      </c>
      <c r="C295" s="14" t="s">
        <v>54</v>
      </c>
      <c r="D295" s="29" t="s">
        <v>118</v>
      </c>
      <c r="E295" s="29" t="s">
        <v>130</v>
      </c>
      <c r="F295" s="30">
        <v>717.16</v>
      </c>
      <c r="G295" s="36">
        <v>724.32999999999993</v>
      </c>
      <c r="H295" s="36">
        <f>'SalesData 2'!$F295-'SalesData 2'!$G295</f>
        <v>-7.1699999999999591</v>
      </c>
    </row>
    <row r="296" spans="1:8" ht="14.4" x14ac:dyDescent="0.25">
      <c r="A296" s="40">
        <v>41654</v>
      </c>
      <c r="B296" s="25" t="s">
        <v>49</v>
      </c>
      <c r="C296" s="9" t="s">
        <v>72</v>
      </c>
      <c r="D296" s="25" t="s">
        <v>122</v>
      </c>
      <c r="E296" s="25" t="s">
        <v>130</v>
      </c>
      <c r="F296" s="26">
        <v>890.82</v>
      </c>
      <c r="G296" s="35">
        <v>962.09</v>
      </c>
      <c r="H296" s="35">
        <f>'SalesData 2'!$F296-'SalesData 2'!$G296</f>
        <v>-71.269999999999982</v>
      </c>
    </row>
    <row r="297" spans="1:8" ht="14.4" x14ac:dyDescent="0.25">
      <c r="A297" s="41">
        <v>41654</v>
      </c>
      <c r="B297" s="29" t="s">
        <v>37</v>
      </c>
      <c r="C297" s="14" t="s">
        <v>87</v>
      </c>
      <c r="D297" s="29" t="s">
        <v>121</v>
      </c>
      <c r="E297" s="29" t="s">
        <v>128</v>
      </c>
      <c r="F297" s="30">
        <v>971.11</v>
      </c>
      <c r="G297" s="36">
        <v>903.13</v>
      </c>
      <c r="H297" s="36">
        <f>'SalesData 2'!$F297-'SalesData 2'!$G297</f>
        <v>67.980000000000018</v>
      </c>
    </row>
    <row r="298" spans="1:8" ht="14.4" x14ac:dyDescent="0.25">
      <c r="A298" s="40">
        <v>41655</v>
      </c>
      <c r="B298" s="25" t="s">
        <v>20</v>
      </c>
      <c r="C298" s="9" t="s">
        <v>112</v>
      </c>
      <c r="D298" s="25" t="s">
        <v>119</v>
      </c>
      <c r="E298" s="25" t="s">
        <v>129</v>
      </c>
      <c r="F298" s="26">
        <v>668.57</v>
      </c>
      <c r="G298" s="35">
        <v>668.57</v>
      </c>
      <c r="H298" s="35">
        <f>'SalesData 2'!$F298-'SalesData 2'!$G298</f>
        <v>0</v>
      </c>
    </row>
    <row r="299" spans="1:8" ht="14.4" x14ac:dyDescent="0.25">
      <c r="A299" s="41">
        <v>41655</v>
      </c>
      <c r="B299" s="29" t="s">
        <v>3</v>
      </c>
      <c r="C299" s="14" t="s">
        <v>66</v>
      </c>
      <c r="D299" s="29" t="s">
        <v>118</v>
      </c>
      <c r="E299" s="29" t="s">
        <v>129</v>
      </c>
      <c r="F299" s="30">
        <v>932.04</v>
      </c>
      <c r="G299" s="36">
        <v>857.48</v>
      </c>
      <c r="H299" s="36">
        <f>'SalesData 2'!$F299-'SalesData 2'!$G299</f>
        <v>74.559999999999945</v>
      </c>
    </row>
    <row r="300" spans="1:8" ht="14.4" x14ac:dyDescent="0.25">
      <c r="A300" s="40">
        <v>41655</v>
      </c>
      <c r="B300" s="25" t="s">
        <v>47</v>
      </c>
      <c r="C300" s="9" t="s">
        <v>96</v>
      </c>
      <c r="D300" s="25" t="s">
        <v>122</v>
      </c>
      <c r="E300" s="25" t="s">
        <v>129</v>
      </c>
      <c r="F300" s="26">
        <v>966.64</v>
      </c>
      <c r="G300" s="35">
        <v>985.97</v>
      </c>
      <c r="H300" s="35">
        <f>'SalesData 2'!$F300-'SalesData 2'!$G300</f>
        <v>-19.330000000000041</v>
      </c>
    </row>
    <row r="301" spans="1:8" ht="14.4" x14ac:dyDescent="0.25">
      <c r="A301" s="41">
        <v>41655</v>
      </c>
      <c r="B301" s="29" t="s">
        <v>9</v>
      </c>
      <c r="C301" s="14" t="s">
        <v>95</v>
      </c>
      <c r="D301" s="29" t="s">
        <v>118</v>
      </c>
      <c r="E301" s="29" t="s">
        <v>128</v>
      </c>
      <c r="F301" s="30">
        <v>684.43</v>
      </c>
      <c r="G301" s="36">
        <v>725.5</v>
      </c>
      <c r="H301" s="36">
        <f>'SalesData 2'!$F301-'SalesData 2'!$G301</f>
        <v>-41.07000000000005</v>
      </c>
    </row>
    <row r="302" spans="1:8" ht="14.4" x14ac:dyDescent="0.25">
      <c r="A302" s="40">
        <v>41655</v>
      </c>
      <c r="B302" s="25" t="s">
        <v>15</v>
      </c>
      <c r="C302" s="9" t="s">
        <v>60</v>
      </c>
      <c r="D302" s="25" t="s">
        <v>118</v>
      </c>
      <c r="E302" s="25" t="s">
        <v>129</v>
      </c>
      <c r="F302" s="26">
        <v>371.36</v>
      </c>
      <c r="G302" s="35">
        <v>401.07</v>
      </c>
      <c r="H302" s="35">
        <f>'SalesData 2'!$F302-'SalesData 2'!$G302</f>
        <v>-29.70999999999998</v>
      </c>
    </row>
    <row r="303" spans="1:8" ht="14.4" x14ac:dyDescent="0.25">
      <c r="A303" s="41">
        <v>41656</v>
      </c>
      <c r="B303" s="29" t="s">
        <v>19</v>
      </c>
      <c r="C303" s="14" t="s">
        <v>113</v>
      </c>
      <c r="D303" s="29" t="s">
        <v>119</v>
      </c>
      <c r="E303" s="29" t="s">
        <v>130</v>
      </c>
      <c r="F303" s="30">
        <v>669.9</v>
      </c>
      <c r="G303" s="36">
        <v>636.4</v>
      </c>
      <c r="H303" s="36">
        <f>'SalesData 2'!$F303-'SalesData 2'!$G303</f>
        <v>33.5</v>
      </c>
    </row>
    <row r="304" spans="1:8" ht="14.4" x14ac:dyDescent="0.25">
      <c r="A304" s="40">
        <v>41656</v>
      </c>
      <c r="B304" s="25" t="s">
        <v>41</v>
      </c>
      <c r="C304" s="9" t="s">
        <v>67</v>
      </c>
      <c r="D304" s="25" t="s">
        <v>122</v>
      </c>
      <c r="E304" s="25" t="s">
        <v>129</v>
      </c>
      <c r="F304" s="26">
        <v>826.48</v>
      </c>
      <c r="G304" s="35">
        <v>834.74</v>
      </c>
      <c r="H304" s="35">
        <f>'SalesData 2'!$F304-'SalesData 2'!$G304</f>
        <v>-8.2599999999999909</v>
      </c>
    </row>
    <row r="305" spans="1:8" ht="14.4" x14ac:dyDescent="0.25">
      <c r="A305" s="41">
        <v>41657</v>
      </c>
      <c r="B305" s="29" t="s">
        <v>38</v>
      </c>
      <c r="C305" s="14" t="s">
        <v>116</v>
      </c>
      <c r="D305" s="29" t="s">
        <v>122</v>
      </c>
      <c r="E305" s="29" t="s">
        <v>128</v>
      </c>
      <c r="F305" s="30">
        <v>343.36</v>
      </c>
      <c r="G305" s="36">
        <v>315.89</v>
      </c>
      <c r="H305" s="36">
        <f>'SalesData 2'!$F305-'SalesData 2'!$G305</f>
        <v>27.470000000000027</v>
      </c>
    </row>
    <row r="306" spans="1:8" ht="14.4" x14ac:dyDescent="0.25">
      <c r="A306" s="40">
        <v>41657</v>
      </c>
      <c r="B306" s="25" t="s">
        <v>18</v>
      </c>
      <c r="C306" s="9" t="s">
        <v>64</v>
      </c>
      <c r="D306" s="25" t="s">
        <v>119</v>
      </c>
      <c r="E306" s="25" t="s">
        <v>130</v>
      </c>
      <c r="F306" s="26">
        <v>523.17999999999995</v>
      </c>
      <c r="G306" s="35">
        <v>533.64</v>
      </c>
      <c r="H306" s="35">
        <f>'SalesData 2'!$F306-'SalesData 2'!$G306</f>
        <v>-10.460000000000036</v>
      </c>
    </row>
    <row r="307" spans="1:8" ht="14.4" x14ac:dyDescent="0.25">
      <c r="A307" s="41">
        <v>41657</v>
      </c>
      <c r="B307" s="29" t="s">
        <v>23</v>
      </c>
      <c r="C307" s="14" t="s">
        <v>109</v>
      </c>
      <c r="D307" s="29" t="s">
        <v>119</v>
      </c>
      <c r="E307" s="29" t="s">
        <v>129</v>
      </c>
      <c r="F307" s="30">
        <v>32.979999999999997</v>
      </c>
      <c r="G307" s="36">
        <v>35.619999999999997</v>
      </c>
      <c r="H307" s="36">
        <f>'SalesData 2'!$F307-'SalesData 2'!$G307</f>
        <v>-2.6400000000000006</v>
      </c>
    </row>
    <row r="308" spans="1:8" ht="14.4" x14ac:dyDescent="0.25">
      <c r="A308" s="40">
        <v>41657</v>
      </c>
      <c r="B308" s="25" t="s">
        <v>4</v>
      </c>
      <c r="C308" s="9" t="s">
        <v>70</v>
      </c>
      <c r="D308" s="25" t="s">
        <v>118</v>
      </c>
      <c r="E308" s="25" t="s">
        <v>130</v>
      </c>
      <c r="F308" s="26">
        <v>34.43</v>
      </c>
      <c r="G308" s="35">
        <v>35.81</v>
      </c>
      <c r="H308" s="35">
        <f>'SalesData 2'!$F308-'SalesData 2'!$G308</f>
        <v>-1.3800000000000026</v>
      </c>
    </row>
    <row r="309" spans="1:8" ht="14.4" x14ac:dyDescent="0.25">
      <c r="A309" s="41">
        <v>41657</v>
      </c>
      <c r="B309" s="29" t="s">
        <v>30</v>
      </c>
      <c r="C309" s="14" t="s">
        <v>88</v>
      </c>
      <c r="D309" s="29" t="s">
        <v>120</v>
      </c>
      <c r="E309" s="29" t="s">
        <v>128</v>
      </c>
      <c r="F309" s="30">
        <v>363.1</v>
      </c>
      <c r="G309" s="36">
        <v>334.05</v>
      </c>
      <c r="H309" s="36">
        <f>'SalesData 2'!$F309-'SalesData 2'!$G309</f>
        <v>29.050000000000011</v>
      </c>
    </row>
    <row r="310" spans="1:8" ht="14.4" x14ac:dyDescent="0.25">
      <c r="A310" s="40">
        <v>41658</v>
      </c>
      <c r="B310" s="25" t="s">
        <v>42</v>
      </c>
      <c r="C310" s="9" t="s">
        <v>69</v>
      </c>
      <c r="D310" s="25" t="s">
        <v>122</v>
      </c>
      <c r="E310" s="25" t="s">
        <v>129</v>
      </c>
      <c r="F310" s="26">
        <v>270.56</v>
      </c>
      <c r="G310" s="35">
        <v>281.38</v>
      </c>
      <c r="H310" s="35">
        <f>'SalesData 2'!$F310-'SalesData 2'!$G310</f>
        <v>-10.819999999999993</v>
      </c>
    </row>
    <row r="311" spans="1:8" ht="14.4" x14ac:dyDescent="0.25">
      <c r="A311" s="41">
        <v>41658</v>
      </c>
      <c r="B311" s="29" t="s">
        <v>35</v>
      </c>
      <c r="C311" s="14" t="s">
        <v>97</v>
      </c>
      <c r="D311" s="29" t="s">
        <v>121</v>
      </c>
      <c r="E311" s="29" t="s">
        <v>129</v>
      </c>
      <c r="F311" s="30">
        <v>84.09</v>
      </c>
      <c r="G311" s="36">
        <v>86.61</v>
      </c>
      <c r="H311" s="36">
        <f>'SalesData 2'!$F311-'SalesData 2'!$G311</f>
        <v>-2.519999999999996</v>
      </c>
    </row>
    <row r="312" spans="1:8" ht="14.4" x14ac:dyDescent="0.25">
      <c r="A312" s="40">
        <v>41658</v>
      </c>
      <c r="B312" s="25" t="s">
        <v>51</v>
      </c>
      <c r="C312" s="9" t="s">
        <v>86</v>
      </c>
      <c r="D312" s="25" t="s">
        <v>122</v>
      </c>
      <c r="E312" s="25" t="s">
        <v>129</v>
      </c>
      <c r="F312" s="26">
        <v>114.71</v>
      </c>
      <c r="G312" s="35">
        <v>117</v>
      </c>
      <c r="H312" s="35">
        <f>'SalesData 2'!$F312-'SalesData 2'!$G312</f>
        <v>-2.2900000000000063</v>
      </c>
    </row>
    <row r="313" spans="1:8" ht="14.4" x14ac:dyDescent="0.25">
      <c r="A313" s="41">
        <v>41659</v>
      </c>
      <c r="B313" s="29" t="s">
        <v>22</v>
      </c>
      <c r="C313" s="14" t="s">
        <v>77</v>
      </c>
      <c r="D313" s="29" t="s">
        <v>119</v>
      </c>
      <c r="E313" s="29" t="s">
        <v>130</v>
      </c>
      <c r="F313" s="30">
        <v>115</v>
      </c>
      <c r="G313" s="36">
        <v>113.85</v>
      </c>
      <c r="H313" s="36">
        <f>'SalesData 2'!$F313-'SalesData 2'!$G313</f>
        <v>1.1500000000000057</v>
      </c>
    </row>
    <row r="314" spans="1:8" ht="14.4" x14ac:dyDescent="0.25">
      <c r="A314" s="40">
        <v>41660</v>
      </c>
      <c r="B314" s="25" t="s">
        <v>41</v>
      </c>
      <c r="C314" s="9" t="s">
        <v>68</v>
      </c>
      <c r="D314" s="25" t="s">
        <v>122</v>
      </c>
      <c r="E314" s="25" t="s">
        <v>129</v>
      </c>
      <c r="F314" s="26">
        <v>102.1</v>
      </c>
      <c r="G314" s="35">
        <v>107.21</v>
      </c>
      <c r="H314" s="35">
        <f>'SalesData 2'!$F314-'SalesData 2'!$G314</f>
        <v>-5.1099999999999994</v>
      </c>
    </row>
    <row r="315" spans="1:8" ht="14.4" x14ac:dyDescent="0.25">
      <c r="A315" s="41">
        <v>41660</v>
      </c>
      <c r="B315" s="29" t="s">
        <v>14</v>
      </c>
      <c r="C315" s="14" t="s">
        <v>83</v>
      </c>
      <c r="D315" s="29" t="s">
        <v>118</v>
      </c>
      <c r="E315" s="29" t="s">
        <v>129</v>
      </c>
      <c r="F315" s="30">
        <v>575.53</v>
      </c>
      <c r="G315" s="36">
        <v>575.53</v>
      </c>
      <c r="H315" s="36">
        <f>'SalesData 2'!$F315-'SalesData 2'!$G315</f>
        <v>0</v>
      </c>
    </row>
    <row r="316" spans="1:8" ht="14.4" x14ac:dyDescent="0.25">
      <c r="A316" s="40">
        <v>41661</v>
      </c>
      <c r="B316" s="25" t="s">
        <v>27</v>
      </c>
      <c r="C316" s="9" t="s">
        <v>110</v>
      </c>
      <c r="D316" s="25" t="s">
        <v>120</v>
      </c>
      <c r="E316" s="25" t="s">
        <v>130</v>
      </c>
      <c r="F316" s="26">
        <v>120.75</v>
      </c>
      <c r="G316" s="35">
        <v>119.54</v>
      </c>
      <c r="H316" s="35">
        <f>'SalesData 2'!$F316-'SalesData 2'!$G316</f>
        <v>1.2099999999999937</v>
      </c>
    </row>
    <row r="317" spans="1:8" ht="14.4" x14ac:dyDescent="0.25">
      <c r="A317" s="41">
        <v>41661</v>
      </c>
      <c r="B317" s="29" t="s">
        <v>36</v>
      </c>
      <c r="C317" s="14" t="s">
        <v>59</v>
      </c>
      <c r="D317" s="29" t="s">
        <v>121</v>
      </c>
      <c r="E317" s="29" t="s">
        <v>129</v>
      </c>
      <c r="F317" s="30">
        <v>959.33</v>
      </c>
      <c r="G317" s="36">
        <v>1007.3000000000001</v>
      </c>
      <c r="H317" s="36">
        <f>'SalesData 2'!$F317-'SalesData 2'!$G317</f>
        <v>-47.970000000000027</v>
      </c>
    </row>
    <row r="318" spans="1:8" ht="14.4" x14ac:dyDescent="0.25">
      <c r="A318" s="40">
        <v>41661</v>
      </c>
      <c r="B318" s="25" t="s">
        <v>16</v>
      </c>
      <c r="C318" s="9" t="s">
        <v>61</v>
      </c>
      <c r="D318" s="25" t="s">
        <v>118</v>
      </c>
      <c r="E318" s="25" t="s">
        <v>130</v>
      </c>
      <c r="F318" s="26">
        <v>337.98</v>
      </c>
      <c r="G318" s="35">
        <v>324.46000000000004</v>
      </c>
      <c r="H318" s="35">
        <f>'SalesData 2'!$F318-'SalesData 2'!$G318</f>
        <v>13.519999999999982</v>
      </c>
    </row>
    <row r="319" spans="1:8" ht="14.4" x14ac:dyDescent="0.25">
      <c r="A319" s="41">
        <v>41662</v>
      </c>
      <c r="B319" s="29" t="s">
        <v>33</v>
      </c>
      <c r="C319" s="14" t="s">
        <v>115</v>
      </c>
      <c r="D319" s="29" t="s">
        <v>121</v>
      </c>
      <c r="E319" s="29" t="s">
        <v>128</v>
      </c>
      <c r="F319" s="30">
        <v>498.16</v>
      </c>
      <c r="G319" s="36">
        <v>463.29</v>
      </c>
      <c r="H319" s="36">
        <f>'SalesData 2'!$F319-'SalesData 2'!$G319</f>
        <v>34.870000000000005</v>
      </c>
    </row>
    <row r="320" spans="1:8" ht="14.4" x14ac:dyDescent="0.25">
      <c r="A320" s="40">
        <v>41662</v>
      </c>
      <c r="B320" s="25" t="s">
        <v>48</v>
      </c>
      <c r="C320" s="9" t="s">
        <v>71</v>
      </c>
      <c r="D320" s="25" t="s">
        <v>122</v>
      </c>
      <c r="E320" s="25" t="s">
        <v>128</v>
      </c>
      <c r="F320" s="26">
        <v>213.25</v>
      </c>
      <c r="G320" s="35">
        <v>228.18</v>
      </c>
      <c r="H320" s="35">
        <f>'SalesData 2'!$F320-'SalesData 2'!$G320</f>
        <v>-14.930000000000007</v>
      </c>
    </row>
    <row r="321" spans="1:8" ht="14.4" x14ac:dyDescent="0.25">
      <c r="A321" s="41">
        <v>41662</v>
      </c>
      <c r="B321" s="29" t="s">
        <v>10</v>
      </c>
      <c r="C321" s="14" t="s">
        <v>93</v>
      </c>
      <c r="D321" s="29" t="s">
        <v>118</v>
      </c>
      <c r="E321" s="29" t="s">
        <v>130</v>
      </c>
      <c r="F321" s="30">
        <v>165.84</v>
      </c>
      <c r="G321" s="36">
        <v>167.5</v>
      </c>
      <c r="H321" s="36">
        <f>'SalesData 2'!$F321-'SalesData 2'!$G321</f>
        <v>-1.6599999999999966</v>
      </c>
    </row>
    <row r="322" spans="1:8" ht="14.4" x14ac:dyDescent="0.25">
      <c r="A322" s="40">
        <v>41663</v>
      </c>
      <c r="B322" s="25" t="s">
        <v>36</v>
      </c>
      <c r="C322" s="9" t="s">
        <v>57</v>
      </c>
      <c r="D322" s="25" t="s">
        <v>121</v>
      </c>
      <c r="E322" s="25" t="s">
        <v>129</v>
      </c>
      <c r="F322" s="26">
        <v>402.33</v>
      </c>
      <c r="G322" s="35">
        <v>362.09999999999997</v>
      </c>
      <c r="H322" s="35">
        <f>'SalesData 2'!$F322-'SalesData 2'!$G322</f>
        <v>40.230000000000018</v>
      </c>
    </row>
    <row r="323" spans="1:8" ht="14.4" x14ac:dyDescent="0.25">
      <c r="A323" s="41">
        <v>41663</v>
      </c>
      <c r="B323" s="29" t="s">
        <v>12</v>
      </c>
      <c r="C323" s="14" t="s">
        <v>89</v>
      </c>
      <c r="D323" s="29" t="s">
        <v>118</v>
      </c>
      <c r="E323" s="29" t="s">
        <v>128</v>
      </c>
      <c r="F323" s="30">
        <v>771.7</v>
      </c>
      <c r="G323" s="36">
        <v>740.83</v>
      </c>
      <c r="H323" s="36">
        <f>'SalesData 2'!$F323-'SalesData 2'!$G323</f>
        <v>30.870000000000005</v>
      </c>
    </row>
    <row r="324" spans="1:8" ht="14.4" x14ac:dyDescent="0.25">
      <c r="A324" s="40">
        <v>41664</v>
      </c>
      <c r="B324" s="25" t="s">
        <v>11</v>
      </c>
      <c r="C324" s="9" t="s">
        <v>91</v>
      </c>
      <c r="D324" s="25" t="s">
        <v>118</v>
      </c>
      <c r="E324" s="25" t="s">
        <v>129</v>
      </c>
      <c r="F324" s="26">
        <v>328.62</v>
      </c>
      <c r="G324" s="35">
        <v>295.76</v>
      </c>
      <c r="H324" s="35">
        <f>'SalesData 2'!$F324-'SalesData 2'!$G324</f>
        <v>32.860000000000014</v>
      </c>
    </row>
    <row r="325" spans="1:8" ht="14.4" x14ac:dyDescent="0.25">
      <c r="A325" s="41">
        <v>41665</v>
      </c>
      <c r="B325" s="29" t="s">
        <v>18</v>
      </c>
      <c r="C325" s="14" t="s">
        <v>63</v>
      </c>
      <c r="D325" s="29" t="s">
        <v>119</v>
      </c>
      <c r="E325" s="29" t="s">
        <v>129</v>
      </c>
      <c r="F325" s="30">
        <v>18.45</v>
      </c>
      <c r="G325" s="36">
        <v>18.82</v>
      </c>
      <c r="H325" s="36">
        <f>'SalesData 2'!$F325-'SalesData 2'!$G325</f>
        <v>-0.37000000000000099</v>
      </c>
    </row>
    <row r="326" spans="1:8" ht="14.4" x14ac:dyDescent="0.25">
      <c r="A326" s="40">
        <v>41666</v>
      </c>
      <c r="B326" s="25" t="s">
        <v>22</v>
      </c>
      <c r="C326" s="9" t="s">
        <v>76</v>
      </c>
      <c r="D326" s="25" t="s">
        <v>119</v>
      </c>
      <c r="E326" s="25" t="s">
        <v>128</v>
      </c>
      <c r="F326" s="26">
        <v>750.42</v>
      </c>
      <c r="G326" s="35">
        <v>750.42</v>
      </c>
      <c r="H326" s="35">
        <f>'SalesData 2'!$F326-'SalesData 2'!$G326</f>
        <v>0</v>
      </c>
    </row>
    <row r="327" spans="1:8" ht="14.4" x14ac:dyDescent="0.25">
      <c r="A327" s="41">
        <v>41666</v>
      </c>
      <c r="B327" s="29" t="s">
        <v>43</v>
      </c>
      <c r="C327" s="14" t="s">
        <v>106</v>
      </c>
      <c r="D327" s="29" t="s">
        <v>122</v>
      </c>
      <c r="E327" s="29" t="s">
        <v>130</v>
      </c>
      <c r="F327" s="30">
        <v>311.31</v>
      </c>
      <c r="G327" s="36">
        <v>311.31</v>
      </c>
      <c r="H327" s="36">
        <f>'SalesData 2'!$F327-'SalesData 2'!$G327</f>
        <v>0</v>
      </c>
    </row>
    <row r="328" spans="1:8" ht="14.4" x14ac:dyDescent="0.25">
      <c r="A328" s="40">
        <v>41667</v>
      </c>
      <c r="B328" s="25" t="s">
        <v>46</v>
      </c>
      <c r="C328" s="9" t="s">
        <v>100</v>
      </c>
      <c r="D328" s="25" t="s">
        <v>122</v>
      </c>
      <c r="E328" s="25" t="s">
        <v>128</v>
      </c>
      <c r="F328" s="26">
        <v>702.51</v>
      </c>
      <c r="G328" s="35">
        <v>681.43</v>
      </c>
      <c r="H328" s="35">
        <f>'SalesData 2'!$F328-'SalesData 2'!$G328</f>
        <v>21.080000000000041</v>
      </c>
    </row>
    <row r="329" spans="1:8" ht="14.4" x14ac:dyDescent="0.25">
      <c r="A329" s="41">
        <v>41667</v>
      </c>
      <c r="B329" s="29" t="s">
        <v>48</v>
      </c>
      <c r="C329" s="14" t="s">
        <v>55</v>
      </c>
      <c r="D329" s="29" t="s">
        <v>122</v>
      </c>
      <c r="E329" s="29" t="s">
        <v>129</v>
      </c>
      <c r="F329" s="30">
        <v>7.23</v>
      </c>
      <c r="G329" s="36">
        <v>6.5100000000000007</v>
      </c>
      <c r="H329" s="36">
        <f>'SalesData 2'!$F329-'SalesData 2'!$G329</f>
        <v>0.71999999999999975</v>
      </c>
    </row>
    <row r="330" spans="1:8" ht="14.4" x14ac:dyDescent="0.25">
      <c r="A330" s="40">
        <v>41667</v>
      </c>
      <c r="B330" s="25" t="s">
        <v>32</v>
      </c>
      <c r="C330" s="9" t="s">
        <v>126</v>
      </c>
      <c r="D330" s="25" t="s">
        <v>120</v>
      </c>
      <c r="E330" s="25" t="s">
        <v>129</v>
      </c>
      <c r="F330" s="26">
        <v>623.24</v>
      </c>
      <c r="G330" s="35">
        <v>666.87</v>
      </c>
      <c r="H330" s="35">
        <f>'SalesData 2'!$F330-'SalesData 2'!$G330</f>
        <v>-43.629999999999995</v>
      </c>
    </row>
    <row r="331" spans="1:8" ht="14.4" x14ac:dyDescent="0.25">
      <c r="A331" s="41">
        <v>41674</v>
      </c>
      <c r="B331" s="29" t="s">
        <v>39</v>
      </c>
      <c r="C331" s="14" t="s">
        <v>75</v>
      </c>
      <c r="D331" s="29" t="s">
        <v>122</v>
      </c>
      <c r="E331" s="29" t="s">
        <v>128</v>
      </c>
      <c r="F331" s="30">
        <v>960.39</v>
      </c>
      <c r="G331" s="36">
        <v>1037.22</v>
      </c>
      <c r="H331" s="36">
        <f>'SalesData 2'!$F331-'SalesData 2'!$G331</f>
        <v>-76.830000000000041</v>
      </c>
    </row>
    <row r="332" spans="1:8" ht="14.4" x14ac:dyDescent="0.25">
      <c r="A332" s="40">
        <v>41674</v>
      </c>
      <c r="B332" s="25" t="s">
        <v>21</v>
      </c>
      <c r="C332" s="9" t="s">
        <v>79</v>
      </c>
      <c r="D332" s="25" t="s">
        <v>119</v>
      </c>
      <c r="E332" s="25" t="s">
        <v>129</v>
      </c>
      <c r="F332" s="26">
        <v>277.93</v>
      </c>
      <c r="G332" s="35">
        <v>269.59000000000003</v>
      </c>
      <c r="H332" s="35">
        <f>'SalesData 2'!$F332-'SalesData 2'!$G332</f>
        <v>8.339999999999975</v>
      </c>
    </row>
    <row r="333" spans="1:8" ht="14.4" x14ac:dyDescent="0.25">
      <c r="A333" s="41">
        <v>41677</v>
      </c>
      <c r="B333" s="29" t="s">
        <v>38</v>
      </c>
      <c r="C333" s="14" t="s">
        <v>62</v>
      </c>
      <c r="D333" s="29" t="s">
        <v>122</v>
      </c>
      <c r="E333" s="29" t="s">
        <v>129</v>
      </c>
      <c r="F333" s="30">
        <v>435.4</v>
      </c>
      <c r="G333" s="36">
        <v>396.21</v>
      </c>
      <c r="H333" s="36">
        <f>'SalesData 2'!$F333-'SalesData 2'!$G333</f>
        <v>39.19</v>
      </c>
    </row>
    <row r="334" spans="1:8" ht="14.4" x14ac:dyDescent="0.25">
      <c r="A334" s="40">
        <v>41678</v>
      </c>
      <c r="B334" s="25" t="s">
        <v>48</v>
      </c>
      <c r="C334" s="9" t="s">
        <v>55</v>
      </c>
      <c r="D334" s="25" t="s">
        <v>122</v>
      </c>
      <c r="E334" s="25" t="s">
        <v>129</v>
      </c>
      <c r="F334" s="26">
        <v>732.29</v>
      </c>
      <c r="G334" s="35">
        <v>666.38</v>
      </c>
      <c r="H334" s="35">
        <f>'SalesData 2'!$F334-'SalesData 2'!$G334</f>
        <v>65.909999999999968</v>
      </c>
    </row>
    <row r="335" spans="1:8" ht="14.4" x14ac:dyDescent="0.25">
      <c r="A335" s="41">
        <v>41678</v>
      </c>
      <c r="B335" s="29" t="s">
        <v>14</v>
      </c>
      <c r="C335" s="14" t="s">
        <v>83</v>
      </c>
      <c r="D335" s="29" t="s">
        <v>118</v>
      </c>
      <c r="E335" s="29" t="s">
        <v>129</v>
      </c>
      <c r="F335" s="30">
        <v>1.1400000000000001</v>
      </c>
      <c r="G335" s="36">
        <v>1.08</v>
      </c>
      <c r="H335" s="36">
        <f>'SalesData 2'!$F335-'SalesData 2'!$G335</f>
        <v>6.0000000000000053E-2</v>
      </c>
    </row>
    <row r="336" spans="1:8" ht="14.4" x14ac:dyDescent="0.25">
      <c r="A336" s="40">
        <v>41679</v>
      </c>
      <c r="B336" s="25" t="s">
        <v>18</v>
      </c>
      <c r="C336" s="9" t="s">
        <v>63</v>
      </c>
      <c r="D336" s="25" t="s">
        <v>119</v>
      </c>
      <c r="E336" s="25" t="s">
        <v>130</v>
      </c>
      <c r="F336" s="26">
        <v>213.92</v>
      </c>
      <c r="G336" s="35">
        <v>218.2</v>
      </c>
      <c r="H336" s="35">
        <f>'SalesData 2'!$F336-'SalesData 2'!$G336</f>
        <v>-4.2800000000000011</v>
      </c>
    </row>
    <row r="337" spans="1:8" ht="14.4" x14ac:dyDescent="0.25">
      <c r="A337" s="41">
        <v>41679</v>
      </c>
      <c r="B337" s="29" t="s">
        <v>6</v>
      </c>
      <c r="C337" s="14" t="s">
        <v>80</v>
      </c>
      <c r="D337" s="29" t="s">
        <v>118</v>
      </c>
      <c r="E337" s="29" t="s">
        <v>129</v>
      </c>
      <c r="F337" s="30">
        <v>531.53</v>
      </c>
      <c r="G337" s="36">
        <v>478.38</v>
      </c>
      <c r="H337" s="36">
        <f>'SalesData 2'!$F337-'SalesData 2'!$G337</f>
        <v>53.149999999999977</v>
      </c>
    </row>
    <row r="338" spans="1:8" ht="14.4" x14ac:dyDescent="0.25">
      <c r="A338" s="40">
        <v>41682</v>
      </c>
      <c r="B338" s="25" t="s">
        <v>31</v>
      </c>
      <c r="C338" s="9" t="s">
        <v>85</v>
      </c>
      <c r="D338" s="25" t="s">
        <v>120</v>
      </c>
      <c r="E338" s="25" t="s">
        <v>128</v>
      </c>
      <c r="F338" s="26">
        <v>423.89</v>
      </c>
      <c r="G338" s="35">
        <v>385.74</v>
      </c>
      <c r="H338" s="35">
        <f>'SalesData 2'!$F338-'SalesData 2'!$G338</f>
        <v>38.149999999999977</v>
      </c>
    </row>
    <row r="339" spans="1:8" ht="14.4" x14ac:dyDescent="0.25">
      <c r="A339" s="41">
        <v>41683</v>
      </c>
      <c r="B339" s="29" t="s">
        <v>4</v>
      </c>
      <c r="C339" s="14" t="s">
        <v>70</v>
      </c>
      <c r="D339" s="29" t="s">
        <v>118</v>
      </c>
      <c r="E339" s="29" t="s">
        <v>128</v>
      </c>
      <c r="F339" s="30">
        <v>391.21</v>
      </c>
      <c r="G339" s="36">
        <v>414.67999999999995</v>
      </c>
      <c r="H339" s="36">
        <f>'SalesData 2'!$F339-'SalesData 2'!$G339</f>
        <v>-23.46999999999997</v>
      </c>
    </row>
    <row r="340" spans="1:8" ht="14.4" x14ac:dyDescent="0.25">
      <c r="A340" s="40">
        <v>41691</v>
      </c>
      <c r="B340" s="25" t="s">
        <v>18</v>
      </c>
      <c r="C340" s="9" t="s">
        <v>64</v>
      </c>
      <c r="D340" s="25" t="s">
        <v>119</v>
      </c>
      <c r="E340" s="25" t="s">
        <v>129</v>
      </c>
      <c r="F340" s="26">
        <v>168.89</v>
      </c>
      <c r="G340" s="35">
        <v>172.26999999999998</v>
      </c>
      <c r="H340" s="35">
        <f>'SalesData 2'!$F340-'SalesData 2'!$G340</f>
        <v>-3.3799999999999955</v>
      </c>
    </row>
    <row r="341" spans="1:8" ht="14.4" x14ac:dyDescent="0.25">
      <c r="A341" s="41">
        <v>41692</v>
      </c>
      <c r="B341" s="29" t="s">
        <v>2</v>
      </c>
      <c r="C341" s="14" t="s">
        <v>108</v>
      </c>
      <c r="D341" s="29" t="s">
        <v>118</v>
      </c>
      <c r="E341" s="29" t="s">
        <v>129</v>
      </c>
      <c r="F341" s="30">
        <v>150.97</v>
      </c>
      <c r="G341" s="36">
        <v>157.01</v>
      </c>
      <c r="H341" s="36">
        <f>'SalesData 2'!$F341-'SalesData 2'!$G341</f>
        <v>-6.039999999999992</v>
      </c>
    </row>
    <row r="342" spans="1:8" ht="14.4" x14ac:dyDescent="0.25">
      <c r="A342" s="40">
        <v>41693</v>
      </c>
      <c r="B342" s="25" t="s">
        <v>30</v>
      </c>
      <c r="C342" s="9" t="s">
        <v>88</v>
      </c>
      <c r="D342" s="25" t="s">
        <v>120</v>
      </c>
      <c r="E342" s="25" t="s">
        <v>129</v>
      </c>
      <c r="F342" s="26">
        <v>838.72</v>
      </c>
      <c r="G342" s="35">
        <v>788.4</v>
      </c>
      <c r="H342" s="35">
        <f>'SalesData 2'!$F342-'SalesData 2'!$G342</f>
        <v>50.32000000000005</v>
      </c>
    </row>
    <row r="343" spans="1:8" ht="14.4" x14ac:dyDescent="0.25">
      <c r="A343" s="41">
        <v>41694</v>
      </c>
      <c r="B343" s="29" t="s">
        <v>41</v>
      </c>
      <c r="C343" s="14" t="s">
        <v>67</v>
      </c>
      <c r="D343" s="29" t="s">
        <v>122</v>
      </c>
      <c r="E343" s="29" t="s">
        <v>128</v>
      </c>
      <c r="F343" s="30">
        <v>539.14</v>
      </c>
      <c r="G343" s="36">
        <v>566.1</v>
      </c>
      <c r="H343" s="36">
        <f>'SalesData 2'!$F343-'SalesData 2'!$G343</f>
        <v>-26.960000000000036</v>
      </c>
    </row>
    <row r="344" spans="1:8" ht="14.4" x14ac:dyDescent="0.25">
      <c r="A344" s="40">
        <v>41699</v>
      </c>
      <c r="B344" s="25" t="s">
        <v>50</v>
      </c>
      <c r="C344" s="9" t="s">
        <v>92</v>
      </c>
      <c r="D344" s="25" t="s">
        <v>122</v>
      </c>
      <c r="E344" s="25" t="s">
        <v>129</v>
      </c>
      <c r="F344" s="26">
        <v>651.64</v>
      </c>
      <c r="G344" s="35">
        <v>592.99</v>
      </c>
      <c r="H344" s="35">
        <f>'SalesData 2'!$F344-'SalesData 2'!$G344</f>
        <v>58.649999999999977</v>
      </c>
    </row>
    <row r="345" spans="1:8" ht="14.4" x14ac:dyDescent="0.25">
      <c r="A345" s="41">
        <v>41699</v>
      </c>
      <c r="B345" s="29" t="s">
        <v>36</v>
      </c>
      <c r="C345" s="14" t="s">
        <v>58</v>
      </c>
      <c r="D345" s="29" t="s">
        <v>121</v>
      </c>
      <c r="E345" s="29" t="s">
        <v>129</v>
      </c>
      <c r="F345" s="30">
        <v>767.05</v>
      </c>
      <c r="G345" s="36">
        <v>721.03</v>
      </c>
      <c r="H345" s="36">
        <f>'SalesData 2'!$F345-'SalesData 2'!$G345</f>
        <v>46.019999999999982</v>
      </c>
    </row>
    <row r="346" spans="1:8" ht="14.4" x14ac:dyDescent="0.25">
      <c r="A346" s="40">
        <v>41703</v>
      </c>
      <c r="B346" s="25" t="s">
        <v>36</v>
      </c>
      <c r="C346" s="9" t="s">
        <v>59</v>
      </c>
      <c r="D346" s="25" t="s">
        <v>121</v>
      </c>
      <c r="E346" s="25" t="s">
        <v>129</v>
      </c>
      <c r="F346" s="26">
        <v>294.77</v>
      </c>
      <c r="G346" s="35">
        <v>282.97999999999996</v>
      </c>
      <c r="H346" s="35">
        <f>'SalesData 2'!$F346-'SalesData 2'!$G346</f>
        <v>11.79000000000002</v>
      </c>
    </row>
    <row r="347" spans="1:8" ht="14.4" x14ac:dyDescent="0.25">
      <c r="A347" s="41">
        <v>41704</v>
      </c>
      <c r="B347" s="29" t="s">
        <v>26</v>
      </c>
      <c r="C347" s="14" t="s">
        <v>117</v>
      </c>
      <c r="D347" s="29" t="s">
        <v>120</v>
      </c>
      <c r="E347" s="29" t="s">
        <v>129</v>
      </c>
      <c r="F347" s="46">
        <v>49.05</v>
      </c>
      <c r="G347" s="36">
        <v>51.989999999999995</v>
      </c>
      <c r="H347" s="36">
        <f>'SalesData 2'!$F347-'SalesData 2'!$G347</f>
        <v>-2.9399999999999977</v>
      </c>
    </row>
    <row r="348" spans="1:8" ht="14.4" x14ac:dyDescent="0.25">
      <c r="A348" s="40">
        <v>41704</v>
      </c>
      <c r="B348" s="25" t="s">
        <v>33</v>
      </c>
      <c r="C348" s="9" t="s">
        <v>115</v>
      </c>
      <c r="D348" s="25" t="s">
        <v>121</v>
      </c>
      <c r="E348" s="25" t="s">
        <v>128</v>
      </c>
      <c r="F348" s="26">
        <v>885.21</v>
      </c>
      <c r="G348" s="35">
        <v>849.80000000000007</v>
      </c>
      <c r="H348" s="35">
        <f>'SalesData 2'!$F348-'SalesData 2'!$G348</f>
        <v>35.409999999999968</v>
      </c>
    </row>
    <row r="349" spans="1:8" ht="14.4" x14ac:dyDescent="0.25">
      <c r="A349" s="41">
        <v>41705</v>
      </c>
      <c r="B349" s="29" t="s">
        <v>46</v>
      </c>
      <c r="C349" s="14" t="s">
        <v>100</v>
      </c>
      <c r="D349" s="29" t="s">
        <v>122</v>
      </c>
      <c r="E349" s="29" t="s">
        <v>129</v>
      </c>
      <c r="F349" s="30">
        <v>320.12</v>
      </c>
      <c r="G349" s="36">
        <v>323.32</v>
      </c>
      <c r="H349" s="36">
        <f>'SalesData 2'!$F349-'SalesData 2'!$G349</f>
        <v>-3.1999999999999886</v>
      </c>
    </row>
    <row r="350" spans="1:8" ht="14.4" x14ac:dyDescent="0.25">
      <c r="A350" s="40">
        <v>41706</v>
      </c>
      <c r="B350" s="25" t="s">
        <v>42</v>
      </c>
      <c r="C350" s="9" t="s">
        <v>69</v>
      </c>
      <c r="D350" s="25" t="s">
        <v>122</v>
      </c>
      <c r="E350" s="25" t="s">
        <v>129</v>
      </c>
      <c r="F350" s="26">
        <v>412.85</v>
      </c>
      <c r="G350" s="35">
        <v>441.75</v>
      </c>
      <c r="H350" s="35">
        <f>'SalesData 2'!$F350-'SalesData 2'!$G350</f>
        <v>-28.899999999999977</v>
      </c>
    </row>
    <row r="351" spans="1:8" ht="14.4" x14ac:dyDescent="0.25">
      <c r="A351" s="41">
        <v>41708</v>
      </c>
      <c r="B351" s="29" t="s">
        <v>1</v>
      </c>
      <c r="C351" s="14" t="s">
        <v>1</v>
      </c>
      <c r="D351" s="29" t="s">
        <v>118</v>
      </c>
      <c r="E351" s="29" t="s">
        <v>128</v>
      </c>
      <c r="F351" s="30">
        <v>369.62</v>
      </c>
      <c r="G351" s="36">
        <v>377.01</v>
      </c>
      <c r="H351" s="36">
        <f>'SalesData 2'!$F351-'SalesData 2'!$G351</f>
        <v>-7.3899999999999864</v>
      </c>
    </row>
    <row r="352" spans="1:8" ht="14.4" x14ac:dyDescent="0.25">
      <c r="A352" s="40">
        <v>41708</v>
      </c>
      <c r="B352" s="25" t="s">
        <v>10</v>
      </c>
      <c r="C352" s="9" t="s">
        <v>93</v>
      </c>
      <c r="D352" s="25" t="s">
        <v>118</v>
      </c>
      <c r="E352" s="25" t="s">
        <v>129</v>
      </c>
      <c r="F352" s="26">
        <v>654.76</v>
      </c>
      <c r="G352" s="35">
        <v>648.21</v>
      </c>
      <c r="H352" s="35">
        <f>'SalesData 2'!$F352-'SalesData 2'!$G352</f>
        <v>6.5499999999999545</v>
      </c>
    </row>
    <row r="353" spans="1:8" ht="14.4" x14ac:dyDescent="0.25">
      <c r="A353" s="41">
        <v>41710</v>
      </c>
      <c r="B353" s="29" t="s">
        <v>20</v>
      </c>
      <c r="C353" s="14" t="s">
        <v>112</v>
      </c>
      <c r="D353" s="29" t="s">
        <v>119</v>
      </c>
      <c r="E353" s="29" t="s">
        <v>130</v>
      </c>
      <c r="F353" s="30">
        <v>208.32</v>
      </c>
      <c r="G353" s="36">
        <v>204.15</v>
      </c>
      <c r="H353" s="36">
        <f>'SalesData 2'!$F353-'SalesData 2'!$G353</f>
        <v>4.1699999999999875</v>
      </c>
    </row>
    <row r="354" spans="1:8" ht="14.4" x14ac:dyDescent="0.25">
      <c r="A354" s="40">
        <v>41713</v>
      </c>
      <c r="B354" s="25" t="s">
        <v>51</v>
      </c>
      <c r="C354" s="9" t="s">
        <v>86</v>
      </c>
      <c r="D354" s="25" t="s">
        <v>122</v>
      </c>
      <c r="E354" s="25" t="s">
        <v>128</v>
      </c>
      <c r="F354" s="26">
        <v>283.56</v>
      </c>
      <c r="G354" s="35">
        <v>260.88</v>
      </c>
      <c r="H354" s="35">
        <f>'SalesData 2'!$F354-'SalesData 2'!$G354</f>
        <v>22.680000000000007</v>
      </c>
    </row>
    <row r="355" spans="1:8" ht="14.4" x14ac:dyDescent="0.25">
      <c r="A355" s="41">
        <v>41716</v>
      </c>
      <c r="B355" s="29" t="s">
        <v>37</v>
      </c>
      <c r="C355" s="14" t="s">
        <v>87</v>
      </c>
      <c r="D355" s="29" t="s">
        <v>121</v>
      </c>
      <c r="E355" s="29" t="s">
        <v>130</v>
      </c>
      <c r="F355" s="30">
        <v>457.57</v>
      </c>
      <c r="G355" s="36">
        <v>416.39</v>
      </c>
      <c r="H355" s="36">
        <f>'SalesData 2'!$F355-'SalesData 2'!$G355</f>
        <v>41.180000000000007</v>
      </c>
    </row>
    <row r="356" spans="1:8" ht="14.4" x14ac:dyDescent="0.25">
      <c r="A356" s="40">
        <v>41717</v>
      </c>
      <c r="B356" s="25" t="s">
        <v>48</v>
      </c>
      <c r="C356" s="9" t="s">
        <v>56</v>
      </c>
      <c r="D356" s="25" t="s">
        <v>122</v>
      </c>
      <c r="E356" s="25" t="s">
        <v>130</v>
      </c>
      <c r="F356" s="26">
        <v>90.67</v>
      </c>
      <c r="G356" s="35">
        <v>88.86</v>
      </c>
      <c r="H356" s="35">
        <f>'SalesData 2'!$F356-'SalesData 2'!$G356</f>
        <v>1.8100000000000023</v>
      </c>
    </row>
    <row r="357" spans="1:8" ht="14.4" x14ac:dyDescent="0.25">
      <c r="A357" s="41">
        <v>41717</v>
      </c>
      <c r="B357" s="29" t="s">
        <v>9</v>
      </c>
      <c r="C357" s="14" t="s">
        <v>95</v>
      </c>
      <c r="D357" s="29" t="s">
        <v>118</v>
      </c>
      <c r="E357" s="29" t="s">
        <v>128</v>
      </c>
      <c r="F357" s="30">
        <v>648.37</v>
      </c>
      <c r="G357" s="36">
        <v>648.37</v>
      </c>
      <c r="H357" s="36">
        <f>'SalesData 2'!$F357-'SalesData 2'!$G357</f>
        <v>0</v>
      </c>
    </row>
    <row r="358" spans="1:8" ht="14.4" x14ac:dyDescent="0.25">
      <c r="A358" s="40">
        <v>41717</v>
      </c>
      <c r="B358" s="25" t="s">
        <v>49</v>
      </c>
      <c r="C358" s="9" t="s">
        <v>72</v>
      </c>
      <c r="D358" s="25" t="s">
        <v>122</v>
      </c>
      <c r="E358" s="25" t="s">
        <v>129</v>
      </c>
      <c r="F358" s="26">
        <v>494.93</v>
      </c>
      <c r="G358" s="35">
        <v>529.58000000000004</v>
      </c>
      <c r="H358" s="35">
        <f>'SalesData 2'!$F358-'SalesData 2'!$G358</f>
        <v>-34.650000000000034</v>
      </c>
    </row>
    <row r="359" spans="1:8" ht="14.4" x14ac:dyDescent="0.25">
      <c r="A359" s="41">
        <v>41718</v>
      </c>
      <c r="B359" s="29" t="s">
        <v>36</v>
      </c>
      <c r="C359" s="14" t="s">
        <v>90</v>
      </c>
      <c r="D359" s="29" t="s">
        <v>121</v>
      </c>
      <c r="E359" s="29" t="s">
        <v>128</v>
      </c>
      <c r="F359" s="30">
        <v>446.16</v>
      </c>
      <c r="G359" s="36">
        <v>401.54</v>
      </c>
      <c r="H359" s="36">
        <f>'SalesData 2'!$F359-'SalesData 2'!$G359</f>
        <v>44.620000000000005</v>
      </c>
    </row>
    <row r="360" spans="1:8" ht="14.4" x14ac:dyDescent="0.25">
      <c r="A360" s="40">
        <v>41725</v>
      </c>
      <c r="B360" s="25" t="s">
        <v>43</v>
      </c>
      <c r="C360" s="9" t="s">
        <v>106</v>
      </c>
      <c r="D360" s="25" t="s">
        <v>122</v>
      </c>
      <c r="E360" s="25" t="s">
        <v>130</v>
      </c>
      <c r="F360" s="26">
        <v>579.46</v>
      </c>
      <c r="G360" s="35">
        <v>573.67000000000007</v>
      </c>
      <c r="H360" s="35">
        <f>'SalesData 2'!$F360-'SalesData 2'!$G360</f>
        <v>5.7899999999999636</v>
      </c>
    </row>
    <row r="361" spans="1:8" ht="14.4" x14ac:dyDescent="0.25">
      <c r="A361" s="41">
        <v>41731</v>
      </c>
      <c r="B361" s="29" t="s">
        <v>34</v>
      </c>
      <c r="C361" s="14" t="s">
        <v>105</v>
      </c>
      <c r="D361" s="29" t="s">
        <v>121</v>
      </c>
      <c r="E361" s="29" t="s">
        <v>130</v>
      </c>
      <c r="F361" s="30">
        <v>635.88</v>
      </c>
      <c r="G361" s="36">
        <v>686.75</v>
      </c>
      <c r="H361" s="36">
        <f>'SalesData 2'!$F361-'SalesData 2'!$G361</f>
        <v>-50.870000000000005</v>
      </c>
    </row>
    <row r="362" spans="1:8" ht="14.4" x14ac:dyDescent="0.25">
      <c r="A362" s="40">
        <v>41735</v>
      </c>
      <c r="B362" s="25" t="s">
        <v>15</v>
      </c>
      <c r="C362" s="9" t="s">
        <v>60</v>
      </c>
      <c r="D362" s="25" t="s">
        <v>118</v>
      </c>
      <c r="E362" s="25" t="s">
        <v>128</v>
      </c>
      <c r="F362" s="26">
        <v>339.73</v>
      </c>
      <c r="G362" s="35">
        <v>329.54</v>
      </c>
      <c r="H362" s="35">
        <f>'SalesData 2'!$F362-'SalesData 2'!$G362</f>
        <v>10.189999999999998</v>
      </c>
    </row>
    <row r="363" spans="1:8" ht="14.4" x14ac:dyDescent="0.25">
      <c r="A363" s="41">
        <v>41737</v>
      </c>
      <c r="B363" s="29" t="s">
        <v>11</v>
      </c>
      <c r="C363" s="14" t="s">
        <v>91</v>
      </c>
      <c r="D363" s="29" t="s">
        <v>118</v>
      </c>
      <c r="E363" s="29" t="s">
        <v>128</v>
      </c>
      <c r="F363" s="30">
        <v>29.2</v>
      </c>
      <c r="G363" s="36">
        <v>26.57</v>
      </c>
      <c r="H363" s="36">
        <f>'SalesData 2'!$F363-'SalesData 2'!$G363</f>
        <v>2.629999999999999</v>
      </c>
    </row>
    <row r="364" spans="1:8" ht="14.4" x14ac:dyDescent="0.25">
      <c r="A364" s="40">
        <v>41738</v>
      </c>
      <c r="B364" s="25" t="s">
        <v>13</v>
      </c>
      <c r="C364" s="9" t="s">
        <v>73</v>
      </c>
      <c r="D364" s="25" t="s">
        <v>118</v>
      </c>
      <c r="E364" s="25" t="s">
        <v>129</v>
      </c>
      <c r="F364" s="26">
        <v>239.4</v>
      </c>
      <c r="G364" s="35">
        <v>248.98000000000002</v>
      </c>
      <c r="H364" s="35">
        <f>'SalesData 2'!$F364-'SalesData 2'!$G364</f>
        <v>-9.5800000000000125</v>
      </c>
    </row>
    <row r="365" spans="1:8" ht="14.4" x14ac:dyDescent="0.25">
      <c r="A365" s="41">
        <v>41739</v>
      </c>
      <c r="B365" s="29" t="s">
        <v>24</v>
      </c>
      <c r="C365" s="14" t="s">
        <v>107</v>
      </c>
      <c r="D365" s="29" t="s">
        <v>119</v>
      </c>
      <c r="E365" s="29" t="s">
        <v>128</v>
      </c>
      <c r="F365" s="30">
        <v>183</v>
      </c>
      <c r="G365" s="36">
        <v>166.53</v>
      </c>
      <c r="H365" s="36">
        <f>'SalesData 2'!$F365-'SalesData 2'!$G365</f>
        <v>16.47</v>
      </c>
    </row>
    <row r="366" spans="1:8" ht="14.4" x14ac:dyDescent="0.25">
      <c r="A366" s="40">
        <v>41740</v>
      </c>
      <c r="B366" s="25" t="s">
        <v>19</v>
      </c>
      <c r="C366" s="9" t="s">
        <v>113</v>
      </c>
      <c r="D366" s="25" t="s">
        <v>119</v>
      </c>
      <c r="E366" s="25" t="s">
        <v>128</v>
      </c>
      <c r="F366" s="26">
        <v>995.01</v>
      </c>
      <c r="G366" s="35">
        <v>1054.71</v>
      </c>
      <c r="H366" s="35">
        <f>'SalesData 2'!$F366-'SalesData 2'!$G366</f>
        <v>-59.700000000000045</v>
      </c>
    </row>
    <row r="367" spans="1:8" ht="14.4" x14ac:dyDescent="0.25">
      <c r="A367" s="41">
        <v>41741</v>
      </c>
      <c r="B367" s="29" t="s">
        <v>22</v>
      </c>
      <c r="C367" s="14" t="s">
        <v>77</v>
      </c>
      <c r="D367" s="29" t="s">
        <v>119</v>
      </c>
      <c r="E367" s="29" t="s">
        <v>128</v>
      </c>
      <c r="F367" s="30">
        <v>34.82</v>
      </c>
      <c r="G367" s="36">
        <v>31.69</v>
      </c>
      <c r="H367" s="36">
        <f>'SalesData 2'!$F367-'SalesData 2'!$G367</f>
        <v>3.129999999999999</v>
      </c>
    </row>
    <row r="368" spans="1:8" ht="14.4" x14ac:dyDescent="0.25">
      <c r="A368" s="40">
        <v>41745</v>
      </c>
      <c r="B368" s="25" t="s">
        <v>40</v>
      </c>
      <c r="C368" s="9" t="s">
        <v>111</v>
      </c>
      <c r="D368" s="25" t="s">
        <v>122</v>
      </c>
      <c r="E368" s="25" t="s">
        <v>128</v>
      </c>
      <c r="F368" s="26">
        <v>362.31</v>
      </c>
      <c r="G368" s="35">
        <v>336.95</v>
      </c>
      <c r="H368" s="35">
        <f>'SalesData 2'!$F368-'SalesData 2'!$G368</f>
        <v>25.360000000000014</v>
      </c>
    </row>
    <row r="369" spans="1:8" ht="14.4" x14ac:dyDescent="0.25">
      <c r="A369" s="41">
        <v>41746</v>
      </c>
      <c r="B369" s="29" t="s">
        <v>30</v>
      </c>
      <c r="C369" s="14" t="s">
        <v>88</v>
      </c>
      <c r="D369" s="29" t="s">
        <v>120</v>
      </c>
      <c r="E369" s="29" t="s">
        <v>130</v>
      </c>
      <c r="F369" s="30">
        <v>388.33</v>
      </c>
      <c r="G369" s="36">
        <v>380.56</v>
      </c>
      <c r="H369" s="36">
        <f>'SalesData 2'!$F369-'SalesData 2'!$G369</f>
        <v>7.7699999999999818</v>
      </c>
    </row>
    <row r="370" spans="1:8" ht="14.4" x14ac:dyDescent="0.25">
      <c r="A370" s="40">
        <v>41748</v>
      </c>
      <c r="B370" s="25" t="s">
        <v>27</v>
      </c>
      <c r="C370" s="9" t="s">
        <v>110</v>
      </c>
      <c r="D370" s="25" t="s">
        <v>120</v>
      </c>
      <c r="E370" s="25" t="s">
        <v>128</v>
      </c>
      <c r="F370" s="26">
        <v>371.52</v>
      </c>
      <c r="G370" s="35">
        <v>390.09999999999997</v>
      </c>
      <c r="H370" s="35">
        <f>'SalesData 2'!$F370-'SalesData 2'!$G370</f>
        <v>-18.579999999999984</v>
      </c>
    </row>
    <row r="371" spans="1:8" ht="14.4" x14ac:dyDescent="0.25">
      <c r="A371" s="41">
        <v>41748</v>
      </c>
      <c r="B371" s="29" t="s">
        <v>23</v>
      </c>
      <c r="C371" s="14" t="s">
        <v>109</v>
      </c>
      <c r="D371" s="29" t="s">
        <v>119</v>
      </c>
      <c r="E371" s="29" t="s">
        <v>130</v>
      </c>
      <c r="F371" s="30">
        <v>301.10000000000002</v>
      </c>
      <c r="G371" s="36">
        <v>292.07000000000005</v>
      </c>
      <c r="H371" s="36">
        <f>'SalesData 2'!$F371-'SalesData 2'!$G371</f>
        <v>9.0299999999999727</v>
      </c>
    </row>
    <row r="372" spans="1:8" ht="14.4" x14ac:dyDescent="0.25">
      <c r="A372" s="40">
        <v>41748</v>
      </c>
      <c r="B372" s="25" t="s">
        <v>48</v>
      </c>
      <c r="C372" s="9" t="s">
        <v>82</v>
      </c>
      <c r="D372" s="25" t="s">
        <v>122</v>
      </c>
      <c r="E372" s="25" t="s">
        <v>130</v>
      </c>
      <c r="F372" s="26">
        <v>819.48</v>
      </c>
      <c r="G372" s="35">
        <v>835.87</v>
      </c>
      <c r="H372" s="35">
        <f>'SalesData 2'!$F372-'SalesData 2'!$G372</f>
        <v>-16.389999999999986</v>
      </c>
    </row>
    <row r="373" spans="1:8" ht="14.4" x14ac:dyDescent="0.25">
      <c r="A373" s="41">
        <v>41753</v>
      </c>
      <c r="B373" s="29" t="s">
        <v>22</v>
      </c>
      <c r="C373" s="14" t="s">
        <v>78</v>
      </c>
      <c r="D373" s="29" t="s">
        <v>119</v>
      </c>
      <c r="E373" s="29" t="s">
        <v>129</v>
      </c>
      <c r="F373" s="30">
        <v>736.06</v>
      </c>
      <c r="G373" s="36">
        <v>691.9</v>
      </c>
      <c r="H373" s="36">
        <f>'SalesData 2'!$F373-'SalesData 2'!$G373</f>
        <v>44.159999999999968</v>
      </c>
    </row>
    <row r="374" spans="1:8" ht="14.4" x14ac:dyDescent="0.25">
      <c r="A374" s="40">
        <v>41754</v>
      </c>
      <c r="B374" s="25" t="s">
        <v>32</v>
      </c>
      <c r="C374" s="9" t="s">
        <v>126</v>
      </c>
      <c r="D374" s="25" t="s">
        <v>120</v>
      </c>
      <c r="E374" s="25" t="s">
        <v>129</v>
      </c>
      <c r="F374" s="26">
        <v>440.8</v>
      </c>
      <c r="G374" s="35">
        <v>409.94</v>
      </c>
      <c r="H374" s="35">
        <f>'SalesData 2'!$F374-'SalesData 2'!$G374</f>
        <v>30.860000000000014</v>
      </c>
    </row>
    <row r="375" spans="1:8" ht="14.4" x14ac:dyDescent="0.25">
      <c r="A375" s="41">
        <v>41757</v>
      </c>
      <c r="B375" s="29" t="s">
        <v>41</v>
      </c>
      <c r="C375" s="14" t="s">
        <v>68</v>
      </c>
      <c r="D375" s="29" t="s">
        <v>122</v>
      </c>
      <c r="E375" s="29" t="s">
        <v>128</v>
      </c>
      <c r="F375" s="30">
        <v>783.41</v>
      </c>
      <c r="G375" s="36">
        <v>759.91</v>
      </c>
      <c r="H375" s="36">
        <f>'SalesData 2'!$F375-'SalesData 2'!$G375</f>
        <v>23.5</v>
      </c>
    </row>
    <row r="376" spans="1:8" ht="14.4" x14ac:dyDescent="0.25">
      <c r="A376" s="40">
        <v>41760</v>
      </c>
      <c r="B376" s="25" t="s">
        <v>38</v>
      </c>
      <c r="C376" s="9" t="s">
        <v>116</v>
      </c>
      <c r="D376" s="25" t="s">
        <v>122</v>
      </c>
      <c r="E376" s="25" t="s">
        <v>130</v>
      </c>
      <c r="F376" s="26">
        <v>121.87</v>
      </c>
      <c r="G376" s="35">
        <v>131.62</v>
      </c>
      <c r="H376" s="35">
        <f>'SalesData 2'!$F376-'SalesData 2'!$G376</f>
        <v>-9.75</v>
      </c>
    </row>
    <row r="377" spans="1:8" ht="14.4" x14ac:dyDescent="0.25">
      <c r="A377" s="41">
        <v>41760</v>
      </c>
      <c r="B377" s="29" t="s">
        <v>28</v>
      </c>
      <c r="C377" s="14" t="s">
        <v>103</v>
      </c>
      <c r="D377" s="29" t="s">
        <v>120</v>
      </c>
      <c r="E377" s="29" t="s">
        <v>130</v>
      </c>
      <c r="F377" s="30">
        <v>389.55</v>
      </c>
      <c r="G377" s="36">
        <v>381.76</v>
      </c>
      <c r="H377" s="36">
        <f>'SalesData 2'!$F377-'SalesData 2'!$G377</f>
        <v>7.7900000000000205</v>
      </c>
    </row>
    <row r="378" spans="1:8" ht="14.4" x14ac:dyDescent="0.25">
      <c r="A378" s="40">
        <v>41764</v>
      </c>
      <c r="B378" s="25" t="s">
        <v>40</v>
      </c>
      <c r="C378" s="9" t="s">
        <v>65</v>
      </c>
      <c r="D378" s="25" t="s">
        <v>122</v>
      </c>
      <c r="E378" s="25" t="s">
        <v>129</v>
      </c>
      <c r="F378" s="26">
        <v>237.28</v>
      </c>
      <c r="G378" s="35">
        <v>239.65</v>
      </c>
      <c r="H378" s="35">
        <f>'SalesData 2'!$F378-'SalesData 2'!$G378</f>
        <v>-2.3700000000000045</v>
      </c>
    </row>
    <row r="379" spans="1:8" ht="14.4" x14ac:dyDescent="0.25">
      <c r="A379" s="41">
        <v>41765</v>
      </c>
      <c r="B379" s="29" t="s">
        <v>6</v>
      </c>
      <c r="C379" s="14" t="s">
        <v>81</v>
      </c>
      <c r="D379" s="29" t="s">
        <v>118</v>
      </c>
      <c r="E379" s="29" t="s">
        <v>128</v>
      </c>
      <c r="F379" s="30">
        <v>972.34</v>
      </c>
      <c r="G379" s="36">
        <v>952.89</v>
      </c>
      <c r="H379" s="36">
        <f>'SalesData 2'!$F379-'SalesData 2'!$G379</f>
        <v>19.450000000000045</v>
      </c>
    </row>
    <row r="380" spans="1:8" ht="14.4" x14ac:dyDescent="0.25">
      <c r="A380" s="40">
        <v>41767</v>
      </c>
      <c r="B380" s="25" t="s">
        <v>36</v>
      </c>
      <c r="C380" s="9" t="s">
        <v>57</v>
      </c>
      <c r="D380" s="25" t="s">
        <v>121</v>
      </c>
      <c r="E380" s="25" t="s">
        <v>128</v>
      </c>
      <c r="F380" s="26">
        <v>935.72</v>
      </c>
      <c r="G380" s="35">
        <v>870.22</v>
      </c>
      <c r="H380" s="35">
        <f>'SalesData 2'!$F380-'SalesData 2'!$G380</f>
        <v>65.5</v>
      </c>
    </row>
    <row r="381" spans="1:8" ht="14.4" x14ac:dyDescent="0.25">
      <c r="A381" s="41">
        <v>41767</v>
      </c>
      <c r="B381" s="29" t="s">
        <v>12</v>
      </c>
      <c r="C381" s="14" t="s">
        <v>89</v>
      </c>
      <c r="D381" s="29" t="s">
        <v>118</v>
      </c>
      <c r="E381" s="29" t="s">
        <v>128</v>
      </c>
      <c r="F381" s="30">
        <v>545.16</v>
      </c>
      <c r="G381" s="36">
        <v>512.44999999999993</v>
      </c>
      <c r="H381" s="36">
        <f>'SalesData 2'!$F381-'SalesData 2'!$G381</f>
        <v>32.710000000000036</v>
      </c>
    </row>
    <row r="382" spans="1:8" ht="14.4" x14ac:dyDescent="0.25">
      <c r="A382" s="40">
        <v>41769</v>
      </c>
      <c r="B382" s="25" t="s">
        <v>20</v>
      </c>
      <c r="C382" s="9" t="s">
        <v>112</v>
      </c>
      <c r="D382" s="25" t="s">
        <v>119</v>
      </c>
      <c r="E382" s="25" t="s">
        <v>128</v>
      </c>
      <c r="F382" s="26">
        <v>432.43</v>
      </c>
      <c r="G382" s="35">
        <v>402.16</v>
      </c>
      <c r="H382" s="35">
        <f>'SalesData 2'!$F382-'SalesData 2'!$G382</f>
        <v>30.269999999999982</v>
      </c>
    </row>
    <row r="383" spans="1:8" ht="14.4" x14ac:dyDescent="0.25">
      <c r="A383" s="41">
        <v>41773</v>
      </c>
      <c r="B383" s="29" t="s">
        <v>44</v>
      </c>
      <c r="C383" s="14" t="s">
        <v>104</v>
      </c>
      <c r="D383" s="29" t="s">
        <v>122</v>
      </c>
      <c r="E383" s="29" t="s">
        <v>128</v>
      </c>
      <c r="F383" s="30">
        <v>236.5</v>
      </c>
      <c r="G383" s="36">
        <v>255.42000000000002</v>
      </c>
      <c r="H383" s="36">
        <f>'SalesData 2'!$F383-'SalesData 2'!$G383</f>
        <v>-18.920000000000016</v>
      </c>
    </row>
    <row r="384" spans="1:8" ht="14.4" x14ac:dyDescent="0.25">
      <c r="A384" s="40">
        <v>41773</v>
      </c>
      <c r="B384" s="25" t="s">
        <v>12</v>
      </c>
      <c r="C384" s="9" t="s">
        <v>89</v>
      </c>
      <c r="D384" s="25" t="s">
        <v>118</v>
      </c>
      <c r="E384" s="25" t="s">
        <v>128</v>
      </c>
      <c r="F384" s="26">
        <v>567.29999999999995</v>
      </c>
      <c r="G384" s="35">
        <v>527.58999999999992</v>
      </c>
      <c r="H384" s="35">
        <f>'SalesData 2'!$F384-'SalesData 2'!$G384</f>
        <v>39.710000000000036</v>
      </c>
    </row>
    <row r="385" spans="1:8" ht="14.4" x14ac:dyDescent="0.25">
      <c r="A385" s="41">
        <v>41773</v>
      </c>
      <c r="B385" s="29" t="s">
        <v>15</v>
      </c>
      <c r="C385" s="14" t="s">
        <v>60</v>
      </c>
      <c r="D385" s="29" t="s">
        <v>118</v>
      </c>
      <c r="E385" s="29" t="s">
        <v>128</v>
      </c>
      <c r="F385" s="30">
        <v>784.66</v>
      </c>
      <c r="G385" s="36">
        <v>839.58999999999992</v>
      </c>
      <c r="H385" s="36">
        <f>'SalesData 2'!$F385-'SalesData 2'!$G385</f>
        <v>-54.92999999999995</v>
      </c>
    </row>
    <row r="386" spans="1:8" ht="14.4" x14ac:dyDescent="0.25">
      <c r="A386" s="40">
        <v>41774</v>
      </c>
      <c r="B386" s="25" t="s">
        <v>38</v>
      </c>
      <c r="C386" s="9" t="s">
        <v>62</v>
      </c>
      <c r="D386" s="25" t="s">
        <v>122</v>
      </c>
      <c r="E386" s="25" t="s">
        <v>129</v>
      </c>
      <c r="F386" s="26">
        <v>314.2</v>
      </c>
      <c r="G386" s="35">
        <v>311.06</v>
      </c>
      <c r="H386" s="35">
        <f>'SalesData 2'!$F386-'SalesData 2'!$G386</f>
        <v>3.1399999999999864</v>
      </c>
    </row>
    <row r="387" spans="1:8" ht="14.4" x14ac:dyDescent="0.25">
      <c r="A387" s="41">
        <v>41774</v>
      </c>
      <c r="B387" s="29" t="s">
        <v>0</v>
      </c>
      <c r="C387" s="14" t="s">
        <v>114</v>
      </c>
      <c r="D387" s="29" t="s">
        <v>118</v>
      </c>
      <c r="E387" s="29" t="s">
        <v>128</v>
      </c>
      <c r="F387" s="30">
        <v>472.26</v>
      </c>
      <c r="G387" s="36">
        <v>462.81</v>
      </c>
      <c r="H387" s="36">
        <f>'SalesData 2'!$F387-'SalesData 2'!$G387</f>
        <v>9.4499999999999886</v>
      </c>
    </row>
    <row r="388" spans="1:8" ht="14.4" x14ac:dyDescent="0.25">
      <c r="A388" s="40">
        <v>41774</v>
      </c>
      <c r="B388" s="25" t="s">
        <v>45</v>
      </c>
      <c r="C388" s="9" t="s">
        <v>101</v>
      </c>
      <c r="D388" s="25" t="s">
        <v>122</v>
      </c>
      <c r="E388" s="25" t="s">
        <v>128</v>
      </c>
      <c r="F388" s="26">
        <v>265.44</v>
      </c>
      <c r="G388" s="35">
        <v>249.51</v>
      </c>
      <c r="H388" s="35">
        <f>'SalesData 2'!$F388-'SalesData 2'!$G388</f>
        <v>15.930000000000007</v>
      </c>
    </row>
    <row r="389" spans="1:8" ht="14.4" x14ac:dyDescent="0.25">
      <c r="A389" s="41">
        <v>41774</v>
      </c>
      <c r="B389" s="29" t="s">
        <v>48</v>
      </c>
      <c r="C389" s="14" t="s">
        <v>71</v>
      </c>
      <c r="D389" s="29" t="s">
        <v>122</v>
      </c>
      <c r="E389" s="29" t="s">
        <v>130</v>
      </c>
      <c r="F389" s="30">
        <v>356.19</v>
      </c>
      <c r="G389" s="36">
        <v>331.26</v>
      </c>
      <c r="H389" s="36">
        <f>'SalesData 2'!$F389-'SalesData 2'!$G389</f>
        <v>24.930000000000007</v>
      </c>
    </row>
    <row r="390" spans="1:8" ht="14.4" x14ac:dyDescent="0.25">
      <c r="A390" s="40">
        <v>41776</v>
      </c>
      <c r="B390" s="25" t="s">
        <v>30</v>
      </c>
      <c r="C390" s="9" t="s">
        <v>88</v>
      </c>
      <c r="D390" s="25" t="s">
        <v>120</v>
      </c>
      <c r="E390" s="25" t="s">
        <v>130</v>
      </c>
      <c r="F390" s="26">
        <v>566.79999999999995</v>
      </c>
      <c r="G390" s="35">
        <v>612.14</v>
      </c>
      <c r="H390" s="35">
        <f>'SalesData 2'!$F390-'SalesData 2'!$G390</f>
        <v>-45.340000000000032</v>
      </c>
    </row>
    <row r="391" spans="1:8" ht="14.4" x14ac:dyDescent="0.25">
      <c r="A391" s="41">
        <v>41777</v>
      </c>
      <c r="B391" s="29" t="s">
        <v>49</v>
      </c>
      <c r="C391" s="14" t="s">
        <v>72</v>
      </c>
      <c r="D391" s="29" t="s">
        <v>122</v>
      </c>
      <c r="E391" s="29" t="s">
        <v>129</v>
      </c>
      <c r="F391" s="30">
        <v>101.35</v>
      </c>
      <c r="G391" s="36">
        <v>100.33999999999999</v>
      </c>
      <c r="H391" s="36">
        <f>'SalesData 2'!$F391-'SalesData 2'!$G391</f>
        <v>1.0100000000000051</v>
      </c>
    </row>
    <row r="392" spans="1:8" ht="14.4" x14ac:dyDescent="0.25">
      <c r="A392" s="40">
        <v>41777</v>
      </c>
      <c r="B392" s="25" t="s">
        <v>37</v>
      </c>
      <c r="C392" s="9" t="s">
        <v>87</v>
      </c>
      <c r="D392" s="25" t="s">
        <v>121</v>
      </c>
      <c r="E392" s="25" t="s">
        <v>130</v>
      </c>
      <c r="F392" s="26">
        <v>989.02</v>
      </c>
      <c r="G392" s="35">
        <v>900.01</v>
      </c>
      <c r="H392" s="35">
        <f>'SalesData 2'!$F392-'SalesData 2'!$G392</f>
        <v>89.009999999999991</v>
      </c>
    </row>
    <row r="393" spans="1:8" ht="14.4" x14ac:dyDescent="0.25">
      <c r="A393" s="41">
        <v>41778</v>
      </c>
      <c r="B393" s="29" t="s">
        <v>17</v>
      </c>
      <c r="C393" s="14" t="s">
        <v>74</v>
      </c>
      <c r="D393" s="29" t="s">
        <v>119</v>
      </c>
      <c r="E393" s="29" t="s">
        <v>129</v>
      </c>
      <c r="F393" s="30">
        <v>691.8</v>
      </c>
      <c r="G393" s="36">
        <v>712.55</v>
      </c>
      <c r="H393" s="36">
        <f>'SalesData 2'!$F393-'SalesData 2'!$G393</f>
        <v>-20.75</v>
      </c>
    </row>
    <row r="394" spans="1:8" ht="14.4" x14ac:dyDescent="0.25">
      <c r="A394" s="40">
        <v>41778</v>
      </c>
      <c r="B394" s="25" t="s">
        <v>8</v>
      </c>
      <c r="C394" s="9" t="s">
        <v>54</v>
      </c>
      <c r="D394" s="25" t="s">
        <v>118</v>
      </c>
      <c r="E394" s="25" t="s">
        <v>130</v>
      </c>
      <c r="F394" s="26">
        <v>582.09</v>
      </c>
      <c r="G394" s="35">
        <v>547.16000000000008</v>
      </c>
      <c r="H394" s="35">
        <f>'SalesData 2'!$F394-'SalesData 2'!$G394</f>
        <v>34.92999999999995</v>
      </c>
    </row>
    <row r="395" spans="1:8" ht="14.4" x14ac:dyDescent="0.25">
      <c r="A395" s="41">
        <v>41779</v>
      </c>
      <c r="B395" s="29" t="s">
        <v>22</v>
      </c>
      <c r="C395" s="14" t="s">
        <v>76</v>
      </c>
      <c r="D395" s="29" t="s">
        <v>119</v>
      </c>
      <c r="E395" s="29" t="s">
        <v>128</v>
      </c>
      <c r="F395" s="30">
        <v>18.239999999999998</v>
      </c>
      <c r="G395" s="36">
        <v>18.599999999999998</v>
      </c>
      <c r="H395" s="36">
        <f>'SalesData 2'!$F395-'SalesData 2'!$G395</f>
        <v>-0.35999999999999943</v>
      </c>
    </row>
    <row r="396" spans="1:8" ht="14.4" x14ac:dyDescent="0.25">
      <c r="A396" s="40">
        <v>41782</v>
      </c>
      <c r="B396" s="25" t="s">
        <v>7</v>
      </c>
      <c r="C396" s="9" t="s">
        <v>99</v>
      </c>
      <c r="D396" s="25" t="s">
        <v>118</v>
      </c>
      <c r="E396" s="25" t="s">
        <v>128</v>
      </c>
      <c r="F396" s="26">
        <v>442.97</v>
      </c>
      <c r="G396" s="35">
        <v>398.67</v>
      </c>
      <c r="H396" s="35">
        <f>'SalesData 2'!$F396-'SalesData 2'!$G396</f>
        <v>44.300000000000011</v>
      </c>
    </row>
    <row r="397" spans="1:8" ht="14.4" x14ac:dyDescent="0.25">
      <c r="A397" s="41">
        <v>41783</v>
      </c>
      <c r="B397" s="29" t="s">
        <v>36</v>
      </c>
      <c r="C397" s="14" t="s">
        <v>59</v>
      </c>
      <c r="D397" s="29" t="s">
        <v>121</v>
      </c>
      <c r="E397" s="29" t="s">
        <v>128</v>
      </c>
      <c r="F397" s="30">
        <v>563.87</v>
      </c>
      <c r="G397" s="36">
        <v>507.48</v>
      </c>
      <c r="H397" s="36">
        <f>'SalesData 2'!$F397-'SalesData 2'!$G397</f>
        <v>56.389999999999986</v>
      </c>
    </row>
    <row r="398" spans="1:8" ht="14.4" x14ac:dyDescent="0.25">
      <c r="A398" s="40">
        <v>41787</v>
      </c>
      <c r="B398" s="25" t="s">
        <v>27</v>
      </c>
      <c r="C398" s="9" t="s">
        <v>110</v>
      </c>
      <c r="D398" s="25" t="s">
        <v>120</v>
      </c>
      <c r="E398" s="25" t="s">
        <v>128</v>
      </c>
      <c r="F398" s="26">
        <v>382.78</v>
      </c>
      <c r="G398" s="35">
        <v>348.33</v>
      </c>
      <c r="H398" s="35">
        <f>'SalesData 2'!$F398-'SalesData 2'!$G398</f>
        <v>34.449999999999989</v>
      </c>
    </row>
    <row r="399" spans="1:8" ht="14.4" x14ac:dyDescent="0.25">
      <c r="A399" s="41">
        <v>41787</v>
      </c>
      <c r="B399" s="29" t="s">
        <v>34</v>
      </c>
      <c r="C399" s="14" t="s">
        <v>105</v>
      </c>
      <c r="D399" s="29" t="s">
        <v>121</v>
      </c>
      <c r="E399" s="29" t="s">
        <v>128</v>
      </c>
      <c r="F399" s="30">
        <v>122.51</v>
      </c>
      <c r="G399" s="36">
        <v>129.86000000000001</v>
      </c>
      <c r="H399" s="36">
        <f>'SalesData 2'!$F399-'SalesData 2'!$G399</f>
        <v>-7.3500000000000085</v>
      </c>
    </row>
    <row r="400" spans="1:8" ht="14.4" x14ac:dyDescent="0.25">
      <c r="A400" s="40">
        <v>41794</v>
      </c>
      <c r="B400" s="25" t="s">
        <v>5</v>
      </c>
      <c r="C400" s="9" t="s">
        <v>102</v>
      </c>
      <c r="D400" s="25" t="s">
        <v>118</v>
      </c>
      <c r="E400" s="25" t="s">
        <v>128</v>
      </c>
      <c r="F400" s="26">
        <v>247</v>
      </c>
      <c r="G400" s="35">
        <v>242.06</v>
      </c>
      <c r="H400" s="35">
        <f>'SalesData 2'!$F400-'SalesData 2'!$G400</f>
        <v>4.9399999999999977</v>
      </c>
    </row>
    <row r="401" spans="1:8" ht="14.4" x14ac:dyDescent="0.25">
      <c r="A401" s="41">
        <v>41797</v>
      </c>
      <c r="B401" s="29" t="s">
        <v>38</v>
      </c>
      <c r="C401" s="14" t="s">
        <v>116</v>
      </c>
      <c r="D401" s="29" t="s">
        <v>122</v>
      </c>
      <c r="E401" s="29" t="s">
        <v>129</v>
      </c>
      <c r="F401" s="30">
        <v>922.7</v>
      </c>
      <c r="G401" s="36">
        <v>959.61</v>
      </c>
      <c r="H401" s="36">
        <f>'SalesData 2'!$F401-'SalesData 2'!$G401</f>
        <v>-36.909999999999968</v>
      </c>
    </row>
    <row r="402" spans="1:8" ht="14.4" x14ac:dyDescent="0.25">
      <c r="A402" s="40">
        <v>41799</v>
      </c>
      <c r="B402" s="25" t="s">
        <v>47</v>
      </c>
      <c r="C402" s="9" t="s">
        <v>96</v>
      </c>
      <c r="D402" s="25" t="s">
        <v>122</v>
      </c>
      <c r="E402" s="25" t="s">
        <v>128</v>
      </c>
      <c r="F402" s="26">
        <v>512.05999999999995</v>
      </c>
      <c r="G402" s="35">
        <v>465.96999999999991</v>
      </c>
      <c r="H402" s="35">
        <f>'SalesData 2'!$F402-'SalesData 2'!$G402</f>
        <v>46.090000000000032</v>
      </c>
    </row>
    <row r="403" spans="1:8" ht="14.4" x14ac:dyDescent="0.25">
      <c r="A403" s="41">
        <v>41800</v>
      </c>
      <c r="B403" s="29" t="s">
        <v>39</v>
      </c>
      <c r="C403" s="14" t="s">
        <v>75</v>
      </c>
      <c r="D403" s="29" t="s">
        <v>122</v>
      </c>
      <c r="E403" s="29" t="s">
        <v>130</v>
      </c>
      <c r="F403" s="30">
        <v>994.43</v>
      </c>
      <c r="G403" s="36">
        <v>984.4899999999999</v>
      </c>
      <c r="H403" s="36">
        <f>'SalesData 2'!$F403-'SalesData 2'!$G403</f>
        <v>9.9400000000000546</v>
      </c>
    </row>
    <row r="404" spans="1:8" ht="14.4" x14ac:dyDescent="0.25">
      <c r="A404" s="40">
        <v>41800</v>
      </c>
      <c r="B404" s="25" t="s">
        <v>36</v>
      </c>
      <c r="C404" s="9" t="s">
        <v>57</v>
      </c>
      <c r="D404" s="25" t="s">
        <v>121</v>
      </c>
      <c r="E404" s="25" t="s">
        <v>128</v>
      </c>
      <c r="F404" s="26">
        <v>833.14</v>
      </c>
      <c r="G404" s="35">
        <v>866.47</v>
      </c>
      <c r="H404" s="35">
        <f>'SalesData 2'!$F404-'SalesData 2'!$G404</f>
        <v>-33.330000000000041</v>
      </c>
    </row>
    <row r="405" spans="1:8" ht="14.4" x14ac:dyDescent="0.25">
      <c r="A405" s="41">
        <v>41801</v>
      </c>
      <c r="B405" s="29" t="s">
        <v>29</v>
      </c>
      <c r="C405" s="14" t="s">
        <v>98</v>
      </c>
      <c r="D405" s="29" t="s">
        <v>120</v>
      </c>
      <c r="E405" s="29" t="s">
        <v>130</v>
      </c>
      <c r="F405" s="30">
        <v>115.9</v>
      </c>
      <c r="G405" s="36">
        <v>111.26</v>
      </c>
      <c r="H405" s="36">
        <f>'SalesData 2'!$F405-'SalesData 2'!$G405</f>
        <v>4.6400000000000006</v>
      </c>
    </row>
    <row r="406" spans="1:8" ht="14.4" x14ac:dyDescent="0.25">
      <c r="A406" s="40">
        <v>41801</v>
      </c>
      <c r="B406" s="25" t="s">
        <v>35</v>
      </c>
      <c r="C406" s="9" t="s">
        <v>97</v>
      </c>
      <c r="D406" s="25" t="s">
        <v>121</v>
      </c>
      <c r="E406" s="25" t="s">
        <v>130</v>
      </c>
      <c r="F406" s="26">
        <v>388.75</v>
      </c>
      <c r="G406" s="35">
        <v>412.08</v>
      </c>
      <c r="H406" s="35">
        <f>'SalesData 2'!$F406-'SalesData 2'!$G406</f>
        <v>-23.329999999999984</v>
      </c>
    </row>
    <row r="407" spans="1:8" ht="14.4" x14ac:dyDescent="0.25">
      <c r="A407" s="41">
        <v>41801</v>
      </c>
      <c r="B407" s="29" t="s">
        <v>48</v>
      </c>
      <c r="C407" s="14" t="s">
        <v>71</v>
      </c>
      <c r="D407" s="29" t="s">
        <v>122</v>
      </c>
      <c r="E407" s="29" t="s">
        <v>130</v>
      </c>
      <c r="F407" s="30">
        <v>608.26</v>
      </c>
      <c r="G407" s="36">
        <v>644.76</v>
      </c>
      <c r="H407" s="36">
        <f>'SalesData 2'!$F407-'SalesData 2'!$G407</f>
        <v>-36.5</v>
      </c>
    </row>
    <row r="408" spans="1:8" ht="14.4" x14ac:dyDescent="0.25">
      <c r="A408" s="40">
        <v>41802</v>
      </c>
      <c r="B408" s="25" t="s">
        <v>22</v>
      </c>
      <c r="C408" s="9" t="s">
        <v>76</v>
      </c>
      <c r="D408" s="25" t="s">
        <v>119</v>
      </c>
      <c r="E408" s="25" t="s">
        <v>128</v>
      </c>
      <c r="F408" s="26">
        <v>946.53</v>
      </c>
      <c r="G408" s="35">
        <v>861.33999999999992</v>
      </c>
      <c r="H408" s="35">
        <f>'SalesData 2'!$F408-'SalesData 2'!$G408</f>
        <v>85.190000000000055</v>
      </c>
    </row>
    <row r="409" spans="1:8" ht="14.4" x14ac:dyDescent="0.25">
      <c r="A409" s="41">
        <v>41804</v>
      </c>
      <c r="B409" s="29" t="s">
        <v>17</v>
      </c>
      <c r="C409" s="14" t="s">
        <v>74</v>
      </c>
      <c r="D409" s="29" t="s">
        <v>119</v>
      </c>
      <c r="E409" s="29" t="s">
        <v>130</v>
      </c>
      <c r="F409" s="30">
        <v>51.41</v>
      </c>
      <c r="G409" s="36">
        <v>50.9</v>
      </c>
      <c r="H409" s="36">
        <f>'SalesData 2'!$F409-'SalesData 2'!$G409</f>
        <v>0.50999999999999801</v>
      </c>
    </row>
    <row r="410" spans="1:8" ht="14.4" x14ac:dyDescent="0.25">
      <c r="A410" s="40">
        <v>41804</v>
      </c>
      <c r="B410" s="25" t="s">
        <v>6</v>
      </c>
      <c r="C410" s="9" t="s">
        <v>81</v>
      </c>
      <c r="D410" s="25" t="s">
        <v>118</v>
      </c>
      <c r="E410" s="25" t="s">
        <v>128</v>
      </c>
      <c r="F410" s="26">
        <v>490.32</v>
      </c>
      <c r="G410" s="35">
        <v>524.64</v>
      </c>
      <c r="H410" s="35">
        <f>'SalesData 2'!$F410-'SalesData 2'!$G410</f>
        <v>-34.319999999999993</v>
      </c>
    </row>
    <row r="411" spans="1:8" ht="14.4" x14ac:dyDescent="0.25">
      <c r="A411" s="41">
        <v>41804</v>
      </c>
      <c r="B411" s="29" t="s">
        <v>36</v>
      </c>
      <c r="C411" s="14" t="s">
        <v>90</v>
      </c>
      <c r="D411" s="29" t="s">
        <v>121</v>
      </c>
      <c r="E411" s="29" t="s">
        <v>129</v>
      </c>
      <c r="F411" s="30">
        <v>439.53</v>
      </c>
      <c r="G411" s="36">
        <v>408.76</v>
      </c>
      <c r="H411" s="36">
        <f>'SalesData 2'!$F411-'SalesData 2'!$G411</f>
        <v>30.769999999999982</v>
      </c>
    </row>
    <row r="412" spans="1:8" ht="14.4" x14ac:dyDescent="0.25">
      <c r="A412" s="40">
        <v>41805</v>
      </c>
      <c r="B412" s="25" t="s">
        <v>40</v>
      </c>
      <c r="C412" s="9" t="s">
        <v>65</v>
      </c>
      <c r="D412" s="25" t="s">
        <v>122</v>
      </c>
      <c r="E412" s="25" t="s">
        <v>129</v>
      </c>
      <c r="F412" s="26">
        <v>884.13</v>
      </c>
      <c r="G412" s="35">
        <v>954.86</v>
      </c>
      <c r="H412" s="35">
        <f>'SalesData 2'!$F412-'SalesData 2'!$G412</f>
        <v>-70.730000000000018</v>
      </c>
    </row>
    <row r="413" spans="1:8" ht="14.4" x14ac:dyDescent="0.25">
      <c r="A413" s="41">
        <v>41806</v>
      </c>
      <c r="B413" s="29" t="s">
        <v>3</v>
      </c>
      <c r="C413" s="14" t="s">
        <v>66</v>
      </c>
      <c r="D413" s="29" t="s">
        <v>118</v>
      </c>
      <c r="E413" s="29" t="s">
        <v>129</v>
      </c>
      <c r="F413" s="30">
        <v>386.49</v>
      </c>
      <c r="G413" s="36">
        <v>359.44</v>
      </c>
      <c r="H413" s="36">
        <f>'SalesData 2'!$F413-'SalesData 2'!$G413</f>
        <v>27.050000000000011</v>
      </c>
    </row>
    <row r="414" spans="1:8" ht="14.4" x14ac:dyDescent="0.25">
      <c r="A414" s="40">
        <v>41808</v>
      </c>
      <c r="B414" s="25" t="s">
        <v>9</v>
      </c>
      <c r="C414" s="9" t="s">
        <v>95</v>
      </c>
      <c r="D414" s="25" t="s">
        <v>118</v>
      </c>
      <c r="E414" s="25" t="s">
        <v>130</v>
      </c>
      <c r="F414" s="26">
        <v>646.27</v>
      </c>
      <c r="G414" s="35">
        <v>601.03</v>
      </c>
      <c r="H414" s="35">
        <f>'SalesData 2'!$F414-'SalesData 2'!$G414</f>
        <v>45.240000000000009</v>
      </c>
    </row>
    <row r="415" spans="1:8" ht="14.4" x14ac:dyDescent="0.25">
      <c r="A415" s="41">
        <v>41809</v>
      </c>
      <c r="B415" s="29" t="s">
        <v>3</v>
      </c>
      <c r="C415" s="14" t="s">
        <v>66</v>
      </c>
      <c r="D415" s="29" t="s">
        <v>118</v>
      </c>
      <c r="E415" s="29" t="s">
        <v>129</v>
      </c>
      <c r="F415" s="30">
        <v>481.26</v>
      </c>
      <c r="G415" s="36">
        <v>442.76</v>
      </c>
      <c r="H415" s="36">
        <f>'SalesData 2'!$F415-'SalesData 2'!$G415</f>
        <v>38.5</v>
      </c>
    </row>
    <row r="416" spans="1:8" ht="14.4" x14ac:dyDescent="0.25">
      <c r="A416" s="40">
        <v>41812</v>
      </c>
      <c r="B416" s="25" t="s">
        <v>1</v>
      </c>
      <c r="C416" s="9" t="s">
        <v>1</v>
      </c>
      <c r="D416" s="25" t="s">
        <v>118</v>
      </c>
      <c r="E416" s="25" t="s">
        <v>128</v>
      </c>
      <c r="F416" s="26">
        <v>688.39</v>
      </c>
      <c r="G416" s="35">
        <v>709.04</v>
      </c>
      <c r="H416" s="35">
        <f>'SalesData 2'!$F416-'SalesData 2'!$G416</f>
        <v>-20.649999999999977</v>
      </c>
    </row>
    <row r="417" spans="1:8" ht="14.4" x14ac:dyDescent="0.25">
      <c r="A417" s="41">
        <v>41812</v>
      </c>
      <c r="B417" s="29" t="s">
        <v>5</v>
      </c>
      <c r="C417" s="14" t="s">
        <v>102</v>
      </c>
      <c r="D417" s="29" t="s">
        <v>118</v>
      </c>
      <c r="E417" s="29" t="s">
        <v>128</v>
      </c>
      <c r="F417" s="30">
        <v>677.49</v>
      </c>
      <c r="G417" s="36">
        <v>643.62</v>
      </c>
      <c r="H417" s="36">
        <f>'SalesData 2'!$F417-'SalesData 2'!$G417</f>
        <v>33.870000000000005</v>
      </c>
    </row>
    <row r="418" spans="1:8" ht="14.4" x14ac:dyDescent="0.25">
      <c r="A418" s="40">
        <v>41812</v>
      </c>
      <c r="B418" s="25" t="s">
        <v>29</v>
      </c>
      <c r="C418" s="9" t="s">
        <v>98</v>
      </c>
      <c r="D418" s="25" t="s">
        <v>120</v>
      </c>
      <c r="E418" s="25" t="s">
        <v>130</v>
      </c>
      <c r="F418" s="26">
        <v>65.69</v>
      </c>
      <c r="G418" s="35">
        <v>61.089999999999996</v>
      </c>
      <c r="H418" s="35">
        <f>'SalesData 2'!$F418-'SalesData 2'!$G418</f>
        <v>4.6000000000000014</v>
      </c>
    </row>
    <row r="419" spans="1:8" ht="14.4" x14ac:dyDescent="0.25">
      <c r="A419" s="41">
        <v>41813</v>
      </c>
      <c r="B419" s="29" t="s">
        <v>35</v>
      </c>
      <c r="C419" s="14" t="s">
        <v>97</v>
      </c>
      <c r="D419" s="29" t="s">
        <v>121</v>
      </c>
      <c r="E419" s="29" t="s">
        <v>130</v>
      </c>
      <c r="F419" s="30">
        <v>400.51</v>
      </c>
      <c r="G419" s="36">
        <v>404.52</v>
      </c>
      <c r="H419" s="36">
        <f>'SalesData 2'!$F419-'SalesData 2'!$G419</f>
        <v>-4.0099999999999909</v>
      </c>
    </row>
    <row r="420" spans="1:8" ht="14.4" x14ac:dyDescent="0.25">
      <c r="A420" s="40">
        <v>41815</v>
      </c>
      <c r="B420" s="25" t="s">
        <v>33</v>
      </c>
      <c r="C420" s="9" t="s">
        <v>115</v>
      </c>
      <c r="D420" s="25" t="s">
        <v>121</v>
      </c>
      <c r="E420" s="25" t="s">
        <v>130</v>
      </c>
      <c r="F420" s="26">
        <v>430.46</v>
      </c>
      <c r="G420" s="35">
        <v>404.63</v>
      </c>
      <c r="H420" s="35">
        <f>'SalesData 2'!$F420-'SalesData 2'!$G420</f>
        <v>25.829999999999984</v>
      </c>
    </row>
    <row r="421" spans="1:8" ht="14.4" x14ac:dyDescent="0.25">
      <c r="A421" s="41">
        <v>41815</v>
      </c>
      <c r="B421" s="29" t="s">
        <v>22</v>
      </c>
      <c r="C421" s="14" t="s">
        <v>78</v>
      </c>
      <c r="D421" s="29" t="s">
        <v>119</v>
      </c>
      <c r="E421" s="29" t="s">
        <v>128</v>
      </c>
      <c r="F421" s="30">
        <v>175.92</v>
      </c>
      <c r="G421" s="36">
        <v>179.44</v>
      </c>
      <c r="H421" s="36">
        <f>'SalesData 2'!$F421-'SalesData 2'!$G421</f>
        <v>-3.5200000000000102</v>
      </c>
    </row>
    <row r="422" spans="1:8" ht="14.4" x14ac:dyDescent="0.25">
      <c r="A422" s="40">
        <v>41816</v>
      </c>
      <c r="B422" s="25" t="s">
        <v>28</v>
      </c>
      <c r="C422" s="9" t="s">
        <v>103</v>
      </c>
      <c r="D422" s="25" t="s">
        <v>120</v>
      </c>
      <c r="E422" s="25" t="s">
        <v>130</v>
      </c>
      <c r="F422" s="26">
        <v>591.32000000000005</v>
      </c>
      <c r="G422" s="35">
        <v>573.58000000000004</v>
      </c>
      <c r="H422" s="35">
        <f>'SalesData 2'!$F422-'SalesData 2'!$G422</f>
        <v>17.740000000000009</v>
      </c>
    </row>
    <row r="423" spans="1:8" ht="14.4" x14ac:dyDescent="0.25">
      <c r="A423" s="41">
        <v>41816</v>
      </c>
      <c r="B423" s="29" t="s">
        <v>25</v>
      </c>
      <c r="C423" s="14" t="s">
        <v>94</v>
      </c>
      <c r="D423" s="29" t="s">
        <v>119</v>
      </c>
      <c r="E423" s="29" t="s">
        <v>128</v>
      </c>
      <c r="F423" s="30">
        <v>116.72</v>
      </c>
      <c r="G423" s="36">
        <v>107.38</v>
      </c>
      <c r="H423" s="36">
        <f>'SalesData 2'!$F423-'SalesData 2'!$G423</f>
        <v>9.3400000000000034</v>
      </c>
    </row>
    <row r="424" spans="1:8" ht="14.4" x14ac:dyDescent="0.25">
      <c r="A424" s="40">
        <v>41816</v>
      </c>
      <c r="B424" s="25" t="s">
        <v>25</v>
      </c>
      <c r="C424" s="9" t="s">
        <v>94</v>
      </c>
      <c r="D424" s="25" t="s">
        <v>119</v>
      </c>
      <c r="E424" s="25" t="s">
        <v>129</v>
      </c>
      <c r="F424" s="26">
        <v>344</v>
      </c>
      <c r="G424" s="35">
        <v>333.68</v>
      </c>
      <c r="H424" s="35">
        <f>'SalesData 2'!$F424-'SalesData 2'!$G424</f>
        <v>10.319999999999993</v>
      </c>
    </row>
    <row r="425" spans="1:8" ht="14.4" x14ac:dyDescent="0.25">
      <c r="A425" s="41">
        <v>41817</v>
      </c>
      <c r="B425" s="29" t="s">
        <v>16</v>
      </c>
      <c r="C425" s="14" t="s">
        <v>61</v>
      </c>
      <c r="D425" s="29" t="s">
        <v>118</v>
      </c>
      <c r="E425" s="29" t="s">
        <v>129</v>
      </c>
      <c r="F425" s="30">
        <v>976.54</v>
      </c>
      <c r="G425" s="36">
        <v>917.94999999999993</v>
      </c>
      <c r="H425" s="36">
        <f>'SalesData 2'!$F425-'SalesData 2'!$G425</f>
        <v>58.590000000000032</v>
      </c>
    </row>
    <row r="426" spans="1:8" ht="14.4" x14ac:dyDescent="0.25">
      <c r="A426" s="40">
        <v>41818</v>
      </c>
      <c r="B426" s="25" t="s">
        <v>21</v>
      </c>
      <c r="C426" s="9" t="s">
        <v>79</v>
      </c>
      <c r="D426" s="25" t="s">
        <v>119</v>
      </c>
      <c r="E426" s="25" t="s">
        <v>128</v>
      </c>
      <c r="F426" s="26">
        <v>983.19</v>
      </c>
      <c r="G426" s="35">
        <v>904.53000000000009</v>
      </c>
      <c r="H426" s="35">
        <f>'SalesData 2'!$F426-'SalesData 2'!$G426</f>
        <v>78.659999999999968</v>
      </c>
    </row>
    <row r="427" spans="1:8" ht="14.4" x14ac:dyDescent="0.25">
      <c r="A427" s="41">
        <v>41823</v>
      </c>
      <c r="B427" s="29" t="s">
        <v>26</v>
      </c>
      <c r="C427" s="14" t="s">
        <v>117</v>
      </c>
      <c r="D427" s="29" t="s">
        <v>120</v>
      </c>
      <c r="E427" s="29" t="s">
        <v>129</v>
      </c>
      <c r="F427" s="46">
        <v>422.63</v>
      </c>
      <c r="G427" s="36">
        <v>405.71999999999997</v>
      </c>
      <c r="H427" s="36">
        <f>'SalesData 2'!$F427-'SalesData 2'!$G427</f>
        <v>16.910000000000025</v>
      </c>
    </row>
    <row r="428" spans="1:8" ht="14.4" x14ac:dyDescent="0.25">
      <c r="A428" s="40">
        <v>41825</v>
      </c>
      <c r="B428" s="25" t="s">
        <v>48</v>
      </c>
      <c r="C428" s="9" t="s">
        <v>55</v>
      </c>
      <c r="D428" s="25" t="s">
        <v>122</v>
      </c>
      <c r="E428" s="25" t="s">
        <v>130</v>
      </c>
      <c r="F428" s="26">
        <v>922.03</v>
      </c>
      <c r="G428" s="35">
        <v>894.37</v>
      </c>
      <c r="H428" s="35">
        <f>'SalesData 2'!$F428-'SalesData 2'!$G428</f>
        <v>27.659999999999968</v>
      </c>
    </row>
    <row r="429" spans="1:8" ht="14.4" x14ac:dyDescent="0.25">
      <c r="A429" s="41">
        <v>41829</v>
      </c>
      <c r="B429" s="29" t="s">
        <v>22</v>
      </c>
      <c r="C429" s="14" t="s">
        <v>77</v>
      </c>
      <c r="D429" s="29" t="s">
        <v>119</v>
      </c>
      <c r="E429" s="29" t="s">
        <v>129</v>
      </c>
      <c r="F429" s="30">
        <v>697.67</v>
      </c>
      <c r="G429" s="36">
        <v>711.62</v>
      </c>
      <c r="H429" s="36">
        <f>'SalesData 2'!$F429-'SalesData 2'!$G429</f>
        <v>-13.950000000000045</v>
      </c>
    </row>
    <row r="430" spans="1:8" ht="14.4" x14ac:dyDescent="0.25">
      <c r="A430" s="40">
        <v>41833</v>
      </c>
      <c r="B430" s="25" t="s">
        <v>47</v>
      </c>
      <c r="C430" s="9" t="s">
        <v>96</v>
      </c>
      <c r="D430" s="25" t="s">
        <v>122</v>
      </c>
      <c r="E430" s="25" t="s">
        <v>128</v>
      </c>
      <c r="F430" s="26">
        <v>471.58</v>
      </c>
      <c r="G430" s="35">
        <v>495.15999999999997</v>
      </c>
      <c r="H430" s="35">
        <f>'SalesData 2'!$F430-'SalesData 2'!$G430</f>
        <v>-23.579999999999984</v>
      </c>
    </row>
    <row r="431" spans="1:8" ht="14.4" x14ac:dyDescent="0.25">
      <c r="A431" s="41">
        <v>41836</v>
      </c>
      <c r="B431" s="29" t="s">
        <v>30</v>
      </c>
      <c r="C431" s="14" t="s">
        <v>88</v>
      </c>
      <c r="D431" s="29" t="s">
        <v>120</v>
      </c>
      <c r="E431" s="29" t="s">
        <v>129</v>
      </c>
      <c r="F431" s="30">
        <v>691.44</v>
      </c>
      <c r="G431" s="36">
        <v>732.93000000000006</v>
      </c>
      <c r="H431" s="36">
        <f>'SalesData 2'!$F431-'SalesData 2'!$G431</f>
        <v>-41.490000000000009</v>
      </c>
    </row>
    <row r="432" spans="1:8" ht="14.4" x14ac:dyDescent="0.25">
      <c r="A432" s="40">
        <v>41839</v>
      </c>
      <c r="B432" s="25" t="s">
        <v>44</v>
      </c>
      <c r="C432" s="9" t="s">
        <v>104</v>
      </c>
      <c r="D432" s="25" t="s">
        <v>122</v>
      </c>
      <c r="E432" s="25" t="s">
        <v>128</v>
      </c>
      <c r="F432" s="26">
        <v>50.48</v>
      </c>
      <c r="G432" s="35">
        <v>54.519999999999996</v>
      </c>
      <c r="H432" s="35">
        <f>'SalesData 2'!$F432-'SalesData 2'!$G432</f>
        <v>-4.0399999999999991</v>
      </c>
    </row>
    <row r="433" spans="1:8" ht="14.4" x14ac:dyDescent="0.25">
      <c r="A433" s="41">
        <v>41840</v>
      </c>
      <c r="B433" s="29" t="s">
        <v>19</v>
      </c>
      <c r="C433" s="14" t="s">
        <v>113</v>
      </c>
      <c r="D433" s="29" t="s">
        <v>119</v>
      </c>
      <c r="E433" s="29" t="s">
        <v>128</v>
      </c>
      <c r="F433" s="30">
        <v>218.69</v>
      </c>
      <c r="G433" s="36">
        <v>220.88</v>
      </c>
      <c r="H433" s="36">
        <f>'SalesData 2'!$F433-'SalesData 2'!$G433</f>
        <v>-2.1899999999999977</v>
      </c>
    </row>
    <row r="434" spans="1:8" ht="14.4" x14ac:dyDescent="0.25">
      <c r="A434" s="40">
        <v>41841</v>
      </c>
      <c r="B434" s="25" t="s">
        <v>36</v>
      </c>
      <c r="C434" s="9" t="s">
        <v>58</v>
      </c>
      <c r="D434" s="25" t="s">
        <v>121</v>
      </c>
      <c r="E434" s="25" t="s">
        <v>130</v>
      </c>
      <c r="F434" s="26">
        <v>462.64</v>
      </c>
      <c r="G434" s="35">
        <v>458.01</v>
      </c>
      <c r="H434" s="35">
        <f>'SalesData 2'!$F434-'SalesData 2'!$G434</f>
        <v>4.6299999999999955</v>
      </c>
    </row>
    <row r="435" spans="1:8" ht="14.4" x14ac:dyDescent="0.25">
      <c r="A435" s="41">
        <v>41844</v>
      </c>
      <c r="B435" s="29" t="s">
        <v>43</v>
      </c>
      <c r="C435" s="14" t="s">
        <v>106</v>
      </c>
      <c r="D435" s="29" t="s">
        <v>122</v>
      </c>
      <c r="E435" s="29" t="s">
        <v>129</v>
      </c>
      <c r="F435" s="30">
        <v>861.5</v>
      </c>
      <c r="G435" s="36">
        <v>801.19</v>
      </c>
      <c r="H435" s="36">
        <f>'SalesData 2'!$F435-'SalesData 2'!$G435</f>
        <v>60.309999999999945</v>
      </c>
    </row>
    <row r="436" spans="1:8" ht="14.4" x14ac:dyDescent="0.25">
      <c r="A436" s="40">
        <v>41844</v>
      </c>
      <c r="B436" s="25" t="s">
        <v>46</v>
      </c>
      <c r="C436" s="9" t="s">
        <v>100</v>
      </c>
      <c r="D436" s="25" t="s">
        <v>122</v>
      </c>
      <c r="E436" s="25" t="s">
        <v>130</v>
      </c>
      <c r="F436" s="26">
        <v>347.85</v>
      </c>
      <c r="G436" s="35">
        <v>361.76000000000005</v>
      </c>
      <c r="H436" s="35">
        <f>'SalesData 2'!$F436-'SalesData 2'!$G436</f>
        <v>-13.910000000000025</v>
      </c>
    </row>
    <row r="437" spans="1:8" ht="14.4" x14ac:dyDescent="0.25">
      <c r="A437" s="41">
        <v>41847</v>
      </c>
      <c r="B437" s="29" t="s">
        <v>31</v>
      </c>
      <c r="C437" s="14" t="s">
        <v>85</v>
      </c>
      <c r="D437" s="29" t="s">
        <v>120</v>
      </c>
      <c r="E437" s="29" t="s">
        <v>128</v>
      </c>
      <c r="F437" s="30">
        <v>628.53</v>
      </c>
      <c r="G437" s="36">
        <v>590.81999999999994</v>
      </c>
      <c r="H437" s="36">
        <f>'SalesData 2'!$F437-'SalesData 2'!$G437</f>
        <v>37.710000000000036</v>
      </c>
    </row>
    <row r="438" spans="1:8" ht="14.4" x14ac:dyDescent="0.25">
      <c r="A438" s="40">
        <v>41853</v>
      </c>
      <c r="B438" s="25" t="s">
        <v>35</v>
      </c>
      <c r="C438" s="9" t="s">
        <v>97</v>
      </c>
      <c r="D438" s="25" t="s">
        <v>121</v>
      </c>
      <c r="E438" s="25" t="s">
        <v>128</v>
      </c>
      <c r="F438" s="26">
        <v>234.66</v>
      </c>
      <c r="G438" s="35">
        <v>234.66</v>
      </c>
      <c r="H438" s="35">
        <f>'SalesData 2'!$F438-'SalesData 2'!$G438</f>
        <v>0</v>
      </c>
    </row>
    <row r="439" spans="1:8" ht="14.4" x14ac:dyDescent="0.25">
      <c r="A439" s="41">
        <v>41855</v>
      </c>
      <c r="B439" s="29" t="s">
        <v>7</v>
      </c>
      <c r="C439" s="14" t="s">
        <v>99</v>
      </c>
      <c r="D439" s="29" t="s">
        <v>118</v>
      </c>
      <c r="E439" s="29" t="s">
        <v>129</v>
      </c>
      <c r="F439" s="30">
        <v>153.13</v>
      </c>
      <c r="G439" s="36">
        <v>163.85</v>
      </c>
      <c r="H439" s="36">
        <f>'SalesData 2'!$F439-'SalesData 2'!$G439</f>
        <v>-10.719999999999999</v>
      </c>
    </row>
    <row r="440" spans="1:8" ht="14.4" x14ac:dyDescent="0.25">
      <c r="A440" s="40">
        <v>41857</v>
      </c>
      <c r="B440" s="25" t="s">
        <v>46</v>
      </c>
      <c r="C440" s="9" t="s">
        <v>100</v>
      </c>
      <c r="D440" s="25" t="s">
        <v>122</v>
      </c>
      <c r="E440" s="25" t="s">
        <v>129</v>
      </c>
      <c r="F440" s="26">
        <v>741.03</v>
      </c>
      <c r="G440" s="35">
        <v>674.33999999999992</v>
      </c>
      <c r="H440" s="35">
        <f>'SalesData 2'!$F440-'SalesData 2'!$G440</f>
        <v>66.690000000000055</v>
      </c>
    </row>
    <row r="441" spans="1:8" ht="14.4" x14ac:dyDescent="0.25">
      <c r="A441" s="41">
        <v>41858</v>
      </c>
      <c r="B441" s="29" t="s">
        <v>23</v>
      </c>
      <c r="C441" s="14" t="s">
        <v>109</v>
      </c>
      <c r="D441" s="29" t="s">
        <v>119</v>
      </c>
      <c r="E441" s="29" t="s">
        <v>130</v>
      </c>
      <c r="F441" s="30">
        <v>966.99</v>
      </c>
      <c r="G441" s="36">
        <v>986.33</v>
      </c>
      <c r="H441" s="36">
        <f>'SalesData 2'!$F441-'SalesData 2'!$G441</f>
        <v>-19.340000000000032</v>
      </c>
    </row>
    <row r="442" spans="1:8" ht="14.4" x14ac:dyDescent="0.25">
      <c r="A442" s="40">
        <v>41858</v>
      </c>
      <c r="B442" s="25" t="s">
        <v>51</v>
      </c>
      <c r="C442" s="9" t="s">
        <v>86</v>
      </c>
      <c r="D442" s="25" t="s">
        <v>122</v>
      </c>
      <c r="E442" s="25" t="s">
        <v>128</v>
      </c>
      <c r="F442" s="26">
        <v>10.76</v>
      </c>
      <c r="G442" s="35">
        <v>10.219999999999999</v>
      </c>
      <c r="H442" s="35">
        <f>'SalesData 2'!$F442-'SalesData 2'!$G442</f>
        <v>0.54000000000000092</v>
      </c>
    </row>
    <row r="443" spans="1:8" ht="14.4" x14ac:dyDescent="0.25">
      <c r="A443" s="41">
        <v>41859</v>
      </c>
      <c r="B443" s="29" t="s">
        <v>6</v>
      </c>
      <c r="C443" s="14" t="s">
        <v>80</v>
      </c>
      <c r="D443" s="29" t="s">
        <v>118</v>
      </c>
      <c r="E443" s="29" t="s">
        <v>129</v>
      </c>
      <c r="F443" s="30">
        <v>818.95</v>
      </c>
      <c r="G443" s="36">
        <v>810.76</v>
      </c>
      <c r="H443" s="36">
        <f>'SalesData 2'!$F443-'SalesData 2'!$G443</f>
        <v>8.1900000000000546</v>
      </c>
    </row>
    <row r="444" spans="1:8" ht="14.4" x14ac:dyDescent="0.25">
      <c r="A444" s="40">
        <v>41861</v>
      </c>
      <c r="B444" s="25" t="s">
        <v>6</v>
      </c>
      <c r="C444" s="9" t="s">
        <v>81</v>
      </c>
      <c r="D444" s="25" t="s">
        <v>118</v>
      </c>
      <c r="E444" s="25" t="s">
        <v>130</v>
      </c>
      <c r="F444" s="26">
        <v>753.87</v>
      </c>
      <c r="G444" s="35">
        <v>791.56</v>
      </c>
      <c r="H444" s="35">
        <f>'SalesData 2'!$F444-'SalesData 2'!$G444</f>
        <v>-37.689999999999941</v>
      </c>
    </row>
    <row r="445" spans="1:8" ht="14.4" x14ac:dyDescent="0.25">
      <c r="A445" s="41">
        <v>41862</v>
      </c>
      <c r="B445" s="29" t="s">
        <v>45</v>
      </c>
      <c r="C445" s="14" t="s">
        <v>101</v>
      </c>
      <c r="D445" s="29" t="s">
        <v>122</v>
      </c>
      <c r="E445" s="29" t="s">
        <v>128</v>
      </c>
      <c r="F445" s="30">
        <v>679.85</v>
      </c>
      <c r="G445" s="36">
        <v>645.86</v>
      </c>
      <c r="H445" s="36">
        <f>'SalesData 2'!$F445-'SalesData 2'!$G445</f>
        <v>33.990000000000009</v>
      </c>
    </row>
    <row r="446" spans="1:8" ht="14.4" x14ac:dyDescent="0.25">
      <c r="A446" s="40">
        <v>41864</v>
      </c>
      <c r="B446" s="25" t="s">
        <v>13</v>
      </c>
      <c r="C446" s="9" t="s">
        <v>73</v>
      </c>
      <c r="D446" s="25" t="s">
        <v>118</v>
      </c>
      <c r="E446" s="25" t="s">
        <v>128</v>
      </c>
      <c r="F446" s="26">
        <v>634.20000000000005</v>
      </c>
      <c r="G446" s="35">
        <v>678.59</v>
      </c>
      <c r="H446" s="35">
        <f>'SalesData 2'!$F446-'SalesData 2'!$G446</f>
        <v>-44.389999999999986</v>
      </c>
    </row>
    <row r="447" spans="1:8" ht="14.4" x14ac:dyDescent="0.25">
      <c r="A447" s="41">
        <v>41865</v>
      </c>
      <c r="B447" s="29" t="s">
        <v>48</v>
      </c>
      <c r="C447" s="14" t="s">
        <v>56</v>
      </c>
      <c r="D447" s="29" t="s">
        <v>122</v>
      </c>
      <c r="E447" s="29" t="s">
        <v>129</v>
      </c>
      <c r="F447" s="30">
        <v>56.22</v>
      </c>
      <c r="G447" s="36">
        <v>55.1</v>
      </c>
      <c r="H447" s="36">
        <f>'SalesData 2'!$F447-'SalesData 2'!$G447</f>
        <v>1.1199999999999974</v>
      </c>
    </row>
    <row r="448" spans="1:8" ht="14.4" x14ac:dyDescent="0.25">
      <c r="A448" s="40">
        <v>41866</v>
      </c>
      <c r="B448" s="25" t="s">
        <v>43</v>
      </c>
      <c r="C448" s="9" t="s">
        <v>106</v>
      </c>
      <c r="D448" s="25" t="s">
        <v>122</v>
      </c>
      <c r="E448" s="25" t="s">
        <v>130</v>
      </c>
      <c r="F448" s="26">
        <v>285.13</v>
      </c>
      <c r="G448" s="35">
        <v>276.58</v>
      </c>
      <c r="H448" s="35">
        <f>'SalesData 2'!$F448-'SalesData 2'!$G448</f>
        <v>8.5500000000000114</v>
      </c>
    </row>
    <row r="449" spans="1:8" ht="14.4" x14ac:dyDescent="0.25">
      <c r="A449" s="41">
        <v>41867</v>
      </c>
      <c r="B449" s="29" t="s">
        <v>18</v>
      </c>
      <c r="C449" s="14" t="s">
        <v>63</v>
      </c>
      <c r="D449" s="29" t="s">
        <v>119</v>
      </c>
      <c r="E449" s="29" t="s">
        <v>128</v>
      </c>
      <c r="F449" s="30">
        <v>542.42999999999995</v>
      </c>
      <c r="G449" s="36">
        <v>585.81999999999994</v>
      </c>
      <c r="H449" s="36">
        <f>'SalesData 2'!$F449-'SalesData 2'!$G449</f>
        <v>-43.389999999999986</v>
      </c>
    </row>
    <row r="450" spans="1:8" ht="14.4" x14ac:dyDescent="0.25">
      <c r="A450" s="40">
        <v>41868</v>
      </c>
      <c r="B450" s="25" t="s">
        <v>36</v>
      </c>
      <c r="C450" s="9" t="s">
        <v>59</v>
      </c>
      <c r="D450" s="25" t="s">
        <v>121</v>
      </c>
      <c r="E450" s="25" t="s">
        <v>130</v>
      </c>
      <c r="F450" s="26">
        <v>857.7</v>
      </c>
      <c r="G450" s="35">
        <v>900.59</v>
      </c>
      <c r="H450" s="35">
        <f>'SalesData 2'!$F450-'SalesData 2'!$G450</f>
        <v>-42.889999999999986</v>
      </c>
    </row>
    <row r="451" spans="1:8" ht="14.4" x14ac:dyDescent="0.25">
      <c r="A451" s="41">
        <v>41869</v>
      </c>
      <c r="B451" s="29" t="s">
        <v>6</v>
      </c>
      <c r="C451" s="14" t="s">
        <v>80</v>
      </c>
      <c r="D451" s="29" t="s">
        <v>118</v>
      </c>
      <c r="E451" s="29" t="s">
        <v>129</v>
      </c>
      <c r="F451" s="30">
        <v>511.15</v>
      </c>
      <c r="G451" s="36">
        <v>460.03</v>
      </c>
      <c r="H451" s="36">
        <f>'SalesData 2'!$F451-'SalesData 2'!$G451</f>
        <v>51.120000000000005</v>
      </c>
    </row>
    <row r="452" spans="1:8" ht="14.4" x14ac:dyDescent="0.25">
      <c r="A452" s="40">
        <v>41870</v>
      </c>
      <c r="B452" s="25" t="s">
        <v>14</v>
      </c>
      <c r="C452" s="9" t="s">
        <v>83</v>
      </c>
      <c r="D452" s="25" t="s">
        <v>118</v>
      </c>
      <c r="E452" s="25" t="s">
        <v>130</v>
      </c>
      <c r="F452" s="26">
        <v>437.73</v>
      </c>
      <c r="G452" s="35">
        <v>468.37</v>
      </c>
      <c r="H452" s="35">
        <f>'SalesData 2'!$F452-'SalesData 2'!$G452</f>
        <v>-30.639999999999986</v>
      </c>
    </row>
    <row r="453" spans="1:8" ht="14.4" x14ac:dyDescent="0.25">
      <c r="A453" s="41">
        <v>41871</v>
      </c>
      <c r="B453" s="29" t="s">
        <v>4</v>
      </c>
      <c r="C453" s="14" t="s">
        <v>70</v>
      </c>
      <c r="D453" s="29" t="s">
        <v>118</v>
      </c>
      <c r="E453" s="29" t="s">
        <v>130</v>
      </c>
      <c r="F453" s="30">
        <v>768.89</v>
      </c>
      <c r="G453" s="36">
        <v>791.96</v>
      </c>
      <c r="H453" s="36">
        <f>'SalesData 2'!$F453-'SalesData 2'!$G453</f>
        <v>-23.07000000000005</v>
      </c>
    </row>
    <row r="454" spans="1:8" ht="14.4" x14ac:dyDescent="0.25">
      <c r="A454" s="40">
        <v>41873</v>
      </c>
      <c r="B454" s="25" t="s">
        <v>8</v>
      </c>
      <c r="C454" s="9" t="s">
        <v>54</v>
      </c>
      <c r="D454" s="25" t="s">
        <v>118</v>
      </c>
      <c r="E454" s="25" t="s">
        <v>130</v>
      </c>
      <c r="F454" s="26">
        <v>438.03</v>
      </c>
      <c r="G454" s="35">
        <v>442.40999999999997</v>
      </c>
      <c r="H454" s="35">
        <f>'SalesData 2'!$F454-'SalesData 2'!$G454</f>
        <v>-4.3799999999999955</v>
      </c>
    </row>
    <row r="455" spans="1:8" ht="14.4" x14ac:dyDescent="0.25">
      <c r="A455" s="41">
        <v>41874</v>
      </c>
      <c r="B455" s="29" t="s">
        <v>7</v>
      </c>
      <c r="C455" s="14" t="s">
        <v>99</v>
      </c>
      <c r="D455" s="29" t="s">
        <v>118</v>
      </c>
      <c r="E455" s="29" t="s">
        <v>129</v>
      </c>
      <c r="F455" s="30">
        <v>202.08</v>
      </c>
      <c r="G455" s="36">
        <v>196.02</v>
      </c>
      <c r="H455" s="36">
        <f>'SalesData 2'!$F455-'SalesData 2'!$G455</f>
        <v>6.0600000000000023</v>
      </c>
    </row>
    <row r="456" spans="1:8" ht="14.4" x14ac:dyDescent="0.25">
      <c r="A456" s="40">
        <v>41875</v>
      </c>
      <c r="B456" s="25" t="s">
        <v>41</v>
      </c>
      <c r="C456" s="9" t="s">
        <v>67</v>
      </c>
      <c r="D456" s="25" t="s">
        <v>122</v>
      </c>
      <c r="E456" s="25" t="s">
        <v>130</v>
      </c>
      <c r="F456" s="26">
        <v>117.71</v>
      </c>
      <c r="G456" s="35">
        <v>108.28999999999999</v>
      </c>
      <c r="H456" s="35">
        <f>'SalesData 2'!$F456-'SalesData 2'!$G456</f>
        <v>9.4200000000000017</v>
      </c>
    </row>
    <row r="457" spans="1:8" ht="14.4" x14ac:dyDescent="0.25">
      <c r="A457" s="41">
        <v>41875</v>
      </c>
      <c r="B457" s="29" t="s">
        <v>32</v>
      </c>
      <c r="C457" s="14" t="s">
        <v>126</v>
      </c>
      <c r="D457" s="29" t="s">
        <v>120</v>
      </c>
      <c r="E457" s="29" t="s">
        <v>129</v>
      </c>
      <c r="F457" s="30">
        <v>759.99</v>
      </c>
      <c r="G457" s="36">
        <v>706.79</v>
      </c>
      <c r="H457" s="36">
        <f>'SalesData 2'!$F457-'SalesData 2'!$G457</f>
        <v>53.200000000000045</v>
      </c>
    </row>
    <row r="458" spans="1:8" ht="14.4" x14ac:dyDescent="0.25">
      <c r="A458" s="40">
        <v>41876</v>
      </c>
      <c r="B458" s="25" t="s">
        <v>18</v>
      </c>
      <c r="C458" s="9" t="s">
        <v>64</v>
      </c>
      <c r="D458" s="25" t="s">
        <v>119</v>
      </c>
      <c r="E458" s="25" t="s">
        <v>130</v>
      </c>
      <c r="F458" s="26">
        <v>32.15</v>
      </c>
      <c r="G458" s="35">
        <v>29.58</v>
      </c>
      <c r="H458" s="35">
        <f>'SalesData 2'!$F458-'SalesData 2'!$G458</f>
        <v>2.5700000000000003</v>
      </c>
    </row>
    <row r="459" spans="1:8" ht="14.4" x14ac:dyDescent="0.25">
      <c r="A459" s="41">
        <v>41879</v>
      </c>
      <c r="B459" s="29" t="s">
        <v>19</v>
      </c>
      <c r="C459" s="14" t="s">
        <v>113</v>
      </c>
      <c r="D459" s="29" t="s">
        <v>119</v>
      </c>
      <c r="E459" s="29" t="s">
        <v>128</v>
      </c>
      <c r="F459" s="30">
        <v>384</v>
      </c>
      <c r="G459" s="36">
        <v>372.48</v>
      </c>
      <c r="H459" s="36">
        <f>'SalesData 2'!$F459-'SalesData 2'!$G459</f>
        <v>11.519999999999982</v>
      </c>
    </row>
    <row r="460" spans="1:8" ht="14.4" x14ac:dyDescent="0.25">
      <c r="A460" s="40">
        <v>41885</v>
      </c>
      <c r="B460" s="25" t="s">
        <v>48</v>
      </c>
      <c r="C460" s="9" t="s">
        <v>82</v>
      </c>
      <c r="D460" s="25" t="s">
        <v>122</v>
      </c>
      <c r="E460" s="25" t="s">
        <v>128</v>
      </c>
      <c r="F460" s="26">
        <v>992.39</v>
      </c>
      <c r="G460" s="35">
        <v>952.68999999999994</v>
      </c>
      <c r="H460" s="35">
        <f>'SalesData 2'!$F460-'SalesData 2'!$G460</f>
        <v>39.700000000000045</v>
      </c>
    </row>
    <row r="461" spans="1:8" ht="14.4" x14ac:dyDescent="0.25">
      <c r="A461" s="41">
        <v>41886</v>
      </c>
      <c r="B461" s="29" t="s">
        <v>41</v>
      </c>
      <c r="C461" s="14" t="s">
        <v>67</v>
      </c>
      <c r="D461" s="29" t="s">
        <v>122</v>
      </c>
      <c r="E461" s="29" t="s">
        <v>130</v>
      </c>
      <c r="F461" s="30">
        <v>896.19</v>
      </c>
      <c r="G461" s="36">
        <v>806.57</v>
      </c>
      <c r="H461" s="36">
        <f>'SalesData 2'!$F461-'SalesData 2'!$G461</f>
        <v>89.62</v>
      </c>
    </row>
    <row r="462" spans="1:8" ht="14.4" x14ac:dyDescent="0.25">
      <c r="A462" s="40">
        <v>41886</v>
      </c>
      <c r="B462" s="25" t="s">
        <v>45</v>
      </c>
      <c r="C462" s="9" t="s">
        <v>101</v>
      </c>
      <c r="D462" s="25" t="s">
        <v>122</v>
      </c>
      <c r="E462" s="25" t="s">
        <v>128</v>
      </c>
      <c r="F462" s="26">
        <v>211.55</v>
      </c>
      <c r="G462" s="35">
        <v>196.74</v>
      </c>
      <c r="H462" s="35">
        <f>'SalesData 2'!$F462-'SalesData 2'!$G462</f>
        <v>14.810000000000002</v>
      </c>
    </row>
    <row r="463" spans="1:8" ht="14.4" x14ac:dyDescent="0.25">
      <c r="A463" s="41">
        <v>41888</v>
      </c>
      <c r="B463" s="29" t="s">
        <v>18</v>
      </c>
      <c r="C463" s="14" t="s">
        <v>63</v>
      </c>
      <c r="D463" s="29" t="s">
        <v>119</v>
      </c>
      <c r="E463" s="29" t="s">
        <v>130</v>
      </c>
      <c r="F463" s="30">
        <v>951.4</v>
      </c>
      <c r="G463" s="36">
        <v>979.93999999999994</v>
      </c>
      <c r="H463" s="36">
        <f>'SalesData 2'!$F463-'SalesData 2'!$G463</f>
        <v>-28.539999999999964</v>
      </c>
    </row>
    <row r="464" spans="1:8" ht="14.4" x14ac:dyDescent="0.25">
      <c r="A464" s="40">
        <v>41893</v>
      </c>
      <c r="B464" s="25" t="s">
        <v>9</v>
      </c>
      <c r="C464" s="9" t="s">
        <v>95</v>
      </c>
      <c r="D464" s="25" t="s">
        <v>118</v>
      </c>
      <c r="E464" s="25" t="s">
        <v>130</v>
      </c>
      <c r="F464" s="26">
        <v>435.41</v>
      </c>
      <c r="G464" s="35">
        <v>431.06</v>
      </c>
      <c r="H464" s="35">
        <f>'SalesData 2'!$F464-'SalesData 2'!$G464</f>
        <v>4.3500000000000227</v>
      </c>
    </row>
    <row r="465" spans="1:8" ht="14.4" x14ac:dyDescent="0.25">
      <c r="A465" s="41">
        <v>41894</v>
      </c>
      <c r="B465" s="29" t="s">
        <v>22</v>
      </c>
      <c r="C465" s="14" t="s">
        <v>77</v>
      </c>
      <c r="D465" s="29" t="s">
        <v>119</v>
      </c>
      <c r="E465" s="29" t="s">
        <v>130</v>
      </c>
      <c r="F465" s="30">
        <v>997.23</v>
      </c>
      <c r="G465" s="36">
        <v>947.37</v>
      </c>
      <c r="H465" s="36">
        <f>'SalesData 2'!$F465-'SalesData 2'!$G465</f>
        <v>49.860000000000014</v>
      </c>
    </row>
    <row r="466" spans="1:8" ht="14.4" x14ac:dyDescent="0.25">
      <c r="A466" s="40">
        <v>41895</v>
      </c>
      <c r="B466" s="25" t="s">
        <v>23</v>
      </c>
      <c r="C466" s="9" t="s">
        <v>109</v>
      </c>
      <c r="D466" s="25" t="s">
        <v>119</v>
      </c>
      <c r="E466" s="25" t="s">
        <v>128</v>
      </c>
      <c r="F466" s="26">
        <v>383.7</v>
      </c>
      <c r="G466" s="35">
        <v>360.68</v>
      </c>
      <c r="H466" s="35">
        <f>'SalesData 2'!$F466-'SalesData 2'!$G466</f>
        <v>23.019999999999982</v>
      </c>
    </row>
    <row r="467" spans="1:8" ht="14.4" x14ac:dyDescent="0.25">
      <c r="A467" s="41">
        <v>41895</v>
      </c>
      <c r="B467" s="29" t="s">
        <v>2</v>
      </c>
      <c r="C467" s="14" t="s">
        <v>108</v>
      </c>
      <c r="D467" s="29" t="s">
        <v>118</v>
      </c>
      <c r="E467" s="29" t="s">
        <v>129</v>
      </c>
      <c r="F467" s="30">
        <v>829.05</v>
      </c>
      <c r="G467" s="36">
        <v>820.76</v>
      </c>
      <c r="H467" s="36">
        <f>'SalesData 2'!$F467-'SalesData 2'!$G467</f>
        <v>8.2899999999999636</v>
      </c>
    </row>
    <row r="468" spans="1:8" ht="14.4" x14ac:dyDescent="0.25">
      <c r="A468" s="40">
        <v>41897</v>
      </c>
      <c r="B468" s="25" t="s">
        <v>34</v>
      </c>
      <c r="C468" s="9" t="s">
        <v>105</v>
      </c>
      <c r="D468" s="25" t="s">
        <v>121</v>
      </c>
      <c r="E468" s="25" t="s">
        <v>129</v>
      </c>
      <c r="F468" s="26">
        <v>401.94</v>
      </c>
      <c r="G468" s="35">
        <v>409.98</v>
      </c>
      <c r="H468" s="35">
        <f>'SalesData 2'!$F468-'SalesData 2'!$G468</f>
        <v>-8.0400000000000205</v>
      </c>
    </row>
    <row r="469" spans="1:8" ht="14.4" x14ac:dyDescent="0.25">
      <c r="A469" s="41">
        <v>41898</v>
      </c>
      <c r="B469" s="29" t="s">
        <v>0</v>
      </c>
      <c r="C469" s="14" t="s">
        <v>114</v>
      </c>
      <c r="D469" s="29" t="s">
        <v>118</v>
      </c>
      <c r="E469" s="29" t="s">
        <v>130</v>
      </c>
      <c r="F469" s="30">
        <v>757.23</v>
      </c>
      <c r="G469" s="36">
        <v>757.23</v>
      </c>
      <c r="H469" s="36">
        <f>'SalesData 2'!$F469-'SalesData 2'!$G469</f>
        <v>0</v>
      </c>
    </row>
    <row r="470" spans="1:8" ht="14.4" x14ac:dyDescent="0.25">
      <c r="A470" s="40">
        <v>41899</v>
      </c>
      <c r="B470" s="25" t="s">
        <v>37</v>
      </c>
      <c r="C470" s="9" t="s">
        <v>87</v>
      </c>
      <c r="D470" s="25" t="s">
        <v>121</v>
      </c>
      <c r="E470" s="25" t="s">
        <v>128</v>
      </c>
      <c r="F470" s="26">
        <v>322.41000000000003</v>
      </c>
      <c r="G470" s="35">
        <v>293.39000000000004</v>
      </c>
      <c r="H470" s="35">
        <f>'SalesData 2'!$F470-'SalesData 2'!$G470</f>
        <v>29.019999999999982</v>
      </c>
    </row>
    <row r="471" spans="1:8" ht="14.4" x14ac:dyDescent="0.25">
      <c r="A471" s="41">
        <v>41900</v>
      </c>
      <c r="B471" s="29" t="s">
        <v>1</v>
      </c>
      <c r="C471" s="14" t="s">
        <v>1</v>
      </c>
      <c r="D471" s="29" t="s">
        <v>118</v>
      </c>
      <c r="E471" s="29" t="s">
        <v>128</v>
      </c>
      <c r="F471" s="30">
        <v>818.68</v>
      </c>
      <c r="G471" s="36">
        <v>777.75</v>
      </c>
      <c r="H471" s="36">
        <f>'SalesData 2'!$F471-'SalesData 2'!$G471</f>
        <v>40.92999999999995</v>
      </c>
    </row>
    <row r="472" spans="1:8" ht="14.4" x14ac:dyDescent="0.25">
      <c r="A472" s="40">
        <v>41902</v>
      </c>
      <c r="B472" s="25" t="s">
        <v>40</v>
      </c>
      <c r="C472" s="9" t="s">
        <v>65</v>
      </c>
      <c r="D472" s="25" t="s">
        <v>122</v>
      </c>
      <c r="E472" s="25" t="s">
        <v>128</v>
      </c>
      <c r="F472" s="26">
        <v>263.10000000000002</v>
      </c>
      <c r="G472" s="35">
        <v>257.84000000000003</v>
      </c>
      <c r="H472" s="35">
        <f>'SalesData 2'!$F472-'SalesData 2'!$G472</f>
        <v>5.2599999999999909</v>
      </c>
    </row>
    <row r="473" spans="1:8" ht="14.4" x14ac:dyDescent="0.25">
      <c r="A473" s="41">
        <v>41903</v>
      </c>
      <c r="B473" s="29" t="s">
        <v>27</v>
      </c>
      <c r="C473" s="14" t="s">
        <v>110</v>
      </c>
      <c r="D473" s="29" t="s">
        <v>120</v>
      </c>
      <c r="E473" s="29" t="s">
        <v>128</v>
      </c>
      <c r="F473" s="30">
        <v>654.41</v>
      </c>
      <c r="G473" s="36">
        <v>621.68999999999994</v>
      </c>
      <c r="H473" s="36">
        <f>'SalesData 2'!$F473-'SalesData 2'!$G473</f>
        <v>32.720000000000027</v>
      </c>
    </row>
    <row r="474" spans="1:8" ht="14.4" x14ac:dyDescent="0.25">
      <c r="A474" s="40">
        <v>41903</v>
      </c>
      <c r="B474" s="25" t="s">
        <v>50</v>
      </c>
      <c r="C474" s="9" t="s">
        <v>92</v>
      </c>
      <c r="D474" s="25" t="s">
        <v>122</v>
      </c>
      <c r="E474" s="25" t="s">
        <v>129</v>
      </c>
      <c r="F474" s="26">
        <v>345.05</v>
      </c>
      <c r="G474" s="35">
        <v>362.3</v>
      </c>
      <c r="H474" s="35">
        <f>'SalesData 2'!$F474-'SalesData 2'!$G474</f>
        <v>-17.25</v>
      </c>
    </row>
    <row r="475" spans="1:8" ht="14.4" x14ac:dyDescent="0.25">
      <c r="A475" s="41">
        <v>41903</v>
      </c>
      <c r="B475" s="29" t="s">
        <v>16</v>
      </c>
      <c r="C475" s="14" t="s">
        <v>61</v>
      </c>
      <c r="D475" s="29" t="s">
        <v>118</v>
      </c>
      <c r="E475" s="29" t="s">
        <v>129</v>
      </c>
      <c r="F475" s="30">
        <v>758.17</v>
      </c>
      <c r="G475" s="36">
        <v>811.24</v>
      </c>
      <c r="H475" s="36">
        <f>'SalesData 2'!$F475-'SalesData 2'!$G475</f>
        <v>-53.07000000000005</v>
      </c>
    </row>
    <row r="476" spans="1:8" ht="14.4" x14ac:dyDescent="0.25">
      <c r="A476" s="40">
        <v>41904</v>
      </c>
      <c r="B476" s="25" t="s">
        <v>38</v>
      </c>
      <c r="C476" s="9" t="s">
        <v>116</v>
      </c>
      <c r="D476" s="25" t="s">
        <v>122</v>
      </c>
      <c r="E476" s="25" t="s">
        <v>130</v>
      </c>
      <c r="F476" s="26">
        <v>152.03</v>
      </c>
      <c r="G476" s="35">
        <v>142.91</v>
      </c>
      <c r="H476" s="35">
        <f>'SalesData 2'!$F476-'SalesData 2'!$G476</f>
        <v>9.1200000000000045</v>
      </c>
    </row>
    <row r="477" spans="1:8" ht="14.4" x14ac:dyDescent="0.25">
      <c r="A477" s="41">
        <v>41904</v>
      </c>
      <c r="B477" s="29" t="s">
        <v>40</v>
      </c>
      <c r="C477" s="14" t="s">
        <v>111</v>
      </c>
      <c r="D477" s="29" t="s">
        <v>122</v>
      </c>
      <c r="E477" s="29" t="s">
        <v>129</v>
      </c>
      <c r="F477" s="30">
        <v>701.13</v>
      </c>
      <c r="G477" s="36">
        <v>638.03</v>
      </c>
      <c r="H477" s="36">
        <f>'SalesData 2'!$F477-'SalesData 2'!$G477</f>
        <v>63.100000000000023</v>
      </c>
    </row>
    <row r="478" spans="1:8" ht="14.4" x14ac:dyDescent="0.25">
      <c r="A478" s="40">
        <v>41904</v>
      </c>
      <c r="B478" s="25" t="s">
        <v>28</v>
      </c>
      <c r="C478" s="9" t="s">
        <v>103</v>
      </c>
      <c r="D478" s="25" t="s">
        <v>120</v>
      </c>
      <c r="E478" s="25" t="s">
        <v>130</v>
      </c>
      <c r="F478" s="26">
        <v>183.31</v>
      </c>
      <c r="G478" s="35">
        <v>170.48</v>
      </c>
      <c r="H478" s="35">
        <f>'SalesData 2'!$F478-'SalesData 2'!$G478</f>
        <v>12.830000000000013</v>
      </c>
    </row>
    <row r="479" spans="1:8" ht="14.4" x14ac:dyDescent="0.25">
      <c r="A479" s="41">
        <v>41904</v>
      </c>
      <c r="B479" s="29" t="s">
        <v>10</v>
      </c>
      <c r="C479" s="14" t="s">
        <v>93</v>
      </c>
      <c r="D479" s="29" t="s">
        <v>118</v>
      </c>
      <c r="E479" s="29" t="s">
        <v>130</v>
      </c>
      <c r="F479" s="30">
        <v>94.94</v>
      </c>
      <c r="G479" s="36">
        <v>98.74</v>
      </c>
      <c r="H479" s="36">
        <f>'SalesData 2'!$F479-'SalesData 2'!$G479</f>
        <v>-3.7999999999999972</v>
      </c>
    </row>
    <row r="480" spans="1:8" ht="14.4" x14ac:dyDescent="0.25">
      <c r="A480" s="40">
        <v>41905</v>
      </c>
      <c r="B480" s="25" t="s">
        <v>11</v>
      </c>
      <c r="C480" s="9" t="s">
        <v>91</v>
      </c>
      <c r="D480" s="25" t="s">
        <v>118</v>
      </c>
      <c r="E480" s="25" t="s">
        <v>128</v>
      </c>
      <c r="F480" s="26">
        <v>515.86</v>
      </c>
      <c r="G480" s="35">
        <v>479.75</v>
      </c>
      <c r="H480" s="35">
        <f>'SalesData 2'!$F480-'SalesData 2'!$G480</f>
        <v>36.110000000000014</v>
      </c>
    </row>
    <row r="481" spans="1:8" ht="14.4" x14ac:dyDescent="0.25">
      <c r="A481" s="41">
        <v>41905</v>
      </c>
      <c r="B481" s="29" t="s">
        <v>15</v>
      </c>
      <c r="C481" s="14" t="s">
        <v>60</v>
      </c>
      <c r="D481" s="29" t="s">
        <v>118</v>
      </c>
      <c r="E481" s="29" t="s">
        <v>128</v>
      </c>
      <c r="F481" s="30">
        <v>226.85</v>
      </c>
      <c r="G481" s="36">
        <v>208.7</v>
      </c>
      <c r="H481" s="36">
        <f>'SalesData 2'!$F481-'SalesData 2'!$G481</f>
        <v>18.150000000000006</v>
      </c>
    </row>
    <row r="482" spans="1:8" ht="14.4" x14ac:dyDescent="0.25">
      <c r="A482" s="40">
        <v>41906</v>
      </c>
      <c r="B482" s="25" t="s">
        <v>30</v>
      </c>
      <c r="C482" s="9" t="s">
        <v>88</v>
      </c>
      <c r="D482" s="25" t="s">
        <v>120</v>
      </c>
      <c r="E482" s="25" t="s">
        <v>130</v>
      </c>
      <c r="F482" s="26">
        <v>657.03</v>
      </c>
      <c r="G482" s="35">
        <v>650.45999999999992</v>
      </c>
      <c r="H482" s="35">
        <f>'SalesData 2'!$F482-'SalesData 2'!$G482</f>
        <v>6.57000000000005</v>
      </c>
    </row>
    <row r="483" spans="1:8" ht="14.4" x14ac:dyDescent="0.25">
      <c r="A483" s="41">
        <v>41907</v>
      </c>
      <c r="B483" s="29" t="s">
        <v>41</v>
      </c>
      <c r="C483" s="14" t="s">
        <v>68</v>
      </c>
      <c r="D483" s="29" t="s">
        <v>122</v>
      </c>
      <c r="E483" s="29" t="s">
        <v>128</v>
      </c>
      <c r="F483" s="30">
        <v>382.61</v>
      </c>
      <c r="G483" s="36">
        <v>382.61</v>
      </c>
      <c r="H483" s="36">
        <f>'SalesData 2'!$F483-'SalesData 2'!$G483</f>
        <v>0</v>
      </c>
    </row>
    <row r="484" spans="1:8" ht="14.4" x14ac:dyDescent="0.25">
      <c r="A484" s="40">
        <v>41908</v>
      </c>
      <c r="B484" s="25" t="s">
        <v>38</v>
      </c>
      <c r="C484" s="9" t="s">
        <v>62</v>
      </c>
      <c r="D484" s="25" t="s">
        <v>122</v>
      </c>
      <c r="E484" s="25" t="s">
        <v>129</v>
      </c>
      <c r="F484" s="26">
        <v>506.77</v>
      </c>
      <c r="G484" s="35">
        <v>547.30999999999995</v>
      </c>
      <c r="H484" s="35">
        <f>'SalesData 2'!$F484-'SalesData 2'!$G484</f>
        <v>-40.539999999999964</v>
      </c>
    </row>
    <row r="485" spans="1:8" ht="14.4" x14ac:dyDescent="0.25">
      <c r="A485" s="41">
        <v>41908</v>
      </c>
      <c r="B485" s="29" t="s">
        <v>42</v>
      </c>
      <c r="C485" s="14" t="s">
        <v>69</v>
      </c>
      <c r="D485" s="29" t="s">
        <v>122</v>
      </c>
      <c r="E485" s="29" t="s">
        <v>128</v>
      </c>
      <c r="F485" s="30">
        <v>197.63</v>
      </c>
      <c r="G485" s="36">
        <v>195.65</v>
      </c>
      <c r="H485" s="36">
        <f>'SalesData 2'!$F485-'SalesData 2'!$G485</f>
        <v>1.9799999999999898</v>
      </c>
    </row>
    <row r="486" spans="1:8" ht="14.4" x14ac:dyDescent="0.25">
      <c r="A486" s="40">
        <v>41908</v>
      </c>
      <c r="B486" s="25" t="s">
        <v>10</v>
      </c>
      <c r="C486" s="9" t="s">
        <v>93</v>
      </c>
      <c r="D486" s="25" t="s">
        <v>118</v>
      </c>
      <c r="E486" s="25" t="s">
        <v>129</v>
      </c>
      <c r="F486" s="26">
        <v>447.46</v>
      </c>
      <c r="G486" s="35">
        <v>478.78</v>
      </c>
      <c r="H486" s="35">
        <f>'SalesData 2'!$F486-'SalesData 2'!$G486</f>
        <v>-31.319999999999993</v>
      </c>
    </row>
    <row r="487" spans="1:8" ht="14.4" x14ac:dyDescent="0.25">
      <c r="A487" s="41">
        <v>41908</v>
      </c>
      <c r="B487" s="29" t="s">
        <v>11</v>
      </c>
      <c r="C487" s="14" t="s">
        <v>91</v>
      </c>
      <c r="D487" s="29" t="s">
        <v>118</v>
      </c>
      <c r="E487" s="29" t="s">
        <v>130</v>
      </c>
      <c r="F487" s="30">
        <v>947.2</v>
      </c>
      <c r="G487" s="36">
        <v>899.84</v>
      </c>
      <c r="H487" s="36">
        <f>'SalesData 2'!$F487-'SalesData 2'!$G487</f>
        <v>47.360000000000014</v>
      </c>
    </row>
    <row r="488" spans="1:8" ht="14.4" x14ac:dyDescent="0.25">
      <c r="A488" s="40">
        <v>41910</v>
      </c>
      <c r="B488" s="25" t="s">
        <v>24</v>
      </c>
      <c r="C488" s="9" t="s">
        <v>107</v>
      </c>
      <c r="D488" s="25" t="s">
        <v>119</v>
      </c>
      <c r="E488" s="25" t="s">
        <v>128</v>
      </c>
      <c r="F488" s="26">
        <v>53.37</v>
      </c>
      <c r="G488" s="35">
        <v>57.64</v>
      </c>
      <c r="H488" s="35">
        <f>'SalesData 2'!$F488-'SalesData 2'!$G488</f>
        <v>-4.2700000000000031</v>
      </c>
    </row>
    <row r="489" spans="1:8" ht="14.4" x14ac:dyDescent="0.25">
      <c r="A489" s="41">
        <v>41910</v>
      </c>
      <c r="B489" s="29" t="s">
        <v>36</v>
      </c>
      <c r="C489" s="14" t="s">
        <v>58</v>
      </c>
      <c r="D489" s="29" t="s">
        <v>121</v>
      </c>
      <c r="E489" s="29" t="s">
        <v>130</v>
      </c>
      <c r="F489" s="30">
        <v>981.73</v>
      </c>
      <c r="G489" s="36">
        <v>942.46</v>
      </c>
      <c r="H489" s="36">
        <f>'SalesData 2'!$F489-'SalesData 2'!$G489</f>
        <v>39.269999999999982</v>
      </c>
    </row>
    <row r="490" spans="1:8" ht="14.4" x14ac:dyDescent="0.25">
      <c r="A490" s="40">
        <v>41914</v>
      </c>
      <c r="B490" s="25" t="s">
        <v>32</v>
      </c>
      <c r="C490" s="9" t="s">
        <v>126</v>
      </c>
      <c r="D490" s="25" t="s">
        <v>120</v>
      </c>
      <c r="E490" s="25" t="s">
        <v>128</v>
      </c>
      <c r="F490" s="26">
        <v>216.43</v>
      </c>
      <c r="G490" s="35">
        <v>227.25</v>
      </c>
      <c r="H490" s="35">
        <f>'SalesData 2'!$F490-'SalesData 2'!$G490</f>
        <v>-10.819999999999993</v>
      </c>
    </row>
    <row r="491" spans="1:8" ht="14.4" x14ac:dyDescent="0.25">
      <c r="A491" s="41">
        <v>41915</v>
      </c>
      <c r="B491" s="29" t="s">
        <v>4</v>
      </c>
      <c r="C491" s="14" t="s">
        <v>70</v>
      </c>
      <c r="D491" s="29" t="s">
        <v>118</v>
      </c>
      <c r="E491" s="29" t="s">
        <v>130</v>
      </c>
      <c r="F491" s="30">
        <v>606.12</v>
      </c>
      <c r="G491" s="36">
        <v>581.88</v>
      </c>
      <c r="H491" s="36">
        <f>'SalesData 2'!$F491-'SalesData 2'!$G491</f>
        <v>24.240000000000009</v>
      </c>
    </row>
    <row r="492" spans="1:8" ht="14.4" x14ac:dyDescent="0.25">
      <c r="A492" s="40">
        <v>41918</v>
      </c>
      <c r="B492" s="25" t="s">
        <v>25</v>
      </c>
      <c r="C492" s="9" t="s">
        <v>94</v>
      </c>
      <c r="D492" s="25" t="s">
        <v>119</v>
      </c>
      <c r="E492" s="25" t="s">
        <v>128</v>
      </c>
      <c r="F492" s="26">
        <v>973.62</v>
      </c>
      <c r="G492" s="35">
        <v>973.62</v>
      </c>
      <c r="H492" s="35">
        <f>'SalesData 2'!$F492-'SalesData 2'!$G492</f>
        <v>0</v>
      </c>
    </row>
    <row r="493" spans="1:8" ht="14.4" x14ac:dyDescent="0.25">
      <c r="A493" s="41">
        <v>41923</v>
      </c>
      <c r="B493" s="29" t="s">
        <v>20</v>
      </c>
      <c r="C493" s="14" t="s">
        <v>112</v>
      </c>
      <c r="D493" s="29" t="s">
        <v>119</v>
      </c>
      <c r="E493" s="29" t="s">
        <v>130</v>
      </c>
      <c r="F493" s="30">
        <v>895.52</v>
      </c>
      <c r="G493" s="36">
        <v>877.61</v>
      </c>
      <c r="H493" s="36">
        <f>'SalesData 2'!$F493-'SalesData 2'!$G493</f>
        <v>17.909999999999968</v>
      </c>
    </row>
    <row r="494" spans="1:8" ht="14.4" x14ac:dyDescent="0.25">
      <c r="A494" s="40">
        <v>41927</v>
      </c>
      <c r="B494" s="25" t="s">
        <v>8</v>
      </c>
      <c r="C494" s="9" t="s">
        <v>54</v>
      </c>
      <c r="D494" s="25" t="s">
        <v>118</v>
      </c>
      <c r="E494" s="25" t="s">
        <v>129</v>
      </c>
      <c r="F494" s="26">
        <v>393.33</v>
      </c>
      <c r="G494" s="35">
        <v>357.93</v>
      </c>
      <c r="H494" s="35">
        <f>'SalesData 2'!$F494-'SalesData 2'!$G494</f>
        <v>35.399999999999977</v>
      </c>
    </row>
    <row r="495" spans="1:8" ht="14.4" x14ac:dyDescent="0.25">
      <c r="A495" s="41">
        <v>41931</v>
      </c>
      <c r="B495" s="29" t="s">
        <v>0</v>
      </c>
      <c r="C495" s="14" t="s">
        <v>114</v>
      </c>
      <c r="D495" s="29" t="s">
        <v>118</v>
      </c>
      <c r="E495" s="29" t="s">
        <v>128</v>
      </c>
      <c r="F495" s="30">
        <v>644.42999999999995</v>
      </c>
      <c r="G495" s="36">
        <v>650.87</v>
      </c>
      <c r="H495" s="36">
        <f>'SalesData 2'!$F495-'SalesData 2'!$G495</f>
        <v>-6.4400000000000546</v>
      </c>
    </row>
    <row r="496" spans="1:8" ht="14.4" x14ac:dyDescent="0.25">
      <c r="A496" s="40">
        <v>41931</v>
      </c>
      <c r="B496" s="25" t="s">
        <v>3</v>
      </c>
      <c r="C496" s="9" t="s">
        <v>66</v>
      </c>
      <c r="D496" s="25" t="s">
        <v>118</v>
      </c>
      <c r="E496" s="25" t="s">
        <v>130</v>
      </c>
      <c r="F496" s="26">
        <v>751.02</v>
      </c>
      <c r="G496" s="35">
        <v>766.04</v>
      </c>
      <c r="H496" s="35">
        <f>'SalesData 2'!$F496-'SalesData 2'!$G496</f>
        <v>-15.019999999999982</v>
      </c>
    </row>
    <row r="497" spans="1:8" ht="14.4" x14ac:dyDescent="0.25">
      <c r="A497" s="41">
        <v>41932</v>
      </c>
      <c r="B497" s="29" t="s">
        <v>12</v>
      </c>
      <c r="C497" s="14" t="s">
        <v>89</v>
      </c>
      <c r="D497" s="29" t="s">
        <v>118</v>
      </c>
      <c r="E497" s="29" t="s">
        <v>128</v>
      </c>
      <c r="F497" s="30">
        <v>330.27</v>
      </c>
      <c r="G497" s="36">
        <v>303.84999999999997</v>
      </c>
      <c r="H497" s="36">
        <f>'SalesData 2'!$F497-'SalesData 2'!$G497</f>
        <v>26.420000000000016</v>
      </c>
    </row>
    <row r="498" spans="1:8" ht="14.4" x14ac:dyDescent="0.25">
      <c r="A498" s="40">
        <v>41934</v>
      </c>
      <c r="B498" s="25" t="s">
        <v>13</v>
      </c>
      <c r="C498" s="9" t="s">
        <v>73</v>
      </c>
      <c r="D498" s="25" t="s">
        <v>118</v>
      </c>
      <c r="E498" s="25" t="s">
        <v>128</v>
      </c>
      <c r="F498" s="26">
        <v>696.6</v>
      </c>
      <c r="G498" s="35">
        <v>626.94000000000005</v>
      </c>
      <c r="H498" s="35">
        <f>'SalesData 2'!$F498-'SalesData 2'!$G498</f>
        <v>69.659999999999968</v>
      </c>
    </row>
    <row r="499" spans="1:8" ht="14.4" x14ac:dyDescent="0.25">
      <c r="A499" s="41">
        <v>41939</v>
      </c>
      <c r="B499" s="29" t="s">
        <v>18</v>
      </c>
      <c r="C499" s="14" t="s">
        <v>64</v>
      </c>
      <c r="D499" s="29" t="s">
        <v>119</v>
      </c>
      <c r="E499" s="29" t="s">
        <v>130</v>
      </c>
      <c r="F499" s="30">
        <v>549.16</v>
      </c>
      <c r="G499" s="36">
        <v>521.69999999999993</v>
      </c>
      <c r="H499" s="36">
        <f>'SalesData 2'!$F499-'SalesData 2'!$G499</f>
        <v>27.460000000000036</v>
      </c>
    </row>
    <row r="500" spans="1:8" ht="14.4" x14ac:dyDescent="0.25">
      <c r="A500" s="40">
        <v>41940</v>
      </c>
      <c r="B500" s="25" t="s">
        <v>26</v>
      </c>
      <c r="C500" s="9" t="s">
        <v>117</v>
      </c>
      <c r="D500" s="25" t="s">
        <v>120</v>
      </c>
      <c r="E500" s="25" t="s">
        <v>130</v>
      </c>
      <c r="F500" s="45">
        <v>902.45</v>
      </c>
      <c r="G500" s="35">
        <v>911.47</v>
      </c>
      <c r="H500" s="35">
        <f>'SalesData 2'!$F500-'SalesData 2'!$G500</f>
        <v>-9.0199999999999818</v>
      </c>
    </row>
    <row r="501" spans="1:8" ht="14.4" x14ac:dyDescent="0.25">
      <c r="A501" s="41">
        <v>41945</v>
      </c>
      <c r="B501" s="29" t="s">
        <v>22</v>
      </c>
      <c r="C501" s="14" t="s">
        <v>76</v>
      </c>
      <c r="D501" s="29" t="s">
        <v>119</v>
      </c>
      <c r="E501" s="29" t="s">
        <v>130</v>
      </c>
      <c r="F501" s="30">
        <v>895.19</v>
      </c>
      <c r="G501" s="36">
        <v>948.90000000000009</v>
      </c>
      <c r="H501" s="36">
        <f>'SalesData 2'!$F501-'SalesData 2'!$G501</f>
        <v>-53.710000000000036</v>
      </c>
    </row>
    <row r="502" spans="1:8" ht="14.4" x14ac:dyDescent="0.25">
      <c r="A502" s="40">
        <v>41946</v>
      </c>
      <c r="B502" s="25" t="s">
        <v>48</v>
      </c>
      <c r="C502" s="9" t="s">
        <v>55</v>
      </c>
      <c r="D502" s="25" t="s">
        <v>122</v>
      </c>
      <c r="E502" s="25" t="s">
        <v>129</v>
      </c>
      <c r="F502" s="26">
        <v>481.11</v>
      </c>
      <c r="G502" s="35">
        <v>457.05</v>
      </c>
      <c r="H502" s="35">
        <f>'SalesData 2'!$F502-'SalesData 2'!$G502</f>
        <v>24.060000000000002</v>
      </c>
    </row>
    <row r="503" spans="1:8" ht="14.4" x14ac:dyDescent="0.25">
      <c r="A503" s="41">
        <v>41947</v>
      </c>
      <c r="B503" s="29" t="s">
        <v>48</v>
      </c>
      <c r="C503" s="14" t="s">
        <v>56</v>
      </c>
      <c r="D503" s="29" t="s">
        <v>122</v>
      </c>
      <c r="E503" s="29" t="s">
        <v>128</v>
      </c>
      <c r="F503" s="30">
        <v>66.13</v>
      </c>
      <c r="G503" s="36">
        <v>66.789999999999992</v>
      </c>
      <c r="H503" s="36">
        <f>'SalesData 2'!$F503-'SalesData 2'!$G503</f>
        <v>-0.65999999999999659</v>
      </c>
    </row>
    <row r="504" spans="1:8" ht="14.4" x14ac:dyDescent="0.25">
      <c r="A504" s="40">
        <v>41948</v>
      </c>
      <c r="B504" s="25" t="s">
        <v>33</v>
      </c>
      <c r="C504" s="9" t="s">
        <v>115</v>
      </c>
      <c r="D504" s="25" t="s">
        <v>121</v>
      </c>
      <c r="E504" s="25" t="s">
        <v>130</v>
      </c>
      <c r="F504" s="26">
        <v>197.18</v>
      </c>
      <c r="G504" s="35">
        <v>203.1</v>
      </c>
      <c r="H504" s="35">
        <f>'SalesData 2'!$F504-'SalesData 2'!$G504</f>
        <v>-5.9199999999999875</v>
      </c>
    </row>
    <row r="505" spans="1:8" ht="14.4" x14ac:dyDescent="0.25">
      <c r="A505" s="41">
        <v>41948</v>
      </c>
      <c r="B505" s="29" t="s">
        <v>5</v>
      </c>
      <c r="C505" s="14" t="s">
        <v>102</v>
      </c>
      <c r="D505" s="29" t="s">
        <v>118</v>
      </c>
      <c r="E505" s="29" t="s">
        <v>130</v>
      </c>
      <c r="F505" s="30">
        <v>859.08</v>
      </c>
      <c r="G505" s="36">
        <v>884.85</v>
      </c>
      <c r="H505" s="36">
        <f>'SalesData 2'!$F505-'SalesData 2'!$G505</f>
        <v>-25.769999999999982</v>
      </c>
    </row>
    <row r="506" spans="1:8" ht="14.4" x14ac:dyDescent="0.25">
      <c r="A506" s="40">
        <v>41950</v>
      </c>
      <c r="B506" s="25" t="s">
        <v>44</v>
      </c>
      <c r="C506" s="9" t="s">
        <v>104</v>
      </c>
      <c r="D506" s="25" t="s">
        <v>122</v>
      </c>
      <c r="E506" s="25" t="s">
        <v>130</v>
      </c>
      <c r="F506" s="26">
        <v>778.49</v>
      </c>
      <c r="G506" s="35">
        <v>724</v>
      </c>
      <c r="H506" s="35">
        <f>'SalesData 2'!$F506-'SalesData 2'!$G506</f>
        <v>54.490000000000009</v>
      </c>
    </row>
    <row r="507" spans="1:8" ht="14.4" x14ac:dyDescent="0.25">
      <c r="A507" s="41">
        <v>41950</v>
      </c>
      <c r="B507" s="29" t="s">
        <v>16</v>
      </c>
      <c r="C507" s="14" t="s">
        <v>61</v>
      </c>
      <c r="D507" s="29" t="s">
        <v>118</v>
      </c>
      <c r="E507" s="29" t="s">
        <v>130</v>
      </c>
      <c r="F507" s="30">
        <v>641.5</v>
      </c>
      <c r="G507" s="36">
        <v>654.33000000000004</v>
      </c>
      <c r="H507" s="36">
        <f>'SalesData 2'!$F507-'SalesData 2'!$G507</f>
        <v>-12.830000000000041</v>
      </c>
    </row>
    <row r="508" spans="1:8" ht="14.4" x14ac:dyDescent="0.25">
      <c r="A508" s="40">
        <v>41951</v>
      </c>
      <c r="B508" s="25" t="s">
        <v>50</v>
      </c>
      <c r="C508" s="9" t="s">
        <v>92</v>
      </c>
      <c r="D508" s="25" t="s">
        <v>122</v>
      </c>
      <c r="E508" s="25" t="s">
        <v>128</v>
      </c>
      <c r="F508" s="26">
        <v>364.23</v>
      </c>
      <c r="G508" s="35">
        <v>364.23</v>
      </c>
      <c r="H508" s="35">
        <f>'SalesData 2'!$F508-'SalesData 2'!$G508</f>
        <v>0</v>
      </c>
    </row>
    <row r="509" spans="1:8" ht="14.4" x14ac:dyDescent="0.25">
      <c r="A509" s="41">
        <v>41953</v>
      </c>
      <c r="B509" s="29" t="s">
        <v>47</v>
      </c>
      <c r="C509" s="14" t="s">
        <v>96</v>
      </c>
      <c r="D509" s="29" t="s">
        <v>122</v>
      </c>
      <c r="E509" s="29" t="s">
        <v>129</v>
      </c>
      <c r="F509" s="30">
        <v>958.9</v>
      </c>
      <c r="G509" s="36">
        <v>997.26</v>
      </c>
      <c r="H509" s="36">
        <f>'SalesData 2'!$F509-'SalesData 2'!$G509</f>
        <v>-38.360000000000014</v>
      </c>
    </row>
    <row r="510" spans="1:8" ht="14.4" x14ac:dyDescent="0.25">
      <c r="A510" s="40">
        <v>41954</v>
      </c>
      <c r="B510" s="25" t="s">
        <v>40</v>
      </c>
      <c r="C510" s="9" t="s">
        <v>111</v>
      </c>
      <c r="D510" s="25" t="s">
        <v>122</v>
      </c>
      <c r="E510" s="25" t="s">
        <v>129</v>
      </c>
      <c r="F510" s="26">
        <v>294.18</v>
      </c>
      <c r="G510" s="35">
        <v>317.71000000000004</v>
      </c>
      <c r="H510" s="35">
        <f>'SalesData 2'!$F510-'SalesData 2'!$G510</f>
        <v>-23.53000000000003</v>
      </c>
    </row>
    <row r="511" spans="1:8" ht="14.4" x14ac:dyDescent="0.25">
      <c r="A511" s="41">
        <v>41957</v>
      </c>
      <c r="B511" s="29" t="s">
        <v>22</v>
      </c>
      <c r="C511" s="14" t="s">
        <v>78</v>
      </c>
      <c r="D511" s="29" t="s">
        <v>119</v>
      </c>
      <c r="E511" s="29" t="s">
        <v>130</v>
      </c>
      <c r="F511" s="30">
        <v>698.31</v>
      </c>
      <c r="G511" s="36">
        <v>712.28</v>
      </c>
      <c r="H511" s="36">
        <f>'SalesData 2'!$F511-'SalesData 2'!$G511</f>
        <v>-13.970000000000027</v>
      </c>
    </row>
    <row r="512" spans="1:8" ht="14.4" x14ac:dyDescent="0.25">
      <c r="A512" s="40">
        <v>41958</v>
      </c>
      <c r="B512" s="25" t="s">
        <v>24</v>
      </c>
      <c r="C512" s="9" t="s">
        <v>107</v>
      </c>
      <c r="D512" s="25" t="s">
        <v>119</v>
      </c>
      <c r="E512" s="25" t="s">
        <v>128</v>
      </c>
      <c r="F512" s="26">
        <v>692.57</v>
      </c>
      <c r="G512" s="35">
        <v>692.57</v>
      </c>
      <c r="H512" s="35">
        <f>'SalesData 2'!$F512-'SalesData 2'!$G512</f>
        <v>0</v>
      </c>
    </row>
    <row r="513" spans="1:8" ht="14.4" x14ac:dyDescent="0.25">
      <c r="A513" s="41">
        <v>41959</v>
      </c>
      <c r="B513" s="29" t="s">
        <v>30</v>
      </c>
      <c r="C513" s="14" t="s">
        <v>88</v>
      </c>
      <c r="D513" s="29" t="s">
        <v>120</v>
      </c>
      <c r="E513" s="29" t="s">
        <v>128</v>
      </c>
      <c r="F513" s="30">
        <v>984.51</v>
      </c>
      <c r="G513" s="36">
        <v>954.97</v>
      </c>
      <c r="H513" s="36">
        <f>'SalesData 2'!$F513-'SalesData 2'!$G513</f>
        <v>29.539999999999964</v>
      </c>
    </row>
    <row r="514" spans="1:8" ht="14.4" x14ac:dyDescent="0.25">
      <c r="A514" s="40">
        <v>41963</v>
      </c>
      <c r="B514" s="25" t="s">
        <v>17</v>
      </c>
      <c r="C514" s="9" t="s">
        <v>74</v>
      </c>
      <c r="D514" s="25" t="s">
        <v>119</v>
      </c>
      <c r="E514" s="25" t="s">
        <v>130</v>
      </c>
      <c r="F514" s="26">
        <v>573.24</v>
      </c>
      <c r="G514" s="35">
        <v>613.37</v>
      </c>
      <c r="H514" s="35">
        <f>'SalesData 2'!$F514-'SalesData 2'!$G514</f>
        <v>-40.129999999999995</v>
      </c>
    </row>
    <row r="515" spans="1:8" ht="14.4" x14ac:dyDescent="0.25">
      <c r="A515" s="41">
        <v>41964</v>
      </c>
      <c r="B515" s="29" t="s">
        <v>49</v>
      </c>
      <c r="C515" s="14" t="s">
        <v>72</v>
      </c>
      <c r="D515" s="29" t="s">
        <v>122</v>
      </c>
      <c r="E515" s="29" t="s">
        <v>129</v>
      </c>
      <c r="F515" s="30">
        <v>699.02</v>
      </c>
      <c r="G515" s="36">
        <v>719.99</v>
      </c>
      <c r="H515" s="36">
        <f>'SalesData 2'!$F515-'SalesData 2'!$G515</f>
        <v>-20.970000000000027</v>
      </c>
    </row>
    <row r="516" spans="1:8" ht="14.4" x14ac:dyDescent="0.25">
      <c r="A516" s="40">
        <v>41966</v>
      </c>
      <c r="B516" s="25" t="s">
        <v>21</v>
      </c>
      <c r="C516" s="9" t="s">
        <v>79</v>
      </c>
      <c r="D516" s="25" t="s">
        <v>119</v>
      </c>
      <c r="E516" s="25" t="s">
        <v>130</v>
      </c>
      <c r="F516" s="26">
        <v>59.11</v>
      </c>
      <c r="G516" s="35">
        <v>54.379999999999995</v>
      </c>
      <c r="H516" s="35">
        <f>'SalesData 2'!$F516-'SalesData 2'!$G516</f>
        <v>4.730000000000004</v>
      </c>
    </row>
    <row r="517" spans="1:8" ht="14.4" x14ac:dyDescent="0.25">
      <c r="A517" s="41">
        <v>41966</v>
      </c>
      <c r="B517" s="29" t="s">
        <v>36</v>
      </c>
      <c r="C517" s="14" t="s">
        <v>57</v>
      </c>
      <c r="D517" s="29" t="s">
        <v>121</v>
      </c>
      <c r="E517" s="29" t="s">
        <v>128</v>
      </c>
      <c r="F517" s="30">
        <v>406.44</v>
      </c>
      <c r="G517" s="36">
        <v>377.99</v>
      </c>
      <c r="H517" s="36">
        <f>'SalesData 2'!$F517-'SalesData 2'!$G517</f>
        <v>28.449999999999989</v>
      </c>
    </row>
    <row r="518" spans="1:8" ht="14.4" x14ac:dyDescent="0.25">
      <c r="A518" s="40">
        <v>41966</v>
      </c>
      <c r="B518" s="25" t="s">
        <v>31</v>
      </c>
      <c r="C518" s="9" t="s">
        <v>85</v>
      </c>
      <c r="D518" s="25" t="s">
        <v>120</v>
      </c>
      <c r="E518" s="25" t="s">
        <v>128</v>
      </c>
      <c r="F518" s="26">
        <v>253.34</v>
      </c>
      <c r="G518" s="35">
        <v>243.21</v>
      </c>
      <c r="H518" s="35">
        <f>'SalesData 2'!$F518-'SalesData 2'!$G518</f>
        <v>10.129999999999995</v>
      </c>
    </row>
    <row r="519" spans="1:8" ht="14.4" x14ac:dyDescent="0.25">
      <c r="A519" s="41">
        <v>41969</v>
      </c>
      <c r="B519" s="29" t="s">
        <v>39</v>
      </c>
      <c r="C519" s="14" t="s">
        <v>75</v>
      </c>
      <c r="D519" s="29" t="s">
        <v>122</v>
      </c>
      <c r="E519" s="29" t="s">
        <v>130</v>
      </c>
      <c r="F519" s="30">
        <v>608.71</v>
      </c>
      <c r="G519" s="36">
        <v>547.84</v>
      </c>
      <c r="H519" s="36">
        <f>'SalesData 2'!$F519-'SalesData 2'!$G519</f>
        <v>60.870000000000005</v>
      </c>
    </row>
    <row r="520" spans="1:8" ht="14.4" x14ac:dyDescent="0.25">
      <c r="A520" s="40">
        <v>41969</v>
      </c>
      <c r="B520" s="25" t="s">
        <v>2</v>
      </c>
      <c r="C520" s="9" t="s">
        <v>108</v>
      </c>
      <c r="D520" s="25" t="s">
        <v>118</v>
      </c>
      <c r="E520" s="25" t="s">
        <v>128</v>
      </c>
      <c r="F520" s="26">
        <v>699.51</v>
      </c>
      <c r="G520" s="35">
        <v>706.51</v>
      </c>
      <c r="H520" s="35">
        <f>'SalesData 2'!$F520-'SalesData 2'!$G520</f>
        <v>-7</v>
      </c>
    </row>
    <row r="521" spans="1:8" ht="14.4" x14ac:dyDescent="0.25">
      <c r="A521" s="41">
        <v>41969</v>
      </c>
      <c r="B521" s="29" t="s">
        <v>51</v>
      </c>
      <c r="C521" s="14" t="s">
        <v>86</v>
      </c>
      <c r="D521" s="29" t="s">
        <v>122</v>
      </c>
      <c r="E521" s="29" t="s">
        <v>129</v>
      </c>
      <c r="F521" s="30">
        <v>175.47</v>
      </c>
      <c r="G521" s="36">
        <v>175.47</v>
      </c>
      <c r="H521" s="36">
        <f>'SalesData 2'!$F521-'SalesData 2'!$G521</f>
        <v>0</v>
      </c>
    </row>
    <row r="522" spans="1:8" ht="14.4" x14ac:dyDescent="0.25">
      <c r="A522" s="40">
        <v>41970</v>
      </c>
      <c r="B522" s="25" t="s">
        <v>42</v>
      </c>
      <c r="C522" s="9" t="s">
        <v>69</v>
      </c>
      <c r="D522" s="25" t="s">
        <v>122</v>
      </c>
      <c r="E522" s="25" t="s">
        <v>129</v>
      </c>
      <c r="F522" s="26">
        <v>371.08</v>
      </c>
      <c r="G522" s="35">
        <v>374.78999999999996</v>
      </c>
      <c r="H522" s="35">
        <f>'SalesData 2'!$F522-'SalesData 2'!$G522</f>
        <v>-3.7099999999999795</v>
      </c>
    </row>
    <row r="523" spans="1:8" ht="14.4" x14ac:dyDescent="0.25">
      <c r="A523" s="41">
        <v>41976</v>
      </c>
      <c r="B523" s="29" t="s">
        <v>36</v>
      </c>
      <c r="C523" s="14" t="s">
        <v>90</v>
      </c>
      <c r="D523" s="29" t="s">
        <v>121</v>
      </c>
      <c r="E523" s="29" t="s">
        <v>129</v>
      </c>
      <c r="F523" s="30">
        <v>695.93</v>
      </c>
      <c r="G523" s="36">
        <v>675.05</v>
      </c>
      <c r="H523" s="36">
        <f>'SalesData 2'!$F523-'SalesData 2'!$G523</f>
        <v>20.879999999999995</v>
      </c>
    </row>
    <row r="524" spans="1:8" ht="14.4" x14ac:dyDescent="0.25">
      <c r="A524" s="40">
        <v>41977</v>
      </c>
      <c r="B524" s="25" t="s">
        <v>48</v>
      </c>
      <c r="C524" s="9" t="s">
        <v>82</v>
      </c>
      <c r="D524" s="25" t="s">
        <v>122</v>
      </c>
      <c r="E524" s="25" t="s">
        <v>130</v>
      </c>
      <c r="F524" s="26">
        <v>66.06</v>
      </c>
      <c r="G524" s="35">
        <v>65.400000000000006</v>
      </c>
      <c r="H524" s="35">
        <f>'SalesData 2'!$F524-'SalesData 2'!$G524</f>
        <v>0.65999999999999659</v>
      </c>
    </row>
    <row r="525" spans="1:8" ht="14.4" x14ac:dyDescent="0.25">
      <c r="A525" s="41">
        <v>41981</v>
      </c>
      <c r="B525" s="29" t="s">
        <v>41</v>
      </c>
      <c r="C525" s="14" t="s">
        <v>68</v>
      </c>
      <c r="D525" s="29" t="s">
        <v>122</v>
      </c>
      <c r="E525" s="29" t="s">
        <v>129</v>
      </c>
      <c r="F525" s="30">
        <v>432.15</v>
      </c>
      <c r="G525" s="36">
        <v>388.92999999999995</v>
      </c>
      <c r="H525" s="36">
        <f>'SalesData 2'!$F525-'SalesData 2'!$G525</f>
        <v>43.220000000000027</v>
      </c>
    </row>
    <row r="526" spans="1:8" ht="14.4" x14ac:dyDescent="0.25">
      <c r="A526" s="40">
        <v>41994</v>
      </c>
      <c r="B526" s="25" t="s">
        <v>14</v>
      </c>
      <c r="C526" s="9" t="s">
        <v>83</v>
      </c>
      <c r="D526" s="25" t="s">
        <v>118</v>
      </c>
      <c r="E526" s="25" t="s">
        <v>130</v>
      </c>
      <c r="F526" s="26">
        <v>70.25</v>
      </c>
      <c r="G526" s="35">
        <v>64.63</v>
      </c>
      <c r="H526" s="35">
        <f>'SalesData 2'!$F526-'SalesData 2'!$G526</f>
        <v>5.6200000000000045</v>
      </c>
    </row>
    <row r="527" spans="1:8" ht="14.4" x14ac:dyDescent="0.25">
      <c r="A527" s="41">
        <v>41998</v>
      </c>
      <c r="B527" s="29" t="s">
        <v>48</v>
      </c>
      <c r="C527" s="14" t="s">
        <v>71</v>
      </c>
      <c r="D527" s="29" t="s">
        <v>122</v>
      </c>
      <c r="E527" s="29" t="s">
        <v>130</v>
      </c>
      <c r="F527" s="30">
        <v>646.36</v>
      </c>
      <c r="G527" s="36">
        <v>698.07</v>
      </c>
      <c r="H527" s="36">
        <f>'SalesData 2'!$F527-'SalesData 2'!$G527</f>
        <v>-51.710000000000036</v>
      </c>
    </row>
    <row r="528" spans="1:8" ht="14.4" x14ac:dyDescent="0.25">
      <c r="A528" s="40">
        <v>42000</v>
      </c>
      <c r="B528" s="25" t="s">
        <v>29</v>
      </c>
      <c r="C528" s="9" t="s">
        <v>98</v>
      </c>
      <c r="D528" s="25" t="s">
        <v>120</v>
      </c>
      <c r="E528" s="25" t="s">
        <v>129</v>
      </c>
      <c r="F528" s="26">
        <v>43.55</v>
      </c>
      <c r="G528" s="35">
        <v>40.94</v>
      </c>
      <c r="H528" s="35">
        <f>'SalesData 2'!$F528-'SalesData 2'!$G528</f>
        <v>2.6099999999999994</v>
      </c>
    </row>
    <row r="529" spans="1:8" ht="14.4" x14ac:dyDescent="0.25">
      <c r="A529" s="41">
        <v>42005</v>
      </c>
      <c r="B529" s="29" t="s">
        <v>17</v>
      </c>
      <c r="C529" s="14" t="s">
        <v>74</v>
      </c>
      <c r="D529" s="29" t="s">
        <v>119</v>
      </c>
      <c r="E529" s="29" t="s">
        <v>129</v>
      </c>
      <c r="F529" s="30">
        <v>421.39</v>
      </c>
      <c r="G529" s="36">
        <v>446.66999999999996</v>
      </c>
      <c r="H529" s="36">
        <f>'SalesData 2'!$F529-'SalesData 2'!$G529</f>
        <v>-25.279999999999973</v>
      </c>
    </row>
    <row r="530" spans="1:8" ht="14.4" x14ac:dyDescent="0.25">
      <c r="A530" s="40">
        <v>42005</v>
      </c>
      <c r="B530" s="25" t="s">
        <v>18</v>
      </c>
      <c r="C530" s="9" t="s">
        <v>63</v>
      </c>
      <c r="D530" s="25" t="s">
        <v>119</v>
      </c>
      <c r="E530" s="25" t="s">
        <v>130</v>
      </c>
      <c r="F530" s="26">
        <v>215.26</v>
      </c>
      <c r="G530" s="35">
        <v>206.64999999999998</v>
      </c>
      <c r="H530" s="35">
        <f>'SalesData 2'!$F530-'SalesData 2'!$G530</f>
        <v>8.6100000000000136</v>
      </c>
    </row>
    <row r="531" spans="1:8" ht="14.4" x14ac:dyDescent="0.25">
      <c r="A531" s="41">
        <v>42006</v>
      </c>
      <c r="B531" s="29" t="s">
        <v>33</v>
      </c>
      <c r="C531" s="14" t="s">
        <v>115</v>
      </c>
      <c r="D531" s="29" t="s">
        <v>121</v>
      </c>
      <c r="E531" s="29" t="s">
        <v>129</v>
      </c>
      <c r="F531" s="30">
        <v>471.08</v>
      </c>
      <c r="G531" s="36">
        <v>471.08</v>
      </c>
      <c r="H531" s="36">
        <f>'SalesData 2'!$F531-'SalesData 2'!$G531</f>
        <v>0</v>
      </c>
    </row>
    <row r="532" spans="1:8" ht="14.4" x14ac:dyDescent="0.25">
      <c r="A532" s="40">
        <v>42006</v>
      </c>
      <c r="B532" s="25" t="s">
        <v>27</v>
      </c>
      <c r="C532" s="9" t="s">
        <v>110</v>
      </c>
      <c r="D532" s="25" t="s">
        <v>120</v>
      </c>
      <c r="E532" s="25" t="s">
        <v>130</v>
      </c>
      <c r="F532" s="26">
        <v>435.44</v>
      </c>
      <c r="G532" s="35">
        <v>413.67</v>
      </c>
      <c r="H532" s="35">
        <f>'SalesData 2'!$F532-'SalesData 2'!$G532</f>
        <v>21.769999999999982</v>
      </c>
    </row>
    <row r="533" spans="1:8" ht="14.4" x14ac:dyDescent="0.25">
      <c r="A533" s="41">
        <v>42006</v>
      </c>
      <c r="B533" s="29" t="s">
        <v>23</v>
      </c>
      <c r="C533" s="14" t="s">
        <v>109</v>
      </c>
      <c r="D533" s="29" t="s">
        <v>119</v>
      </c>
      <c r="E533" s="29" t="s">
        <v>128</v>
      </c>
      <c r="F533" s="30">
        <v>207.77</v>
      </c>
      <c r="G533" s="36">
        <v>201.54000000000002</v>
      </c>
      <c r="H533" s="36">
        <f>'SalesData 2'!$F533-'SalesData 2'!$G533</f>
        <v>6.2299999999999898</v>
      </c>
    </row>
    <row r="534" spans="1:8" ht="14.4" x14ac:dyDescent="0.25">
      <c r="A534" s="40">
        <v>42006</v>
      </c>
      <c r="B534" s="25" t="s">
        <v>45</v>
      </c>
      <c r="C534" s="9" t="s">
        <v>101</v>
      </c>
      <c r="D534" s="25" t="s">
        <v>122</v>
      </c>
      <c r="E534" s="25" t="s">
        <v>128</v>
      </c>
      <c r="F534" s="26">
        <v>242.66</v>
      </c>
      <c r="G534" s="35">
        <v>223.25</v>
      </c>
      <c r="H534" s="35">
        <f>'SalesData 2'!$F534-'SalesData 2'!$G534</f>
        <v>19.409999999999997</v>
      </c>
    </row>
    <row r="535" spans="1:8" ht="14.4" x14ac:dyDescent="0.25">
      <c r="A535" s="41">
        <v>42007</v>
      </c>
      <c r="B535" s="29" t="s">
        <v>8</v>
      </c>
      <c r="C535" s="14" t="s">
        <v>54</v>
      </c>
      <c r="D535" s="29" t="s">
        <v>118</v>
      </c>
      <c r="E535" s="29" t="s">
        <v>128</v>
      </c>
      <c r="F535" s="30">
        <v>549.94000000000005</v>
      </c>
      <c r="G535" s="36">
        <v>511.44000000000005</v>
      </c>
      <c r="H535" s="36">
        <f>'SalesData 2'!$F535-'SalesData 2'!$G535</f>
        <v>38.5</v>
      </c>
    </row>
    <row r="536" spans="1:8" ht="14.4" x14ac:dyDescent="0.25">
      <c r="A536" s="40">
        <v>42007</v>
      </c>
      <c r="B536" s="25" t="s">
        <v>16</v>
      </c>
      <c r="C536" s="9" t="s">
        <v>61</v>
      </c>
      <c r="D536" s="25" t="s">
        <v>118</v>
      </c>
      <c r="E536" s="25" t="s">
        <v>128</v>
      </c>
      <c r="F536" s="26">
        <v>438.85</v>
      </c>
      <c r="G536" s="35">
        <v>412.52000000000004</v>
      </c>
      <c r="H536" s="35">
        <f>'SalesData 2'!$F536-'SalesData 2'!$G536</f>
        <v>26.329999999999984</v>
      </c>
    </row>
    <row r="537" spans="1:8" ht="14.4" x14ac:dyDescent="0.25">
      <c r="A537" s="41">
        <v>42008</v>
      </c>
      <c r="B537" s="29" t="s">
        <v>6</v>
      </c>
      <c r="C537" s="14" t="s">
        <v>81</v>
      </c>
      <c r="D537" s="29" t="s">
        <v>118</v>
      </c>
      <c r="E537" s="29" t="s">
        <v>129</v>
      </c>
      <c r="F537" s="30">
        <v>538.35</v>
      </c>
      <c r="G537" s="36">
        <v>538.35</v>
      </c>
      <c r="H537" s="36">
        <f>'SalesData 2'!$F537-'SalesData 2'!$G537</f>
        <v>0</v>
      </c>
    </row>
    <row r="538" spans="1:8" ht="14.4" x14ac:dyDescent="0.25">
      <c r="A538" s="40">
        <v>42008</v>
      </c>
      <c r="B538" s="25" t="s">
        <v>7</v>
      </c>
      <c r="C538" s="9" t="s">
        <v>99</v>
      </c>
      <c r="D538" s="25" t="s">
        <v>118</v>
      </c>
      <c r="E538" s="25" t="s">
        <v>130</v>
      </c>
      <c r="F538" s="26">
        <v>444.48</v>
      </c>
      <c r="G538" s="35">
        <v>431.15000000000003</v>
      </c>
      <c r="H538" s="35">
        <f>'SalesData 2'!$F538-'SalesData 2'!$G538</f>
        <v>13.329999999999984</v>
      </c>
    </row>
    <row r="539" spans="1:8" ht="14.4" x14ac:dyDescent="0.25">
      <c r="A539" s="41">
        <v>42009</v>
      </c>
      <c r="B539" s="29" t="s">
        <v>43</v>
      </c>
      <c r="C539" s="14" t="s">
        <v>106</v>
      </c>
      <c r="D539" s="29" t="s">
        <v>122</v>
      </c>
      <c r="E539" s="29" t="s">
        <v>129</v>
      </c>
      <c r="F539" s="30">
        <v>119.64</v>
      </c>
      <c r="G539" s="36">
        <v>108.87</v>
      </c>
      <c r="H539" s="36">
        <f>'SalesData 2'!$F539-'SalesData 2'!$G539</f>
        <v>10.769999999999996</v>
      </c>
    </row>
    <row r="540" spans="1:8" ht="14.4" x14ac:dyDescent="0.25">
      <c r="A540" s="40">
        <v>42009</v>
      </c>
      <c r="B540" s="25" t="s">
        <v>25</v>
      </c>
      <c r="C540" s="9" t="s">
        <v>94</v>
      </c>
      <c r="D540" s="25" t="s">
        <v>119</v>
      </c>
      <c r="E540" s="25" t="s">
        <v>130</v>
      </c>
      <c r="F540" s="26">
        <v>246.07</v>
      </c>
      <c r="G540" s="35">
        <v>253.45</v>
      </c>
      <c r="H540" s="35">
        <f>'SalesData 2'!$F540-'SalesData 2'!$G540</f>
        <v>-7.3799999999999955</v>
      </c>
    </row>
    <row r="541" spans="1:8" ht="14.4" x14ac:dyDescent="0.25">
      <c r="A541" s="41">
        <v>42009</v>
      </c>
      <c r="B541" s="29" t="s">
        <v>50</v>
      </c>
      <c r="C541" s="14" t="s">
        <v>92</v>
      </c>
      <c r="D541" s="29" t="s">
        <v>122</v>
      </c>
      <c r="E541" s="29" t="s">
        <v>130</v>
      </c>
      <c r="F541" s="30">
        <v>490.82</v>
      </c>
      <c r="G541" s="36">
        <v>495.73</v>
      </c>
      <c r="H541" s="36">
        <f>'SalesData 2'!$F541-'SalesData 2'!$G541</f>
        <v>-4.910000000000025</v>
      </c>
    </row>
    <row r="542" spans="1:8" ht="14.4" x14ac:dyDescent="0.25">
      <c r="A542" s="40">
        <v>42010</v>
      </c>
      <c r="B542" s="25" t="s">
        <v>37</v>
      </c>
      <c r="C542" s="9" t="s">
        <v>87</v>
      </c>
      <c r="D542" s="25" t="s">
        <v>121</v>
      </c>
      <c r="E542" s="25" t="s">
        <v>128</v>
      </c>
      <c r="F542" s="26">
        <v>276.93</v>
      </c>
      <c r="G542" s="35">
        <v>263.08</v>
      </c>
      <c r="H542" s="35">
        <f>'SalesData 2'!$F542-'SalesData 2'!$G542</f>
        <v>13.850000000000023</v>
      </c>
    </row>
    <row r="543" spans="1:8" ht="14.4" x14ac:dyDescent="0.25">
      <c r="A543" s="41">
        <v>42011</v>
      </c>
      <c r="B543" s="29" t="s">
        <v>22</v>
      </c>
      <c r="C543" s="14" t="s">
        <v>77</v>
      </c>
      <c r="D543" s="29" t="s">
        <v>119</v>
      </c>
      <c r="E543" s="29" t="s">
        <v>129</v>
      </c>
      <c r="F543" s="30">
        <v>801.68</v>
      </c>
      <c r="G543" s="36">
        <v>729.53</v>
      </c>
      <c r="H543" s="36">
        <f>'SalesData 2'!$F543-'SalesData 2'!$G543</f>
        <v>72.149999999999977</v>
      </c>
    </row>
    <row r="544" spans="1:8" ht="14.4" x14ac:dyDescent="0.25">
      <c r="A544" s="40">
        <v>42012</v>
      </c>
      <c r="B544" s="25" t="s">
        <v>39</v>
      </c>
      <c r="C544" s="9" t="s">
        <v>75</v>
      </c>
      <c r="D544" s="25" t="s">
        <v>122</v>
      </c>
      <c r="E544" s="25" t="s">
        <v>130</v>
      </c>
      <c r="F544" s="26">
        <v>685.99</v>
      </c>
      <c r="G544" s="35">
        <v>658.55</v>
      </c>
      <c r="H544" s="35">
        <f>'SalesData 2'!$F544-'SalesData 2'!$G544</f>
        <v>27.440000000000055</v>
      </c>
    </row>
    <row r="545" spans="1:8" ht="14.4" x14ac:dyDescent="0.25">
      <c r="A545" s="41">
        <v>42012</v>
      </c>
      <c r="B545" s="29" t="s">
        <v>44</v>
      </c>
      <c r="C545" s="14" t="s">
        <v>104</v>
      </c>
      <c r="D545" s="29" t="s">
        <v>122</v>
      </c>
      <c r="E545" s="29" t="s">
        <v>129</v>
      </c>
      <c r="F545" s="30">
        <v>65.349999999999994</v>
      </c>
      <c r="G545" s="36">
        <v>66.66</v>
      </c>
      <c r="H545" s="36">
        <f>'SalesData 2'!$F545-'SalesData 2'!$G545</f>
        <v>-1.3100000000000023</v>
      </c>
    </row>
    <row r="546" spans="1:8" ht="14.4" x14ac:dyDescent="0.25">
      <c r="A546" s="40">
        <v>42012</v>
      </c>
      <c r="B546" s="25" t="s">
        <v>10</v>
      </c>
      <c r="C546" s="9" t="s">
        <v>93</v>
      </c>
      <c r="D546" s="25" t="s">
        <v>118</v>
      </c>
      <c r="E546" s="25" t="s">
        <v>129</v>
      </c>
      <c r="F546" s="26">
        <v>793.93</v>
      </c>
      <c r="G546" s="35">
        <v>857.43999999999994</v>
      </c>
      <c r="H546" s="35">
        <f>'SalesData 2'!$F546-'SalesData 2'!$G546</f>
        <v>-63.509999999999991</v>
      </c>
    </row>
    <row r="547" spans="1:8" ht="14.4" x14ac:dyDescent="0.25">
      <c r="A547" s="41">
        <v>42012</v>
      </c>
      <c r="B547" s="29" t="s">
        <v>36</v>
      </c>
      <c r="C547" s="14" t="s">
        <v>57</v>
      </c>
      <c r="D547" s="29" t="s">
        <v>121</v>
      </c>
      <c r="E547" s="29" t="s">
        <v>128</v>
      </c>
      <c r="F547" s="30">
        <v>664.97</v>
      </c>
      <c r="G547" s="36">
        <v>704.87</v>
      </c>
      <c r="H547" s="36">
        <f>'SalesData 2'!$F547-'SalesData 2'!$G547</f>
        <v>-39.899999999999977</v>
      </c>
    </row>
    <row r="548" spans="1:8" ht="14.4" x14ac:dyDescent="0.25">
      <c r="A548" s="40">
        <v>42012</v>
      </c>
      <c r="B548" s="25" t="s">
        <v>30</v>
      </c>
      <c r="C548" s="9" t="s">
        <v>88</v>
      </c>
      <c r="D548" s="25" t="s">
        <v>120</v>
      </c>
      <c r="E548" s="25" t="s">
        <v>128</v>
      </c>
      <c r="F548" s="26">
        <v>982.34</v>
      </c>
      <c r="G548" s="35">
        <v>943.05000000000007</v>
      </c>
      <c r="H548" s="35">
        <f>'SalesData 2'!$F548-'SalesData 2'!$G548</f>
        <v>39.289999999999964</v>
      </c>
    </row>
    <row r="549" spans="1:8" ht="14.4" x14ac:dyDescent="0.25">
      <c r="A549" s="41">
        <v>42013</v>
      </c>
      <c r="B549" s="29" t="s">
        <v>21</v>
      </c>
      <c r="C549" s="14" t="s">
        <v>79</v>
      </c>
      <c r="D549" s="29" t="s">
        <v>119</v>
      </c>
      <c r="E549" s="29" t="s">
        <v>129</v>
      </c>
      <c r="F549" s="30">
        <v>850.34</v>
      </c>
      <c r="G549" s="36">
        <v>765.31000000000006</v>
      </c>
      <c r="H549" s="36">
        <f>'SalesData 2'!$F549-'SalesData 2'!$G549</f>
        <v>85.029999999999973</v>
      </c>
    </row>
    <row r="550" spans="1:8" ht="14.4" x14ac:dyDescent="0.25">
      <c r="A550" s="40">
        <v>42013</v>
      </c>
      <c r="B550" s="25" t="s">
        <v>1</v>
      </c>
      <c r="C550" s="9" t="s">
        <v>1</v>
      </c>
      <c r="D550" s="25" t="s">
        <v>118</v>
      </c>
      <c r="E550" s="25" t="s">
        <v>130</v>
      </c>
      <c r="F550" s="26">
        <v>833.21</v>
      </c>
      <c r="G550" s="35">
        <v>816.55000000000007</v>
      </c>
      <c r="H550" s="35">
        <f>'SalesData 2'!$F550-'SalesData 2'!$G550</f>
        <v>16.659999999999968</v>
      </c>
    </row>
    <row r="551" spans="1:8" ht="14.4" x14ac:dyDescent="0.25">
      <c r="A551" s="41">
        <v>42013</v>
      </c>
      <c r="B551" s="29" t="s">
        <v>6</v>
      </c>
      <c r="C551" s="14" t="s">
        <v>80</v>
      </c>
      <c r="D551" s="29" t="s">
        <v>118</v>
      </c>
      <c r="E551" s="29" t="s">
        <v>128</v>
      </c>
      <c r="F551" s="30">
        <v>74.760000000000005</v>
      </c>
      <c r="G551" s="36">
        <v>80.740000000000009</v>
      </c>
      <c r="H551" s="36">
        <f>'SalesData 2'!$F551-'SalesData 2'!$G551</f>
        <v>-5.980000000000004</v>
      </c>
    </row>
    <row r="552" spans="1:8" ht="14.4" x14ac:dyDescent="0.25">
      <c r="A552" s="40">
        <v>42014</v>
      </c>
      <c r="B552" s="25" t="s">
        <v>24</v>
      </c>
      <c r="C552" s="9" t="s">
        <v>107</v>
      </c>
      <c r="D552" s="25" t="s">
        <v>119</v>
      </c>
      <c r="E552" s="25" t="s">
        <v>130</v>
      </c>
      <c r="F552" s="26">
        <v>46.01</v>
      </c>
      <c r="G552" s="35">
        <v>41.41</v>
      </c>
      <c r="H552" s="35">
        <f>'SalesData 2'!$F552-'SalesData 2'!$G552</f>
        <v>4.6000000000000014</v>
      </c>
    </row>
    <row r="553" spans="1:8" ht="14.4" x14ac:dyDescent="0.25">
      <c r="A553" s="41">
        <v>42014</v>
      </c>
      <c r="B553" s="29" t="s">
        <v>41</v>
      </c>
      <c r="C553" s="14" t="s">
        <v>68</v>
      </c>
      <c r="D553" s="29" t="s">
        <v>122</v>
      </c>
      <c r="E553" s="29" t="s">
        <v>130</v>
      </c>
      <c r="F553" s="30">
        <v>992.12</v>
      </c>
      <c r="G553" s="36">
        <v>972.28</v>
      </c>
      <c r="H553" s="36">
        <f>'SalesData 2'!$F553-'SalesData 2'!$G553</f>
        <v>19.840000000000032</v>
      </c>
    </row>
    <row r="554" spans="1:8" ht="14.4" x14ac:dyDescent="0.25">
      <c r="A554" s="40">
        <v>42014</v>
      </c>
      <c r="B554" s="25" t="s">
        <v>48</v>
      </c>
      <c r="C554" s="9" t="s">
        <v>56</v>
      </c>
      <c r="D554" s="25" t="s">
        <v>122</v>
      </c>
      <c r="E554" s="25" t="s">
        <v>130</v>
      </c>
      <c r="F554" s="26">
        <v>364.23</v>
      </c>
      <c r="G554" s="35">
        <v>342.38</v>
      </c>
      <c r="H554" s="35">
        <f>'SalesData 2'!$F554-'SalesData 2'!$G554</f>
        <v>21.850000000000023</v>
      </c>
    </row>
    <row r="555" spans="1:8" ht="14.4" x14ac:dyDescent="0.25">
      <c r="A555" s="41">
        <v>42015</v>
      </c>
      <c r="B555" s="29" t="s">
        <v>5</v>
      </c>
      <c r="C555" s="14" t="s">
        <v>102</v>
      </c>
      <c r="D555" s="29" t="s">
        <v>118</v>
      </c>
      <c r="E555" s="29" t="s">
        <v>130</v>
      </c>
      <c r="F555" s="30">
        <v>134.01</v>
      </c>
      <c r="G555" s="36">
        <v>128.64999999999998</v>
      </c>
      <c r="H555" s="36">
        <f>'SalesData 2'!$F555-'SalesData 2'!$G555</f>
        <v>5.3600000000000136</v>
      </c>
    </row>
    <row r="556" spans="1:8" ht="14.4" x14ac:dyDescent="0.25">
      <c r="A556" s="40">
        <v>42016</v>
      </c>
      <c r="B556" s="25" t="s">
        <v>0</v>
      </c>
      <c r="C556" s="9" t="s">
        <v>114</v>
      </c>
      <c r="D556" s="25" t="s">
        <v>118</v>
      </c>
      <c r="E556" s="25" t="s">
        <v>129</v>
      </c>
      <c r="F556" s="26">
        <v>118.96</v>
      </c>
      <c r="G556" s="35">
        <v>121.33999999999999</v>
      </c>
      <c r="H556" s="35">
        <f>'SalesData 2'!$F556-'SalesData 2'!$G556</f>
        <v>-2.3799999999999955</v>
      </c>
    </row>
    <row r="557" spans="1:8" ht="14.4" x14ac:dyDescent="0.25">
      <c r="A557" s="41">
        <v>42016</v>
      </c>
      <c r="B557" s="29" t="s">
        <v>35</v>
      </c>
      <c r="C557" s="14" t="s">
        <v>97</v>
      </c>
      <c r="D557" s="29" t="s">
        <v>121</v>
      </c>
      <c r="E557" s="29" t="s">
        <v>129</v>
      </c>
      <c r="F557" s="30">
        <v>927.03</v>
      </c>
      <c r="G557" s="36">
        <v>880.68</v>
      </c>
      <c r="H557" s="36">
        <f>'SalesData 2'!$F557-'SalesData 2'!$G557</f>
        <v>46.350000000000023</v>
      </c>
    </row>
    <row r="558" spans="1:8" ht="14.4" x14ac:dyDescent="0.25">
      <c r="A558" s="40">
        <v>42016</v>
      </c>
      <c r="B558" s="25" t="s">
        <v>15</v>
      </c>
      <c r="C558" s="9" t="s">
        <v>60</v>
      </c>
      <c r="D558" s="25" t="s">
        <v>118</v>
      </c>
      <c r="E558" s="25" t="s">
        <v>130</v>
      </c>
      <c r="F558" s="26">
        <v>182.1</v>
      </c>
      <c r="G558" s="35">
        <v>183.92</v>
      </c>
      <c r="H558" s="35">
        <f>'SalesData 2'!$F558-'SalesData 2'!$G558</f>
        <v>-1.8199999999999932</v>
      </c>
    </row>
    <row r="559" spans="1:8" ht="14.4" x14ac:dyDescent="0.25">
      <c r="A559" s="41">
        <v>42017</v>
      </c>
      <c r="B559" s="29" t="s">
        <v>19</v>
      </c>
      <c r="C559" s="14" t="s">
        <v>113</v>
      </c>
      <c r="D559" s="29" t="s">
        <v>119</v>
      </c>
      <c r="E559" s="29" t="s">
        <v>128</v>
      </c>
      <c r="F559" s="30">
        <v>743.9</v>
      </c>
      <c r="G559" s="36">
        <v>691.82999999999993</v>
      </c>
      <c r="H559" s="36">
        <f>'SalesData 2'!$F559-'SalesData 2'!$G559</f>
        <v>52.07000000000005</v>
      </c>
    </row>
    <row r="560" spans="1:8" ht="14.4" x14ac:dyDescent="0.25">
      <c r="A560" s="40">
        <v>42017</v>
      </c>
      <c r="B560" s="25" t="s">
        <v>12</v>
      </c>
      <c r="C560" s="9" t="s">
        <v>89</v>
      </c>
      <c r="D560" s="25" t="s">
        <v>118</v>
      </c>
      <c r="E560" s="25" t="s">
        <v>129</v>
      </c>
      <c r="F560" s="26">
        <v>619.94000000000005</v>
      </c>
      <c r="G560" s="35">
        <v>669.54000000000008</v>
      </c>
      <c r="H560" s="35">
        <f>'SalesData 2'!$F560-'SalesData 2'!$G560</f>
        <v>-49.600000000000023</v>
      </c>
    </row>
    <row r="561" spans="1:8" ht="14.4" x14ac:dyDescent="0.25">
      <c r="A561" s="41">
        <v>42017</v>
      </c>
      <c r="B561" s="29" t="s">
        <v>31</v>
      </c>
      <c r="C561" s="14" t="s">
        <v>85</v>
      </c>
      <c r="D561" s="29" t="s">
        <v>120</v>
      </c>
      <c r="E561" s="29" t="s">
        <v>130</v>
      </c>
      <c r="F561" s="30">
        <v>272.94</v>
      </c>
      <c r="G561" s="36">
        <v>245.65</v>
      </c>
      <c r="H561" s="36">
        <f>'SalesData 2'!$F561-'SalesData 2'!$G561</f>
        <v>27.289999999999992</v>
      </c>
    </row>
    <row r="562" spans="1:8" ht="14.4" x14ac:dyDescent="0.25">
      <c r="A562" s="40">
        <v>42018</v>
      </c>
      <c r="B562" s="25" t="s">
        <v>26</v>
      </c>
      <c r="C562" s="9" t="s">
        <v>117</v>
      </c>
      <c r="D562" s="25" t="s">
        <v>120</v>
      </c>
      <c r="E562" s="25" t="s">
        <v>129</v>
      </c>
      <c r="F562" s="45">
        <v>477.01</v>
      </c>
      <c r="G562" s="35">
        <v>481.78</v>
      </c>
      <c r="H562" s="35">
        <f>'SalesData 2'!$F562-'SalesData 2'!$G562</f>
        <v>-4.7699999999999818</v>
      </c>
    </row>
    <row r="563" spans="1:8" ht="14.4" x14ac:dyDescent="0.25">
      <c r="A563" s="41">
        <v>42018</v>
      </c>
      <c r="B563" s="29" t="s">
        <v>22</v>
      </c>
      <c r="C563" s="14" t="s">
        <v>78</v>
      </c>
      <c r="D563" s="29" t="s">
        <v>119</v>
      </c>
      <c r="E563" s="29" t="s">
        <v>130</v>
      </c>
      <c r="F563" s="30">
        <v>897.4</v>
      </c>
      <c r="G563" s="36">
        <v>807.66</v>
      </c>
      <c r="H563" s="36">
        <f>'SalesData 2'!$F563-'SalesData 2'!$G563</f>
        <v>89.740000000000009</v>
      </c>
    </row>
    <row r="564" spans="1:8" ht="14.4" x14ac:dyDescent="0.25">
      <c r="A564" s="40">
        <v>42019</v>
      </c>
      <c r="B564" s="25" t="s">
        <v>34</v>
      </c>
      <c r="C564" s="9" t="s">
        <v>105</v>
      </c>
      <c r="D564" s="25" t="s">
        <v>121</v>
      </c>
      <c r="E564" s="25" t="s">
        <v>128</v>
      </c>
      <c r="F564" s="26">
        <v>264.39999999999998</v>
      </c>
      <c r="G564" s="35">
        <v>240.59999999999997</v>
      </c>
      <c r="H564" s="35">
        <f>'SalesData 2'!$F564-'SalesData 2'!$G564</f>
        <v>23.800000000000011</v>
      </c>
    </row>
    <row r="565" spans="1:8" ht="14.4" x14ac:dyDescent="0.25">
      <c r="A565" s="41">
        <v>42019</v>
      </c>
      <c r="B565" s="29" t="s">
        <v>9</v>
      </c>
      <c r="C565" s="14" t="s">
        <v>95</v>
      </c>
      <c r="D565" s="29" t="s">
        <v>118</v>
      </c>
      <c r="E565" s="29" t="s">
        <v>128</v>
      </c>
      <c r="F565" s="30">
        <v>543.44000000000005</v>
      </c>
      <c r="G565" s="36">
        <v>510.83000000000004</v>
      </c>
      <c r="H565" s="36">
        <f>'SalesData 2'!$F565-'SalesData 2'!$G565</f>
        <v>32.610000000000014</v>
      </c>
    </row>
    <row r="566" spans="1:8" ht="14.4" x14ac:dyDescent="0.25">
      <c r="A566" s="40">
        <v>42020</v>
      </c>
      <c r="B566" s="25" t="s">
        <v>2</v>
      </c>
      <c r="C566" s="9" t="s">
        <v>108</v>
      </c>
      <c r="D566" s="25" t="s">
        <v>118</v>
      </c>
      <c r="E566" s="25" t="s">
        <v>129</v>
      </c>
      <c r="F566" s="26">
        <v>506.01</v>
      </c>
      <c r="G566" s="35">
        <v>455.40999999999997</v>
      </c>
      <c r="H566" s="35">
        <f>'SalesData 2'!$F566-'SalesData 2'!$G566</f>
        <v>50.600000000000023</v>
      </c>
    </row>
    <row r="567" spans="1:8" ht="14.4" x14ac:dyDescent="0.25">
      <c r="A567" s="41">
        <v>42020</v>
      </c>
      <c r="B567" s="29" t="s">
        <v>48</v>
      </c>
      <c r="C567" s="14" t="s">
        <v>55</v>
      </c>
      <c r="D567" s="29" t="s">
        <v>122</v>
      </c>
      <c r="E567" s="29" t="s">
        <v>129</v>
      </c>
      <c r="F567" s="30">
        <v>113.28</v>
      </c>
      <c r="G567" s="36">
        <v>122.34</v>
      </c>
      <c r="H567" s="36">
        <f>'SalesData 2'!$F567-'SalesData 2'!$G567</f>
        <v>-9.0600000000000023</v>
      </c>
    </row>
    <row r="568" spans="1:8" ht="14.4" x14ac:dyDescent="0.25">
      <c r="A568" s="40">
        <v>42020</v>
      </c>
      <c r="B568" s="25" t="s">
        <v>32</v>
      </c>
      <c r="C568" s="9" t="s">
        <v>126</v>
      </c>
      <c r="D568" s="25" t="s">
        <v>120</v>
      </c>
      <c r="E568" s="25" t="s">
        <v>128</v>
      </c>
      <c r="F568" s="26">
        <v>388.17</v>
      </c>
      <c r="G568" s="35">
        <v>368.76</v>
      </c>
      <c r="H568" s="35">
        <f>'SalesData 2'!$F568-'SalesData 2'!$G568</f>
        <v>19.410000000000025</v>
      </c>
    </row>
    <row r="569" spans="1:8" ht="14.4" x14ac:dyDescent="0.25">
      <c r="A569" s="41">
        <v>42021</v>
      </c>
      <c r="B569" s="29" t="s">
        <v>4</v>
      </c>
      <c r="C569" s="14" t="s">
        <v>70</v>
      </c>
      <c r="D569" s="29" t="s">
        <v>118</v>
      </c>
      <c r="E569" s="29" t="s">
        <v>130</v>
      </c>
      <c r="F569" s="30">
        <v>344.77</v>
      </c>
      <c r="G569" s="36">
        <v>358.56</v>
      </c>
      <c r="H569" s="36">
        <f>'SalesData 2'!$F569-'SalesData 2'!$G569</f>
        <v>-13.79000000000002</v>
      </c>
    </row>
    <row r="570" spans="1:8" ht="14.4" x14ac:dyDescent="0.25">
      <c r="A570" s="40">
        <v>42022</v>
      </c>
      <c r="B570" s="25" t="s">
        <v>41</v>
      </c>
      <c r="C570" s="9" t="s">
        <v>67</v>
      </c>
      <c r="D570" s="25" t="s">
        <v>122</v>
      </c>
      <c r="E570" s="25" t="s">
        <v>130</v>
      </c>
      <c r="F570" s="26">
        <v>797</v>
      </c>
      <c r="G570" s="35">
        <v>717.3</v>
      </c>
      <c r="H570" s="35">
        <f>'SalesData 2'!$F570-'SalesData 2'!$G570</f>
        <v>79.700000000000045</v>
      </c>
    </row>
    <row r="571" spans="1:8" ht="14.4" x14ac:dyDescent="0.25">
      <c r="A571" s="41">
        <v>42022</v>
      </c>
      <c r="B571" s="29" t="s">
        <v>46</v>
      </c>
      <c r="C571" s="14" t="s">
        <v>100</v>
      </c>
      <c r="D571" s="29" t="s">
        <v>122</v>
      </c>
      <c r="E571" s="29" t="s">
        <v>128</v>
      </c>
      <c r="F571" s="30">
        <v>308.86</v>
      </c>
      <c r="G571" s="36">
        <v>324.3</v>
      </c>
      <c r="H571" s="36">
        <f>'SalesData 2'!$F571-'SalesData 2'!$G571</f>
        <v>-15.439999999999998</v>
      </c>
    </row>
    <row r="572" spans="1:8" ht="14.4" x14ac:dyDescent="0.25">
      <c r="A572" s="40">
        <v>42024</v>
      </c>
      <c r="B572" s="25" t="s">
        <v>28</v>
      </c>
      <c r="C572" s="9" t="s">
        <v>103</v>
      </c>
      <c r="D572" s="25" t="s">
        <v>120</v>
      </c>
      <c r="E572" s="25" t="s">
        <v>129</v>
      </c>
      <c r="F572" s="26">
        <v>492.08</v>
      </c>
      <c r="G572" s="35">
        <v>521.6</v>
      </c>
      <c r="H572" s="35">
        <f>'SalesData 2'!$F572-'SalesData 2'!$G572</f>
        <v>-29.520000000000039</v>
      </c>
    </row>
    <row r="573" spans="1:8" ht="14.4" x14ac:dyDescent="0.25">
      <c r="A573" s="41">
        <v>42025</v>
      </c>
      <c r="B573" s="29" t="s">
        <v>22</v>
      </c>
      <c r="C573" s="14" t="s">
        <v>76</v>
      </c>
      <c r="D573" s="29" t="s">
        <v>119</v>
      </c>
      <c r="E573" s="29" t="s">
        <v>128</v>
      </c>
      <c r="F573" s="30">
        <v>98.66</v>
      </c>
      <c r="G573" s="36">
        <v>95.7</v>
      </c>
      <c r="H573" s="36">
        <f>'SalesData 2'!$F573-'SalesData 2'!$G573</f>
        <v>2.9599999999999937</v>
      </c>
    </row>
    <row r="574" spans="1:8" ht="14.4" x14ac:dyDescent="0.25">
      <c r="A574" s="40">
        <v>42025</v>
      </c>
      <c r="B574" s="25" t="s">
        <v>3</v>
      </c>
      <c r="C574" s="9" t="s">
        <v>66</v>
      </c>
      <c r="D574" s="25" t="s">
        <v>118</v>
      </c>
      <c r="E574" s="25" t="s">
        <v>128</v>
      </c>
      <c r="F574" s="26">
        <v>447.81</v>
      </c>
      <c r="G574" s="35">
        <v>443.33</v>
      </c>
      <c r="H574" s="35">
        <f>'SalesData 2'!$F574-'SalesData 2'!$G574</f>
        <v>4.4800000000000182</v>
      </c>
    </row>
    <row r="575" spans="1:8" ht="14.4" x14ac:dyDescent="0.25">
      <c r="A575" s="41">
        <v>42025</v>
      </c>
      <c r="B575" s="29" t="s">
        <v>48</v>
      </c>
      <c r="C575" s="14" t="s">
        <v>71</v>
      </c>
      <c r="D575" s="29" t="s">
        <v>122</v>
      </c>
      <c r="E575" s="29" t="s">
        <v>130</v>
      </c>
      <c r="F575" s="30">
        <v>309.47000000000003</v>
      </c>
      <c r="G575" s="36">
        <v>318.75</v>
      </c>
      <c r="H575" s="36">
        <f>'SalesData 2'!$F575-'SalesData 2'!$G575</f>
        <v>-9.2799999999999727</v>
      </c>
    </row>
    <row r="576" spans="1:8" ht="14.4" x14ac:dyDescent="0.25">
      <c r="A576" s="40">
        <v>42025</v>
      </c>
      <c r="B576" s="25" t="s">
        <v>49</v>
      </c>
      <c r="C576" s="9" t="s">
        <v>72</v>
      </c>
      <c r="D576" s="25" t="s">
        <v>122</v>
      </c>
      <c r="E576" s="25" t="s">
        <v>130</v>
      </c>
      <c r="F576" s="26">
        <v>153.18</v>
      </c>
      <c r="G576" s="35">
        <v>139.39000000000001</v>
      </c>
      <c r="H576" s="35">
        <f>'SalesData 2'!$F576-'SalesData 2'!$G576</f>
        <v>13.789999999999992</v>
      </c>
    </row>
    <row r="577" spans="1:8" ht="14.4" x14ac:dyDescent="0.25">
      <c r="A577" s="41">
        <v>42026</v>
      </c>
      <c r="B577" s="29" t="s">
        <v>38</v>
      </c>
      <c r="C577" s="14" t="s">
        <v>62</v>
      </c>
      <c r="D577" s="29" t="s">
        <v>122</v>
      </c>
      <c r="E577" s="29" t="s">
        <v>129</v>
      </c>
      <c r="F577" s="30">
        <v>400.69</v>
      </c>
      <c r="G577" s="36">
        <v>364.63</v>
      </c>
      <c r="H577" s="36">
        <f>'SalesData 2'!$F577-'SalesData 2'!$G577</f>
        <v>36.06</v>
      </c>
    </row>
    <row r="578" spans="1:8" ht="14.4" x14ac:dyDescent="0.25">
      <c r="A578" s="40">
        <v>42026</v>
      </c>
      <c r="B578" s="25" t="s">
        <v>40</v>
      </c>
      <c r="C578" s="9" t="s">
        <v>65</v>
      </c>
      <c r="D578" s="25" t="s">
        <v>122</v>
      </c>
      <c r="E578" s="25" t="s">
        <v>129</v>
      </c>
      <c r="F578" s="26">
        <v>783.96</v>
      </c>
      <c r="G578" s="35">
        <v>799.64</v>
      </c>
      <c r="H578" s="35">
        <f>'SalesData 2'!$F578-'SalesData 2'!$G578</f>
        <v>-15.67999999999995</v>
      </c>
    </row>
    <row r="579" spans="1:8" ht="14.4" x14ac:dyDescent="0.25">
      <c r="A579" s="41">
        <v>42026</v>
      </c>
      <c r="B579" s="29" t="s">
        <v>40</v>
      </c>
      <c r="C579" s="14" t="s">
        <v>111</v>
      </c>
      <c r="D579" s="29" t="s">
        <v>122</v>
      </c>
      <c r="E579" s="29" t="s">
        <v>130</v>
      </c>
      <c r="F579" s="30">
        <v>961.4</v>
      </c>
      <c r="G579" s="36">
        <v>1028.7</v>
      </c>
      <c r="H579" s="36">
        <f>'SalesData 2'!$F579-'SalesData 2'!$G579</f>
        <v>-67.300000000000068</v>
      </c>
    </row>
    <row r="580" spans="1:8" ht="14.4" x14ac:dyDescent="0.25">
      <c r="A580" s="40">
        <v>42026</v>
      </c>
      <c r="B580" s="25" t="s">
        <v>29</v>
      </c>
      <c r="C580" s="9" t="s">
        <v>98</v>
      </c>
      <c r="D580" s="25" t="s">
        <v>120</v>
      </c>
      <c r="E580" s="25" t="s">
        <v>129</v>
      </c>
      <c r="F580" s="26">
        <v>101.49</v>
      </c>
      <c r="G580" s="35">
        <v>93.36999999999999</v>
      </c>
      <c r="H580" s="35">
        <f>'SalesData 2'!$F580-'SalesData 2'!$G580</f>
        <v>8.1200000000000045</v>
      </c>
    </row>
    <row r="581" spans="1:8" ht="14.4" x14ac:dyDescent="0.25">
      <c r="A581" s="41">
        <v>42026</v>
      </c>
      <c r="B581" s="29" t="s">
        <v>51</v>
      </c>
      <c r="C581" s="14" t="s">
        <v>86</v>
      </c>
      <c r="D581" s="29" t="s">
        <v>122</v>
      </c>
      <c r="E581" s="29" t="s">
        <v>128</v>
      </c>
      <c r="F581" s="30">
        <v>366.52</v>
      </c>
      <c r="G581" s="36">
        <v>329.87</v>
      </c>
      <c r="H581" s="36">
        <f>'SalesData 2'!$F581-'SalesData 2'!$G581</f>
        <v>36.649999999999977</v>
      </c>
    </row>
    <row r="582" spans="1:8" ht="14.4" x14ac:dyDescent="0.25">
      <c r="A582" s="40">
        <v>42027</v>
      </c>
      <c r="B582" s="25" t="s">
        <v>38</v>
      </c>
      <c r="C582" s="9" t="s">
        <v>116</v>
      </c>
      <c r="D582" s="25" t="s">
        <v>122</v>
      </c>
      <c r="E582" s="25" t="s">
        <v>129</v>
      </c>
      <c r="F582" s="26">
        <v>285.95999999999998</v>
      </c>
      <c r="G582" s="35">
        <v>277.38</v>
      </c>
      <c r="H582" s="35">
        <f>'SalesData 2'!$F582-'SalesData 2'!$G582</f>
        <v>8.5799999999999841</v>
      </c>
    </row>
    <row r="583" spans="1:8" ht="14.4" x14ac:dyDescent="0.25">
      <c r="A583" s="41">
        <v>42027</v>
      </c>
      <c r="B583" s="29" t="s">
        <v>48</v>
      </c>
      <c r="C583" s="14" t="s">
        <v>82</v>
      </c>
      <c r="D583" s="29" t="s">
        <v>122</v>
      </c>
      <c r="E583" s="29" t="s">
        <v>130</v>
      </c>
      <c r="F583" s="30">
        <v>357.36</v>
      </c>
      <c r="G583" s="36">
        <v>364.51</v>
      </c>
      <c r="H583" s="36">
        <f>'SalesData 2'!$F583-'SalesData 2'!$G583</f>
        <v>-7.1499999999999773</v>
      </c>
    </row>
    <row r="584" spans="1:8" ht="14.4" x14ac:dyDescent="0.25">
      <c r="A584" s="40">
        <v>42027</v>
      </c>
      <c r="B584" s="25" t="s">
        <v>13</v>
      </c>
      <c r="C584" s="9" t="s">
        <v>73</v>
      </c>
      <c r="D584" s="25" t="s">
        <v>118</v>
      </c>
      <c r="E584" s="25" t="s">
        <v>130</v>
      </c>
      <c r="F584" s="26">
        <v>455.3</v>
      </c>
      <c r="G584" s="35">
        <v>473.51</v>
      </c>
      <c r="H584" s="35">
        <f>'SalesData 2'!$F584-'SalesData 2'!$G584</f>
        <v>-18.20999999999998</v>
      </c>
    </row>
    <row r="585" spans="1:8" ht="14.4" x14ac:dyDescent="0.25">
      <c r="A585" s="41">
        <v>42027</v>
      </c>
      <c r="B585" s="29" t="s">
        <v>14</v>
      </c>
      <c r="C585" s="14" t="s">
        <v>83</v>
      </c>
      <c r="D585" s="29" t="s">
        <v>118</v>
      </c>
      <c r="E585" s="29" t="s">
        <v>129</v>
      </c>
      <c r="F585" s="30">
        <v>661.42</v>
      </c>
      <c r="G585" s="36">
        <v>654.80999999999995</v>
      </c>
      <c r="H585" s="36">
        <f>'SalesData 2'!$F585-'SalesData 2'!$G585</f>
        <v>6.6100000000000136</v>
      </c>
    </row>
    <row r="586" spans="1:8" ht="14.4" x14ac:dyDescent="0.25">
      <c r="A586" s="40">
        <v>42029</v>
      </c>
      <c r="B586" s="25" t="s">
        <v>42</v>
      </c>
      <c r="C586" s="9" t="s">
        <v>69</v>
      </c>
      <c r="D586" s="25" t="s">
        <v>122</v>
      </c>
      <c r="E586" s="25" t="s">
        <v>130</v>
      </c>
      <c r="F586" s="26">
        <v>784.48</v>
      </c>
      <c r="G586" s="35">
        <v>823.7</v>
      </c>
      <c r="H586" s="35">
        <f>'SalesData 2'!$F586-'SalesData 2'!$G586</f>
        <v>-39.220000000000027</v>
      </c>
    </row>
    <row r="587" spans="1:8" ht="14.4" x14ac:dyDescent="0.25">
      <c r="A587" s="41">
        <v>42029</v>
      </c>
      <c r="B587" s="29" t="s">
        <v>47</v>
      </c>
      <c r="C587" s="14" t="s">
        <v>96</v>
      </c>
      <c r="D587" s="29" t="s">
        <v>122</v>
      </c>
      <c r="E587" s="29" t="s">
        <v>130</v>
      </c>
      <c r="F587" s="30">
        <v>815.71</v>
      </c>
      <c r="G587" s="36">
        <v>848.34</v>
      </c>
      <c r="H587" s="36">
        <f>'SalesData 2'!$F587-'SalesData 2'!$G587</f>
        <v>-32.629999999999995</v>
      </c>
    </row>
    <row r="588" spans="1:8" ht="14.4" x14ac:dyDescent="0.25">
      <c r="A588" s="40">
        <v>42029</v>
      </c>
      <c r="B588" s="25" t="s">
        <v>36</v>
      </c>
      <c r="C588" s="9" t="s">
        <v>59</v>
      </c>
      <c r="D588" s="25" t="s">
        <v>121</v>
      </c>
      <c r="E588" s="25" t="s">
        <v>128</v>
      </c>
      <c r="F588" s="26">
        <v>162</v>
      </c>
      <c r="G588" s="35">
        <v>152.28</v>
      </c>
      <c r="H588" s="35">
        <f>'SalesData 2'!$F588-'SalesData 2'!$G588</f>
        <v>9.7199999999999989</v>
      </c>
    </row>
    <row r="589" spans="1:8" ht="14.4" x14ac:dyDescent="0.25">
      <c r="A589" s="41">
        <v>42030</v>
      </c>
      <c r="B589" s="29" t="s">
        <v>18</v>
      </c>
      <c r="C589" s="14" t="s">
        <v>64</v>
      </c>
      <c r="D589" s="29" t="s">
        <v>119</v>
      </c>
      <c r="E589" s="29" t="s">
        <v>130</v>
      </c>
      <c r="F589" s="30">
        <v>984.72</v>
      </c>
      <c r="G589" s="36">
        <v>905.94</v>
      </c>
      <c r="H589" s="36">
        <f>'SalesData 2'!$F589-'SalesData 2'!$G589</f>
        <v>78.779999999999973</v>
      </c>
    </row>
    <row r="590" spans="1:8" ht="14.4" x14ac:dyDescent="0.25">
      <c r="A590" s="40">
        <v>42030</v>
      </c>
      <c r="B590" s="25" t="s">
        <v>20</v>
      </c>
      <c r="C590" s="9" t="s">
        <v>112</v>
      </c>
      <c r="D590" s="25" t="s">
        <v>119</v>
      </c>
      <c r="E590" s="25" t="s">
        <v>128</v>
      </c>
      <c r="F590" s="26">
        <v>112.67</v>
      </c>
      <c r="G590" s="35">
        <v>117.18</v>
      </c>
      <c r="H590" s="35">
        <f>'SalesData 2'!$F590-'SalesData 2'!$G590</f>
        <v>-4.5100000000000051</v>
      </c>
    </row>
    <row r="591" spans="1:8" ht="14.4" x14ac:dyDescent="0.25">
      <c r="A591" s="41">
        <v>42030</v>
      </c>
      <c r="B591" s="29" t="s">
        <v>36</v>
      </c>
      <c r="C591" s="14" t="s">
        <v>90</v>
      </c>
      <c r="D591" s="29" t="s">
        <v>121</v>
      </c>
      <c r="E591" s="29" t="s">
        <v>129</v>
      </c>
      <c r="F591" s="30">
        <v>621.79</v>
      </c>
      <c r="G591" s="36">
        <v>603.14</v>
      </c>
      <c r="H591" s="36">
        <f>'SalesData 2'!$F591-'SalesData 2'!$G591</f>
        <v>18.649999999999977</v>
      </c>
    </row>
    <row r="592" spans="1:8" ht="14.4" x14ac:dyDescent="0.25">
      <c r="A592" s="40">
        <v>42031</v>
      </c>
      <c r="B592" s="25" t="s">
        <v>30</v>
      </c>
      <c r="C592" s="9" t="s">
        <v>88</v>
      </c>
      <c r="D592" s="25" t="s">
        <v>120</v>
      </c>
      <c r="E592" s="25" t="s">
        <v>130</v>
      </c>
      <c r="F592" s="26">
        <v>209.66</v>
      </c>
      <c r="G592" s="35">
        <v>194.98</v>
      </c>
      <c r="H592" s="35">
        <f>'SalesData 2'!$F592-'SalesData 2'!$G592</f>
        <v>14.680000000000007</v>
      </c>
    </row>
    <row r="593" spans="1:8" ht="14.4" x14ac:dyDescent="0.25">
      <c r="A593" s="41">
        <v>42032</v>
      </c>
      <c r="B593" s="29" t="s">
        <v>11</v>
      </c>
      <c r="C593" s="14" t="s">
        <v>91</v>
      </c>
      <c r="D593" s="29" t="s">
        <v>118</v>
      </c>
      <c r="E593" s="29" t="s">
        <v>129</v>
      </c>
      <c r="F593" s="30">
        <v>985.13</v>
      </c>
      <c r="G593" s="36">
        <v>926.02</v>
      </c>
      <c r="H593" s="36">
        <f>'SalesData 2'!$F593-'SalesData 2'!$G593</f>
        <v>59.110000000000014</v>
      </c>
    </row>
    <row r="594" spans="1:8" ht="14.4" x14ac:dyDescent="0.25">
      <c r="A594" s="40">
        <v>42032</v>
      </c>
      <c r="B594" s="25" t="s">
        <v>36</v>
      </c>
      <c r="C594" s="9" t="s">
        <v>58</v>
      </c>
      <c r="D594" s="25" t="s">
        <v>121</v>
      </c>
      <c r="E594" s="25" t="s">
        <v>128</v>
      </c>
      <c r="F594" s="26">
        <v>90.93</v>
      </c>
      <c r="G594" s="35">
        <v>96.39</v>
      </c>
      <c r="H594" s="35">
        <f>'SalesData 2'!$F594-'SalesData 2'!$G594</f>
        <v>-5.4599999999999937</v>
      </c>
    </row>
    <row r="595" spans="1:8" ht="14.4" x14ac:dyDescent="0.25">
      <c r="A595" s="41">
        <v>42038</v>
      </c>
      <c r="B595" s="29" t="s">
        <v>6</v>
      </c>
      <c r="C595" s="14" t="s">
        <v>80</v>
      </c>
      <c r="D595" s="29" t="s">
        <v>118</v>
      </c>
      <c r="E595" s="29" t="s">
        <v>129</v>
      </c>
      <c r="F595" s="30">
        <v>420.39</v>
      </c>
      <c r="G595" s="36">
        <v>445.61</v>
      </c>
      <c r="H595" s="36">
        <f>'SalesData 2'!$F595-'SalesData 2'!$G595</f>
        <v>-25.220000000000027</v>
      </c>
    </row>
    <row r="596" spans="1:8" ht="14.4" x14ac:dyDescent="0.25">
      <c r="A596" s="40">
        <v>42040</v>
      </c>
      <c r="B596" s="25" t="s">
        <v>31</v>
      </c>
      <c r="C596" s="9" t="s">
        <v>85</v>
      </c>
      <c r="D596" s="25" t="s">
        <v>120</v>
      </c>
      <c r="E596" s="25" t="s">
        <v>130</v>
      </c>
      <c r="F596" s="26">
        <v>22.19</v>
      </c>
      <c r="G596" s="35">
        <v>22.860000000000003</v>
      </c>
      <c r="H596" s="35">
        <f>'SalesData 2'!$F596-'SalesData 2'!$G596</f>
        <v>-0.67000000000000171</v>
      </c>
    </row>
    <row r="597" spans="1:8" ht="14.4" x14ac:dyDescent="0.25">
      <c r="A597" s="41">
        <v>42041</v>
      </c>
      <c r="B597" s="29" t="s">
        <v>36</v>
      </c>
      <c r="C597" s="14" t="s">
        <v>57</v>
      </c>
      <c r="D597" s="29" t="s">
        <v>121</v>
      </c>
      <c r="E597" s="29" t="s">
        <v>129</v>
      </c>
      <c r="F597" s="30">
        <v>313.10000000000002</v>
      </c>
      <c r="G597" s="36">
        <v>288.05</v>
      </c>
      <c r="H597" s="36">
        <f>'SalesData 2'!$F597-'SalesData 2'!$G597</f>
        <v>25.050000000000011</v>
      </c>
    </row>
    <row r="598" spans="1:8" ht="14.4" x14ac:dyDescent="0.25">
      <c r="A598" s="40">
        <v>42042</v>
      </c>
      <c r="B598" s="25" t="s">
        <v>51</v>
      </c>
      <c r="C598" s="9" t="s">
        <v>86</v>
      </c>
      <c r="D598" s="25" t="s">
        <v>122</v>
      </c>
      <c r="E598" s="25" t="s">
        <v>128</v>
      </c>
      <c r="F598" s="26">
        <v>354.5</v>
      </c>
      <c r="G598" s="35">
        <v>350.95</v>
      </c>
      <c r="H598" s="35">
        <f>'SalesData 2'!$F598-'SalesData 2'!$G598</f>
        <v>3.5500000000000114</v>
      </c>
    </row>
    <row r="599" spans="1:8" ht="14.4" x14ac:dyDescent="0.25">
      <c r="A599" s="41">
        <v>42045</v>
      </c>
      <c r="B599" s="29" t="s">
        <v>26</v>
      </c>
      <c r="C599" s="14" t="s">
        <v>117</v>
      </c>
      <c r="D599" s="29" t="s">
        <v>120</v>
      </c>
      <c r="E599" s="29" t="s">
        <v>128</v>
      </c>
      <c r="F599" s="46">
        <v>120.45</v>
      </c>
      <c r="G599" s="36">
        <v>120.45</v>
      </c>
      <c r="H599" s="36">
        <f>'SalesData 2'!$F599-'SalesData 2'!$G599</f>
        <v>0</v>
      </c>
    </row>
    <row r="600" spans="1:8" ht="14.4" x14ac:dyDescent="0.25">
      <c r="A600" s="40">
        <v>42048</v>
      </c>
      <c r="B600" s="25" t="s">
        <v>2</v>
      </c>
      <c r="C600" s="9" t="s">
        <v>108</v>
      </c>
      <c r="D600" s="25" t="s">
        <v>118</v>
      </c>
      <c r="E600" s="25" t="s">
        <v>130</v>
      </c>
      <c r="F600" s="26">
        <v>326.44</v>
      </c>
      <c r="G600" s="35">
        <v>300.32</v>
      </c>
      <c r="H600" s="35">
        <f>'SalesData 2'!$F600-'SalesData 2'!$G600</f>
        <v>26.120000000000005</v>
      </c>
    </row>
    <row r="601" spans="1:8" ht="14.4" x14ac:dyDescent="0.25">
      <c r="A601" s="41">
        <v>42049</v>
      </c>
      <c r="B601" s="29" t="s">
        <v>3</v>
      </c>
      <c r="C601" s="14" t="s">
        <v>66</v>
      </c>
      <c r="D601" s="29" t="s">
        <v>118</v>
      </c>
      <c r="E601" s="29" t="s">
        <v>129</v>
      </c>
      <c r="F601" s="30">
        <v>151.22999999999999</v>
      </c>
      <c r="G601" s="36">
        <v>163.32999999999998</v>
      </c>
      <c r="H601" s="36">
        <f>'SalesData 2'!$F601-'SalesData 2'!$G601</f>
        <v>-12.099999999999994</v>
      </c>
    </row>
    <row r="602" spans="1:8" ht="14.4" x14ac:dyDescent="0.25">
      <c r="A602" s="40">
        <v>42051</v>
      </c>
      <c r="B602" s="25" t="s">
        <v>46</v>
      </c>
      <c r="C602" s="9" t="s">
        <v>100</v>
      </c>
      <c r="D602" s="25" t="s">
        <v>122</v>
      </c>
      <c r="E602" s="25" t="s">
        <v>130</v>
      </c>
      <c r="F602" s="26">
        <v>630.95000000000005</v>
      </c>
      <c r="G602" s="35">
        <v>624.6400000000001</v>
      </c>
      <c r="H602" s="35">
        <f>'SalesData 2'!$F602-'SalesData 2'!$G602</f>
        <v>6.3099999999999454</v>
      </c>
    </row>
    <row r="603" spans="1:8" ht="14.4" x14ac:dyDescent="0.25">
      <c r="A603" s="41">
        <v>42051</v>
      </c>
      <c r="B603" s="29" t="s">
        <v>48</v>
      </c>
      <c r="C603" s="14" t="s">
        <v>55</v>
      </c>
      <c r="D603" s="29" t="s">
        <v>122</v>
      </c>
      <c r="E603" s="29" t="s">
        <v>129</v>
      </c>
      <c r="F603" s="30">
        <v>450.53</v>
      </c>
      <c r="G603" s="36">
        <v>486.57</v>
      </c>
      <c r="H603" s="36">
        <f>'SalesData 2'!$F603-'SalesData 2'!$G603</f>
        <v>-36.04000000000002</v>
      </c>
    </row>
    <row r="604" spans="1:8" ht="14.4" x14ac:dyDescent="0.25">
      <c r="A604" s="40">
        <v>42052</v>
      </c>
      <c r="B604" s="25" t="s">
        <v>28</v>
      </c>
      <c r="C604" s="9" t="s">
        <v>103</v>
      </c>
      <c r="D604" s="25" t="s">
        <v>120</v>
      </c>
      <c r="E604" s="25" t="s">
        <v>129</v>
      </c>
      <c r="F604" s="26">
        <v>139.11000000000001</v>
      </c>
      <c r="G604" s="35">
        <v>133.55000000000001</v>
      </c>
      <c r="H604" s="35">
        <f>'SalesData 2'!$F604-'SalesData 2'!$G604</f>
        <v>5.5600000000000023</v>
      </c>
    </row>
    <row r="605" spans="1:8" ht="14.4" x14ac:dyDescent="0.25">
      <c r="A605" s="41">
        <v>42053</v>
      </c>
      <c r="B605" s="29" t="s">
        <v>16</v>
      </c>
      <c r="C605" s="14" t="s">
        <v>61</v>
      </c>
      <c r="D605" s="29" t="s">
        <v>118</v>
      </c>
      <c r="E605" s="29" t="s">
        <v>130</v>
      </c>
      <c r="F605" s="30">
        <v>574.87</v>
      </c>
      <c r="G605" s="36">
        <v>574.87</v>
      </c>
      <c r="H605" s="36">
        <f>'SalesData 2'!$F605-'SalesData 2'!$G605</f>
        <v>0</v>
      </c>
    </row>
    <row r="606" spans="1:8" ht="14.4" x14ac:dyDescent="0.25">
      <c r="A606" s="40">
        <v>42054</v>
      </c>
      <c r="B606" s="25" t="s">
        <v>13</v>
      </c>
      <c r="C606" s="9" t="s">
        <v>73</v>
      </c>
      <c r="D606" s="25" t="s">
        <v>118</v>
      </c>
      <c r="E606" s="25" t="s">
        <v>128</v>
      </c>
      <c r="F606" s="26">
        <v>608.24</v>
      </c>
      <c r="G606" s="35">
        <v>583.91</v>
      </c>
      <c r="H606" s="35">
        <f>'SalesData 2'!$F606-'SalesData 2'!$G606</f>
        <v>24.330000000000041</v>
      </c>
    </row>
    <row r="607" spans="1:8" ht="14.4" x14ac:dyDescent="0.25">
      <c r="A607" s="41">
        <v>42058</v>
      </c>
      <c r="B607" s="29" t="s">
        <v>10</v>
      </c>
      <c r="C607" s="14" t="s">
        <v>93</v>
      </c>
      <c r="D607" s="29" t="s">
        <v>118</v>
      </c>
      <c r="E607" s="29" t="s">
        <v>128</v>
      </c>
      <c r="F607" s="30">
        <v>680.76</v>
      </c>
      <c r="G607" s="36">
        <v>714.8</v>
      </c>
      <c r="H607" s="36">
        <f>'SalesData 2'!$F607-'SalesData 2'!$G607</f>
        <v>-34.039999999999964</v>
      </c>
    </row>
    <row r="608" spans="1:8" ht="14.4" x14ac:dyDescent="0.25">
      <c r="A608" s="40">
        <v>42064</v>
      </c>
      <c r="B608" s="25" t="s">
        <v>12</v>
      </c>
      <c r="C608" s="9" t="s">
        <v>89</v>
      </c>
      <c r="D608" s="25" t="s">
        <v>118</v>
      </c>
      <c r="E608" s="25" t="s">
        <v>128</v>
      </c>
      <c r="F608" s="26">
        <v>720.2</v>
      </c>
      <c r="G608" s="35">
        <v>741.81000000000006</v>
      </c>
      <c r="H608" s="35">
        <f>'SalesData 2'!$F608-'SalesData 2'!$G608</f>
        <v>-21.610000000000014</v>
      </c>
    </row>
    <row r="609" spans="1:8" ht="14.4" x14ac:dyDescent="0.25">
      <c r="A609" s="41">
        <v>42067</v>
      </c>
      <c r="B609" s="29" t="s">
        <v>21</v>
      </c>
      <c r="C609" s="14" t="s">
        <v>79</v>
      </c>
      <c r="D609" s="29" t="s">
        <v>119</v>
      </c>
      <c r="E609" s="29" t="s">
        <v>128</v>
      </c>
      <c r="F609" s="30">
        <v>641.22</v>
      </c>
      <c r="G609" s="36">
        <v>647.63</v>
      </c>
      <c r="H609" s="36">
        <f>'SalesData 2'!$F609-'SalesData 2'!$G609</f>
        <v>-6.4099999999999682</v>
      </c>
    </row>
    <row r="610" spans="1:8" ht="14.4" x14ac:dyDescent="0.25">
      <c r="A610" s="40">
        <v>42071</v>
      </c>
      <c r="B610" s="25" t="s">
        <v>22</v>
      </c>
      <c r="C610" s="9" t="s">
        <v>76</v>
      </c>
      <c r="D610" s="25" t="s">
        <v>119</v>
      </c>
      <c r="E610" s="25" t="s">
        <v>129</v>
      </c>
      <c r="F610" s="26">
        <v>473.92</v>
      </c>
      <c r="G610" s="35">
        <v>426.53000000000003</v>
      </c>
      <c r="H610" s="35">
        <f>'SalesData 2'!$F610-'SalesData 2'!$G610</f>
        <v>47.389999999999986</v>
      </c>
    </row>
    <row r="611" spans="1:8" ht="14.4" x14ac:dyDescent="0.25">
      <c r="A611" s="41">
        <v>42072</v>
      </c>
      <c r="B611" s="29" t="s">
        <v>5</v>
      </c>
      <c r="C611" s="14" t="s">
        <v>102</v>
      </c>
      <c r="D611" s="29" t="s">
        <v>118</v>
      </c>
      <c r="E611" s="29" t="s">
        <v>130</v>
      </c>
      <c r="F611" s="30">
        <v>982.91</v>
      </c>
      <c r="G611" s="36">
        <v>992.74</v>
      </c>
      <c r="H611" s="36">
        <f>'SalesData 2'!$F611-'SalesData 2'!$G611</f>
        <v>-9.8300000000000409</v>
      </c>
    </row>
    <row r="612" spans="1:8" ht="14.4" x14ac:dyDescent="0.25">
      <c r="A612" s="40">
        <v>42073</v>
      </c>
      <c r="B612" s="25" t="s">
        <v>45</v>
      </c>
      <c r="C612" s="9" t="s">
        <v>101</v>
      </c>
      <c r="D612" s="25" t="s">
        <v>122</v>
      </c>
      <c r="E612" s="25" t="s">
        <v>129</v>
      </c>
      <c r="F612" s="26">
        <v>840.9</v>
      </c>
      <c r="G612" s="35">
        <v>899.76</v>
      </c>
      <c r="H612" s="35">
        <f>'SalesData 2'!$F612-'SalesData 2'!$G612</f>
        <v>-58.860000000000014</v>
      </c>
    </row>
    <row r="613" spans="1:8" ht="14.4" x14ac:dyDescent="0.25">
      <c r="A613" s="41">
        <v>42075</v>
      </c>
      <c r="B613" s="29" t="s">
        <v>44</v>
      </c>
      <c r="C613" s="14" t="s">
        <v>104</v>
      </c>
      <c r="D613" s="29" t="s">
        <v>122</v>
      </c>
      <c r="E613" s="29" t="s">
        <v>130</v>
      </c>
      <c r="F613" s="30">
        <v>685.47</v>
      </c>
      <c r="G613" s="36">
        <v>733.45</v>
      </c>
      <c r="H613" s="36">
        <f>'SalesData 2'!$F613-'SalesData 2'!$G613</f>
        <v>-47.980000000000018</v>
      </c>
    </row>
    <row r="614" spans="1:8" ht="14.4" x14ac:dyDescent="0.25">
      <c r="A614" s="40">
        <v>42077</v>
      </c>
      <c r="B614" s="25" t="s">
        <v>18</v>
      </c>
      <c r="C614" s="9" t="s">
        <v>63</v>
      </c>
      <c r="D614" s="25" t="s">
        <v>119</v>
      </c>
      <c r="E614" s="25" t="s">
        <v>130</v>
      </c>
      <c r="F614" s="26">
        <v>75.02</v>
      </c>
      <c r="G614" s="35">
        <v>78.02</v>
      </c>
      <c r="H614" s="35">
        <f>'SalesData 2'!$F614-'SalesData 2'!$G614</f>
        <v>-3</v>
      </c>
    </row>
    <row r="615" spans="1:8" ht="14.4" x14ac:dyDescent="0.25">
      <c r="A615" s="41">
        <v>42078</v>
      </c>
      <c r="B615" s="29" t="s">
        <v>47</v>
      </c>
      <c r="C615" s="14" t="s">
        <v>96</v>
      </c>
      <c r="D615" s="29" t="s">
        <v>122</v>
      </c>
      <c r="E615" s="29" t="s">
        <v>130</v>
      </c>
      <c r="F615" s="30">
        <v>594.23</v>
      </c>
      <c r="G615" s="36">
        <v>606.11</v>
      </c>
      <c r="H615" s="36">
        <f>'SalesData 2'!$F615-'SalesData 2'!$G615</f>
        <v>-11.879999999999995</v>
      </c>
    </row>
    <row r="616" spans="1:8" ht="14.4" x14ac:dyDescent="0.25">
      <c r="A616" s="40">
        <v>42078</v>
      </c>
      <c r="B616" s="25" t="s">
        <v>36</v>
      </c>
      <c r="C616" s="9" t="s">
        <v>90</v>
      </c>
      <c r="D616" s="25" t="s">
        <v>121</v>
      </c>
      <c r="E616" s="25" t="s">
        <v>128</v>
      </c>
      <c r="F616" s="26">
        <v>976.2</v>
      </c>
      <c r="G616" s="35">
        <v>1005.49</v>
      </c>
      <c r="H616" s="35">
        <f>'SalesData 2'!$F616-'SalesData 2'!$G616</f>
        <v>-29.289999999999964</v>
      </c>
    </row>
    <row r="617" spans="1:8" ht="14.4" x14ac:dyDescent="0.25">
      <c r="A617" s="41">
        <v>42080</v>
      </c>
      <c r="B617" s="29" t="s">
        <v>41</v>
      </c>
      <c r="C617" s="14" t="s">
        <v>68</v>
      </c>
      <c r="D617" s="29" t="s">
        <v>122</v>
      </c>
      <c r="E617" s="29" t="s">
        <v>129</v>
      </c>
      <c r="F617" s="30">
        <v>450.76</v>
      </c>
      <c r="G617" s="36">
        <v>468.78999999999996</v>
      </c>
      <c r="H617" s="36">
        <f>'SalesData 2'!$F617-'SalesData 2'!$G617</f>
        <v>-18.029999999999973</v>
      </c>
    </row>
    <row r="618" spans="1:8" ht="14.4" x14ac:dyDescent="0.25">
      <c r="A618" s="40">
        <v>42082</v>
      </c>
      <c r="B618" s="25" t="s">
        <v>20</v>
      </c>
      <c r="C618" s="9" t="s">
        <v>112</v>
      </c>
      <c r="D618" s="25" t="s">
        <v>119</v>
      </c>
      <c r="E618" s="25" t="s">
        <v>130</v>
      </c>
      <c r="F618" s="26">
        <v>157.34</v>
      </c>
      <c r="G618" s="35">
        <v>163.63</v>
      </c>
      <c r="H618" s="35">
        <f>'SalesData 2'!$F618-'SalesData 2'!$G618</f>
        <v>-6.289999999999992</v>
      </c>
    </row>
    <row r="619" spans="1:8" ht="14.4" x14ac:dyDescent="0.25">
      <c r="A619" s="41">
        <v>42085</v>
      </c>
      <c r="B619" s="29" t="s">
        <v>37</v>
      </c>
      <c r="C619" s="14" t="s">
        <v>87</v>
      </c>
      <c r="D619" s="29" t="s">
        <v>121</v>
      </c>
      <c r="E619" s="29" t="s">
        <v>128</v>
      </c>
      <c r="F619" s="30">
        <v>242.06</v>
      </c>
      <c r="G619" s="36">
        <v>227.54</v>
      </c>
      <c r="H619" s="36">
        <f>'SalesData 2'!$F619-'SalesData 2'!$G619</f>
        <v>14.52000000000001</v>
      </c>
    </row>
    <row r="620" spans="1:8" ht="14.4" x14ac:dyDescent="0.25">
      <c r="A620" s="40">
        <v>42090</v>
      </c>
      <c r="B620" s="25" t="s">
        <v>39</v>
      </c>
      <c r="C620" s="9" t="s">
        <v>75</v>
      </c>
      <c r="D620" s="25" t="s">
        <v>122</v>
      </c>
      <c r="E620" s="25" t="s">
        <v>129</v>
      </c>
      <c r="F620" s="26">
        <v>684.08</v>
      </c>
      <c r="G620" s="35">
        <v>677.24</v>
      </c>
      <c r="H620" s="35">
        <f>'SalesData 2'!$F620-'SalesData 2'!$G620</f>
        <v>6.8400000000000318</v>
      </c>
    </row>
    <row r="621" spans="1:8" ht="14.4" x14ac:dyDescent="0.25">
      <c r="A621" s="41">
        <v>42091</v>
      </c>
      <c r="B621" s="29" t="s">
        <v>40</v>
      </c>
      <c r="C621" s="14" t="s">
        <v>111</v>
      </c>
      <c r="D621" s="29" t="s">
        <v>122</v>
      </c>
      <c r="E621" s="29" t="s">
        <v>129</v>
      </c>
      <c r="F621" s="30">
        <v>736.04</v>
      </c>
      <c r="G621" s="36">
        <v>787.56</v>
      </c>
      <c r="H621" s="36">
        <f>'SalesData 2'!$F621-'SalesData 2'!$G621</f>
        <v>-51.519999999999982</v>
      </c>
    </row>
    <row r="622" spans="1:8" ht="14.4" x14ac:dyDescent="0.25">
      <c r="A622" s="40">
        <v>42095</v>
      </c>
      <c r="B622" s="25" t="s">
        <v>18</v>
      </c>
      <c r="C622" s="9" t="s">
        <v>64</v>
      </c>
      <c r="D622" s="25" t="s">
        <v>119</v>
      </c>
      <c r="E622" s="25" t="s">
        <v>129</v>
      </c>
      <c r="F622" s="26">
        <v>735.16</v>
      </c>
      <c r="G622" s="35">
        <v>757.20999999999992</v>
      </c>
      <c r="H622" s="35">
        <f>'SalesData 2'!$F622-'SalesData 2'!$G622</f>
        <v>-22.049999999999955</v>
      </c>
    </row>
    <row r="623" spans="1:8" ht="14.4" x14ac:dyDescent="0.25">
      <c r="A623" s="41">
        <v>42095</v>
      </c>
      <c r="B623" s="29" t="s">
        <v>19</v>
      </c>
      <c r="C623" s="14" t="s">
        <v>113</v>
      </c>
      <c r="D623" s="29" t="s">
        <v>119</v>
      </c>
      <c r="E623" s="29" t="s">
        <v>129</v>
      </c>
      <c r="F623" s="30">
        <v>595.08000000000004</v>
      </c>
      <c r="G623" s="36">
        <v>589.13</v>
      </c>
      <c r="H623" s="36">
        <f>'SalesData 2'!$F623-'SalesData 2'!$G623</f>
        <v>5.9500000000000455</v>
      </c>
    </row>
    <row r="624" spans="1:8" ht="14.4" x14ac:dyDescent="0.25">
      <c r="A624" s="40">
        <v>42096</v>
      </c>
      <c r="B624" s="25" t="s">
        <v>8</v>
      </c>
      <c r="C624" s="9" t="s">
        <v>54</v>
      </c>
      <c r="D624" s="25" t="s">
        <v>118</v>
      </c>
      <c r="E624" s="25" t="s">
        <v>129</v>
      </c>
      <c r="F624" s="26">
        <v>994.49</v>
      </c>
      <c r="G624" s="35">
        <v>1054.1600000000001</v>
      </c>
      <c r="H624" s="35">
        <f>'SalesData 2'!$F624-'SalesData 2'!$G624</f>
        <v>-59.670000000000073</v>
      </c>
    </row>
    <row r="625" spans="1:8" ht="14.4" x14ac:dyDescent="0.25">
      <c r="A625" s="41">
        <v>42098</v>
      </c>
      <c r="B625" s="29" t="s">
        <v>1</v>
      </c>
      <c r="C625" s="14" t="s">
        <v>1</v>
      </c>
      <c r="D625" s="29" t="s">
        <v>118</v>
      </c>
      <c r="E625" s="29" t="s">
        <v>130</v>
      </c>
      <c r="F625" s="30">
        <v>607.79999999999995</v>
      </c>
      <c r="G625" s="36">
        <v>613.88</v>
      </c>
      <c r="H625" s="36">
        <f>'SalesData 2'!$F625-'SalesData 2'!$G625</f>
        <v>-6.0800000000000409</v>
      </c>
    </row>
    <row r="626" spans="1:8" ht="14.4" x14ac:dyDescent="0.25">
      <c r="A626" s="40">
        <v>42104</v>
      </c>
      <c r="B626" s="25" t="s">
        <v>7</v>
      </c>
      <c r="C626" s="9" t="s">
        <v>99</v>
      </c>
      <c r="D626" s="25" t="s">
        <v>118</v>
      </c>
      <c r="E626" s="25" t="s">
        <v>129</v>
      </c>
      <c r="F626" s="26">
        <v>387.66</v>
      </c>
      <c r="G626" s="35">
        <v>410.92</v>
      </c>
      <c r="H626" s="35">
        <f>'SalesData 2'!$F626-'SalesData 2'!$G626</f>
        <v>-23.259999999999991</v>
      </c>
    </row>
    <row r="627" spans="1:8" ht="14.4" x14ac:dyDescent="0.25">
      <c r="A627" s="41">
        <v>42106</v>
      </c>
      <c r="B627" s="29" t="s">
        <v>36</v>
      </c>
      <c r="C627" s="14" t="s">
        <v>58</v>
      </c>
      <c r="D627" s="29" t="s">
        <v>121</v>
      </c>
      <c r="E627" s="29" t="s">
        <v>128</v>
      </c>
      <c r="F627" s="30">
        <v>742.01</v>
      </c>
      <c r="G627" s="36">
        <v>764.27</v>
      </c>
      <c r="H627" s="36">
        <f>'SalesData 2'!$F627-'SalesData 2'!$G627</f>
        <v>-22.259999999999991</v>
      </c>
    </row>
    <row r="628" spans="1:8" ht="14.4" x14ac:dyDescent="0.25">
      <c r="A628" s="40">
        <v>42108</v>
      </c>
      <c r="B628" s="25" t="s">
        <v>35</v>
      </c>
      <c r="C628" s="9" t="s">
        <v>97</v>
      </c>
      <c r="D628" s="25" t="s">
        <v>121</v>
      </c>
      <c r="E628" s="25" t="s">
        <v>128</v>
      </c>
      <c r="F628" s="26">
        <v>999.08</v>
      </c>
      <c r="G628" s="35">
        <v>979.1</v>
      </c>
      <c r="H628" s="35">
        <f>'SalesData 2'!$F628-'SalesData 2'!$G628</f>
        <v>19.980000000000018</v>
      </c>
    </row>
    <row r="629" spans="1:8" ht="14.4" x14ac:dyDescent="0.25">
      <c r="A629" s="41">
        <v>42110</v>
      </c>
      <c r="B629" s="29" t="s">
        <v>38</v>
      </c>
      <c r="C629" s="14" t="s">
        <v>62</v>
      </c>
      <c r="D629" s="29" t="s">
        <v>122</v>
      </c>
      <c r="E629" s="29" t="s">
        <v>129</v>
      </c>
      <c r="F629" s="30">
        <v>852.18</v>
      </c>
      <c r="G629" s="36">
        <v>877.75</v>
      </c>
      <c r="H629" s="36">
        <f>'SalesData 2'!$F629-'SalesData 2'!$G629</f>
        <v>-25.57000000000005</v>
      </c>
    </row>
    <row r="630" spans="1:8" ht="14.4" x14ac:dyDescent="0.25">
      <c r="A630" s="40">
        <v>42111</v>
      </c>
      <c r="B630" s="25" t="s">
        <v>29</v>
      </c>
      <c r="C630" s="9" t="s">
        <v>98</v>
      </c>
      <c r="D630" s="25" t="s">
        <v>120</v>
      </c>
      <c r="E630" s="25" t="s">
        <v>130</v>
      </c>
      <c r="F630" s="26">
        <v>567.89</v>
      </c>
      <c r="G630" s="35">
        <v>545.16999999999996</v>
      </c>
      <c r="H630" s="35">
        <f>'SalesData 2'!$F630-'SalesData 2'!$G630</f>
        <v>22.720000000000027</v>
      </c>
    </row>
    <row r="631" spans="1:8" ht="14.4" x14ac:dyDescent="0.25">
      <c r="A631" s="41">
        <v>42112</v>
      </c>
      <c r="B631" s="29" t="s">
        <v>48</v>
      </c>
      <c r="C631" s="14" t="s">
        <v>56</v>
      </c>
      <c r="D631" s="29" t="s">
        <v>122</v>
      </c>
      <c r="E631" s="29" t="s">
        <v>128</v>
      </c>
      <c r="F631" s="30">
        <v>270.48</v>
      </c>
      <c r="G631" s="36">
        <v>267.78000000000003</v>
      </c>
      <c r="H631" s="36">
        <f>'SalesData 2'!$F631-'SalesData 2'!$G631</f>
        <v>2.6999999999999886</v>
      </c>
    </row>
    <row r="632" spans="1:8" ht="14.4" x14ac:dyDescent="0.25">
      <c r="A632" s="40">
        <v>42114</v>
      </c>
      <c r="B632" s="25" t="s">
        <v>36</v>
      </c>
      <c r="C632" s="9" t="s">
        <v>59</v>
      </c>
      <c r="D632" s="25" t="s">
        <v>121</v>
      </c>
      <c r="E632" s="25" t="s">
        <v>129</v>
      </c>
      <c r="F632" s="26">
        <v>827.47</v>
      </c>
      <c r="G632" s="35">
        <v>819.2</v>
      </c>
      <c r="H632" s="35">
        <f>'SalesData 2'!$F632-'SalesData 2'!$G632</f>
        <v>8.2699999999999818</v>
      </c>
    </row>
    <row r="633" spans="1:8" ht="14.4" x14ac:dyDescent="0.25">
      <c r="A633" s="41">
        <v>42116</v>
      </c>
      <c r="B633" s="29" t="s">
        <v>27</v>
      </c>
      <c r="C633" s="14" t="s">
        <v>110</v>
      </c>
      <c r="D633" s="29" t="s">
        <v>120</v>
      </c>
      <c r="E633" s="29" t="s">
        <v>129</v>
      </c>
      <c r="F633" s="30">
        <v>87.64</v>
      </c>
      <c r="G633" s="36">
        <v>81.510000000000005</v>
      </c>
      <c r="H633" s="36">
        <f>'SalesData 2'!$F633-'SalesData 2'!$G633</f>
        <v>6.1299999999999955</v>
      </c>
    </row>
    <row r="634" spans="1:8" ht="14.4" x14ac:dyDescent="0.25">
      <c r="A634" s="40">
        <v>42116</v>
      </c>
      <c r="B634" s="25" t="s">
        <v>11</v>
      </c>
      <c r="C634" s="9" t="s">
        <v>91</v>
      </c>
      <c r="D634" s="25" t="s">
        <v>118</v>
      </c>
      <c r="E634" s="25" t="s">
        <v>130</v>
      </c>
      <c r="F634" s="26">
        <v>680.68</v>
      </c>
      <c r="G634" s="35">
        <v>694.29</v>
      </c>
      <c r="H634" s="35">
        <f>'SalesData 2'!$F634-'SalesData 2'!$G634</f>
        <v>-13.610000000000014</v>
      </c>
    </row>
    <row r="635" spans="1:8" ht="14.4" x14ac:dyDescent="0.25">
      <c r="A635" s="41">
        <v>42118</v>
      </c>
      <c r="B635" s="29" t="s">
        <v>34</v>
      </c>
      <c r="C635" s="14" t="s">
        <v>105</v>
      </c>
      <c r="D635" s="29" t="s">
        <v>121</v>
      </c>
      <c r="E635" s="29" t="s">
        <v>129</v>
      </c>
      <c r="F635" s="30">
        <v>716.33</v>
      </c>
      <c r="G635" s="36">
        <v>680.51</v>
      </c>
      <c r="H635" s="36">
        <f>'SalesData 2'!$F635-'SalesData 2'!$G635</f>
        <v>35.82000000000005</v>
      </c>
    </row>
    <row r="636" spans="1:8" ht="14.4" x14ac:dyDescent="0.25">
      <c r="A636" s="40">
        <v>42118</v>
      </c>
      <c r="B636" s="25" t="s">
        <v>25</v>
      </c>
      <c r="C636" s="9" t="s">
        <v>94</v>
      </c>
      <c r="D636" s="25" t="s">
        <v>119</v>
      </c>
      <c r="E636" s="25" t="s">
        <v>128</v>
      </c>
      <c r="F636" s="26">
        <v>888.09</v>
      </c>
      <c r="G636" s="35">
        <v>950.26</v>
      </c>
      <c r="H636" s="35">
        <f>'SalesData 2'!$F636-'SalesData 2'!$G636</f>
        <v>-62.169999999999959</v>
      </c>
    </row>
    <row r="637" spans="1:8" ht="14.4" x14ac:dyDescent="0.25">
      <c r="A637" s="41">
        <v>42119</v>
      </c>
      <c r="B637" s="29" t="s">
        <v>38</v>
      </c>
      <c r="C637" s="14" t="s">
        <v>116</v>
      </c>
      <c r="D637" s="29" t="s">
        <v>122</v>
      </c>
      <c r="E637" s="29" t="s">
        <v>128</v>
      </c>
      <c r="F637" s="30">
        <v>21.32</v>
      </c>
      <c r="G637" s="36">
        <v>20.68</v>
      </c>
      <c r="H637" s="36">
        <f>'SalesData 2'!$F637-'SalesData 2'!$G637</f>
        <v>0.64000000000000057</v>
      </c>
    </row>
    <row r="638" spans="1:8" ht="14.4" x14ac:dyDescent="0.25">
      <c r="A638" s="40">
        <v>42121</v>
      </c>
      <c r="B638" s="25" t="s">
        <v>24</v>
      </c>
      <c r="C638" s="9" t="s">
        <v>107</v>
      </c>
      <c r="D638" s="25" t="s">
        <v>119</v>
      </c>
      <c r="E638" s="25" t="s">
        <v>129</v>
      </c>
      <c r="F638" s="26">
        <v>677.66</v>
      </c>
      <c r="G638" s="35">
        <v>711.54</v>
      </c>
      <c r="H638" s="35">
        <f>'SalesData 2'!$F638-'SalesData 2'!$G638</f>
        <v>-33.879999999999995</v>
      </c>
    </row>
    <row r="639" spans="1:8" ht="14.4" x14ac:dyDescent="0.25">
      <c r="A639" s="41">
        <v>42125</v>
      </c>
      <c r="B639" s="29" t="s">
        <v>29</v>
      </c>
      <c r="C639" s="14" t="s">
        <v>98</v>
      </c>
      <c r="D639" s="29" t="s">
        <v>120</v>
      </c>
      <c r="E639" s="29" t="s">
        <v>130</v>
      </c>
      <c r="F639" s="30">
        <v>558.96</v>
      </c>
      <c r="G639" s="36">
        <v>553.37</v>
      </c>
      <c r="H639" s="36">
        <f>'SalesData 2'!$F639-'SalesData 2'!$G639</f>
        <v>5.5900000000000318</v>
      </c>
    </row>
    <row r="640" spans="1:8" ht="14.4" x14ac:dyDescent="0.25">
      <c r="A640" s="40">
        <v>42125</v>
      </c>
      <c r="B640" s="25" t="s">
        <v>50</v>
      </c>
      <c r="C640" s="9" t="s">
        <v>92</v>
      </c>
      <c r="D640" s="25" t="s">
        <v>122</v>
      </c>
      <c r="E640" s="25" t="s">
        <v>129</v>
      </c>
      <c r="F640" s="26">
        <v>810.91</v>
      </c>
      <c r="G640" s="35">
        <v>843.34999999999991</v>
      </c>
      <c r="H640" s="35">
        <f>'SalesData 2'!$F640-'SalesData 2'!$G640</f>
        <v>-32.439999999999941</v>
      </c>
    </row>
    <row r="641" spans="1:8" ht="14.4" x14ac:dyDescent="0.25">
      <c r="A641" s="41">
        <v>42125</v>
      </c>
      <c r="B641" s="29" t="s">
        <v>13</v>
      </c>
      <c r="C641" s="14" t="s">
        <v>73</v>
      </c>
      <c r="D641" s="29" t="s">
        <v>118</v>
      </c>
      <c r="E641" s="29" t="s">
        <v>129</v>
      </c>
      <c r="F641" s="30">
        <v>830.39</v>
      </c>
      <c r="G641" s="36">
        <v>871.91</v>
      </c>
      <c r="H641" s="36">
        <f>'SalesData 2'!$F641-'SalesData 2'!$G641</f>
        <v>-41.519999999999982</v>
      </c>
    </row>
    <row r="642" spans="1:8" ht="14.4" x14ac:dyDescent="0.25">
      <c r="A642" s="40">
        <v>42127</v>
      </c>
      <c r="B642" s="25" t="s">
        <v>4</v>
      </c>
      <c r="C642" s="9" t="s">
        <v>70</v>
      </c>
      <c r="D642" s="25" t="s">
        <v>118</v>
      </c>
      <c r="E642" s="25" t="s">
        <v>128</v>
      </c>
      <c r="F642" s="26">
        <v>341.84</v>
      </c>
      <c r="G642" s="35">
        <v>307.65999999999997</v>
      </c>
      <c r="H642" s="35">
        <f>'SalesData 2'!$F642-'SalesData 2'!$G642</f>
        <v>34.180000000000007</v>
      </c>
    </row>
    <row r="643" spans="1:8" ht="14.4" x14ac:dyDescent="0.25">
      <c r="A643" s="41">
        <v>42128</v>
      </c>
      <c r="B643" s="29" t="s">
        <v>18</v>
      </c>
      <c r="C643" s="14" t="s">
        <v>63</v>
      </c>
      <c r="D643" s="29" t="s">
        <v>119</v>
      </c>
      <c r="E643" s="29" t="s">
        <v>130</v>
      </c>
      <c r="F643" s="30">
        <v>275.11</v>
      </c>
      <c r="G643" s="36">
        <v>286.11</v>
      </c>
      <c r="H643" s="36">
        <f>'SalesData 2'!$F643-'SalesData 2'!$G643</f>
        <v>-11</v>
      </c>
    </row>
    <row r="644" spans="1:8" ht="14.4" x14ac:dyDescent="0.25">
      <c r="A644" s="40">
        <v>42129</v>
      </c>
      <c r="B644" s="25" t="s">
        <v>22</v>
      </c>
      <c r="C644" s="9" t="s">
        <v>78</v>
      </c>
      <c r="D644" s="25" t="s">
        <v>119</v>
      </c>
      <c r="E644" s="25" t="s">
        <v>128</v>
      </c>
      <c r="F644" s="26">
        <v>322.89</v>
      </c>
      <c r="G644" s="35">
        <v>316.43</v>
      </c>
      <c r="H644" s="35">
        <f>'SalesData 2'!$F644-'SalesData 2'!$G644</f>
        <v>6.4599999999999795</v>
      </c>
    </row>
    <row r="645" spans="1:8" ht="14.4" x14ac:dyDescent="0.25">
      <c r="A645" s="41">
        <v>42129</v>
      </c>
      <c r="B645" s="29" t="s">
        <v>14</v>
      </c>
      <c r="C645" s="14" t="s">
        <v>83</v>
      </c>
      <c r="D645" s="29" t="s">
        <v>118</v>
      </c>
      <c r="E645" s="29" t="s">
        <v>128</v>
      </c>
      <c r="F645" s="30">
        <v>98.4</v>
      </c>
      <c r="G645" s="36">
        <v>94.460000000000008</v>
      </c>
      <c r="H645" s="36">
        <f>'SalesData 2'!$F645-'SalesData 2'!$G645</f>
        <v>3.9399999999999977</v>
      </c>
    </row>
    <row r="646" spans="1:8" ht="14.4" x14ac:dyDescent="0.25">
      <c r="A646" s="40">
        <v>42129</v>
      </c>
      <c r="B646" s="25" t="s">
        <v>16</v>
      </c>
      <c r="C646" s="9" t="s">
        <v>61</v>
      </c>
      <c r="D646" s="25" t="s">
        <v>118</v>
      </c>
      <c r="E646" s="25" t="s">
        <v>129</v>
      </c>
      <c r="F646" s="26">
        <v>954.5</v>
      </c>
      <c r="G646" s="35">
        <v>992.68</v>
      </c>
      <c r="H646" s="35">
        <f>'SalesData 2'!$F646-'SalesData 2'!$G646</f>
        <v>-38.17999999999995</v>
      </c>
    </row>
    <row r="647" spans="1:8" ht="14.4" x14ac:dyDescent="0.25">
      <c r="A647" s="41">
        <v>42131</v>
      </c>
      <c r="B647" s="29" t="s">
        <v>43</v>
      </c>
      <c r="C647" s="14" t="s">
        <v>106</v>
      </c>
      <c r="D647" s="29" t="s">
        <v>122</v>
      </c>
      <c r="E647" s="29" t="s">
        <v>130</v>
      </c>
      <c r="F647" s="30">
        <v>223.93</v>
      </c>
      <c r="G647" s="36">
        <v>219.45000000000002</v>
      </c>
      <c r="H647" s="36">
        <f>'SalesData 2'!$F647-'SalesData 2'!$G647</f>
        <v>4.4799999999999898</v>
      </c>
    </row>
    <row r="648" spans="1:8" ht="14.4" x14ac:dyDescent="0.25">
      <c r="A648" s="40">
        <v>42133</v>
      </c>
      <c r="B648" s="25" t="s">
        <v>36</v>
      </c>
      <c r="C648" s="9" t="s">
        <v>90</v>
      </c>
      <c r="D648" s="25" t="s">
        <v>121</v>
      </c>
      <c r="E648" s="25" t="s">
        <v>130</v>
      </c>
      <c r="F648" s="26">
        <v>771.25</v>
      </c>
      <c r="G648" s="35">
        <v>786.68</v>
      </c>
      <c r="H648" s="35">
        <f>'SalesData 2'!$F648-'SalesData 2'!$G648</f>
        <v>-15.42999999999995</v>
      </c>
    </row>
    <row r="649" spans="1:8" ht="14.4" x14ac:dyDescent="0.25">
      <c r="A649" s="41">
        <v>42134</v>
      </c>
      <c r="B649" s="29" t="s">
        <v>24</v>
      </c>
      <c r="C649" s="14" t="s">
        <v>107</v>
      </c>
      <c r="D649" s="29" t="s">
        <v>119</v>
      </c>
      <c r="E649" s="29" t="s">
        <v>129</v>
      </c>
      <c r="F649" s="30">
        <v>594.69000000000005</v>
      </c>
      <c r="G649" s="36">
        <v>553.06000000000006</v>
      </c>
      <c r="H649" s="36">
        <f>'SalesData 2'!$F649-'SalesData 2'!$G649</f>
        <v>41.629999999999995</v>
      </c>
    </row>
    <row r="650" spans="1:8" ht="14.4" x14ac:dyDescent="0.25">
      <c r="A650" s="40">
        <v>42134</v>
      </c>
      <c r="B650" s="25" t="s">
        <v>35</v>
      </c>
      <c r="C650" s="9" t="s">
        <v>97</v>
      </c>
      <c r="D650" s="25" t="s">
        <v>121</v>
      </c>
      <c r="E650" s="25" t="s">
        <v>128</v>
      </c>
      <c r="F650" s="26">
        <v>850.46</v>
      </c>
      <c r="G650" s="35">
        <v>909.99</v>
      </c>
      <c r="H650" s="35">
        <f>'SalesData 2'!$F650-'SalesData 2'!$G650</f>
        <v>-59.529999999999973</v>
      </c>
    </row>
    <row r="651" spans="1:8" ht="14.4" x14ac:dyDescent="0.25">
      <c r="A651" s="41">
        <v>42135</v>
      </c>
      <c r="B651" s="29" t="s">
        <v>30</v>
      </c>
      <c r="C651" s="14" t="s">
        <v>88</v>
      </c>
      <c r="D651" s="29" t="s">
        <v>120</v>
      </c>
      <c r="E651" s="29" t="s">
        <v>130</v>
      </c>
      <c r="F651" s="30">
        <v>434.22</v>
      </c>
      <c r="G651" s="36">
        <v>399.48</v>
      </c>
      <c r="H651" s="36">
        <f>'SalesData 2'!$F651-'SalesData 2'!$G651</f>
        <v>34.740000000000009</v>
      </c>
    </row>
    <row r="652" spans="1:8" ht="14.4" x14ac:dyDescent="0.25">
      <c r="A652" s="40">
        <v>42136</v>
      </c>
      <c r="B652" s="25" t="s">
        <v>41</v>
      </c>
      <c r="C652" s="9" t="s">
        <v>67</v>
      </c>
      <c r="D652" s="25" t="s">
        <v>122</v>
      </c>
      <c r="E652" s="25" t="s">
        <v>128</v>
      </c>
      <c r="F652" s="26">
        <v>792.14</v>
      </c>
      <c r="G652" s="35">
        <v>847.59</v>
      </c>
      <c r="H652" s="35">
        <f>'SalesData 2'!$F652-'SalesData 2'!$G652</f>
        <v>-55.450000000000045</v>
      </c>
    </row>
    <row r="653" spans="1:8" ht="14.4" x14ac:dyDescent="0.25">
      <c r="A653" s="41">
        <v>42137</v>
      </c>
      <c r="B653" s="29" t="s">
        <v>32</v>
      </c>
      <c r="C653" s="14" t="s">
        <v>126</v>
      </c>
      <c r="D653" s="29" t="s">
        <v>120</v>
      </c>
      <c r="E653" s="29" t="s">
        <v>130</v>
      </c>
      <c r="F653" s="30">
        <v>440.26</v>
      </c>
      <c r="G653" s="36">
        <v>427.05</v>
      </c>
      <c r="H653" s="36">
        <f>'SalesData 2'!$F653-'SalesData 2'!$G653</f>
        <v>13.20999999999998</v>
      </c>
    </row>
    <row r="654" spans="1:8" ht="14.4" x14ac:dyDescent="0.25">
      <c r="A654" s="40">
        <v>42139</v>
      </c>
      <c r="B654" s="25" t="s">
        <v>46</v>
      </c>
      <c r="C654" s="9" t="s">
        <v>100</v>
      </c>
      <c r="D654" s="25" t="s">
        <v>122</v>
      </c>
      <c r="E654" s="25" t="s">
        <v>129</v>
      </c>
      <c r="F654" s="26">
        <v>356.89</v>
      </c>
      <c r="G654" s="35">
        <v>374.72999999999996</v>
      </c>
      <c r="H654" s="35">
        <f>'SalesData 2'!$F654-'SalesData 2'!$G654</f>
        <v>-17.839999999999975</v>
      </c>
    </row>
    <row r="655" spans="1:8" ht="14.4" x14ac:dyDescent="0.25">
      <c r="A655" s="41">
        <v>42142</v>
      </c>
      <c r="B655" s="29" t="s">
        <v>50</v>
      </c>
      <c r="C655" s="14" t="s">
        <v>92</v>
      </c>
      <c r="D655" s="29" t="s">
        <v>122</v>
      </c>
      <c r="E655" s="29" t="s">
        <v>129</v>
      </c>
      <c r="F655" s="30">
        <v>34.82</v>
      </c>
      <c r="G655" s="36">
        <v>35.520000000000003</v>
      </c>
      <c r="H655" s="36">
        <f>'SalesData 2'!$F655-'SalesData 2'!$G655</f>
        <v>-0.70000000000000284</v>
      </c>
    </row>
    <row r="656" spans="1:8" ht="14.4" x14ac:dyDescent="0.25">
      <c r="A656" s="40">
        <v>42143</v>
      </c>
      <c r="B656" s="25" t="s">
        <v>22</v>
      </c>
      <c r="C656" s="9" t="s">
        <v>77</v>
      </c>
      <c r="D656" s="25" t="s">
        <v>119</v>
      </c>
      <c r="E656" s="25" t="s">
        <v>130</v>
      </c>
      <c r="F656" s="26">
        <v>788.56</v>
      </c>
      <c r="G656" s="35">
        <v>796.44999999999993</v>
      </c>
      <c r="H656" s="35">
        <f>'SalesData 2'!$F656-'SalesData 2'!$G656</f>
        <v>-7.8899999999999864</v>
      </c>
    </row>
    <row r="657" spans="1:8" ht="14.4" x14ac:dyDescent="0.25">
      <c r="A657" s="41">
        <v>42143</v>
      </c>
      <c r="B657" s="29" t="s">
        <v>9</v>
      </c>
      <c r="C657" s="14" t="s">
        <v>95</v>
      </c>
      <c r="D657" s="29" t="s">
        <v>118</v>
      </c>
      <c r="E657" s="29" t="s">
        <v>129</v>
      </c>
      <c r="F657" s="30">
        <v>744.47</v>
      </c>
      <c r="G657" s="36">
        <v>737.03</v>
      </c>
      <c r="H657" s="36">
        <f>'SalesData 2'!$F657-'SalesData 2'!$G657</f>
        <v>7.4400000000000546</v>
      </c>
    </row>
    <row r="658" spans="1:8" ht="14.4" x14ac:dyDescent="0.25">
      <c r="A658" s="40">
        <v>42147</v>
      </c>
      <c r="B658" s="25" t="s">
        <v>33</v>
      </c>
      <c r="C658" s="9" t="s">
        <v>115</v>
      </c>
      <c r="D658" s="25" t="s">
        <v>121</v>
      </c>
      <c r="E658" s="25" t="s">
        <v>130</v>
      </c>
      <c r="F658" s="26">
        <v>800.32</v>
      </c>
      <c r="G658" s="35">
        <v>848.34</v>
      </c>
      <c r="H658" s="35">
        <f>'SalesData 2'!$F658-'SalesData 2'!$G658</f>
        <v>-48.019999999999982</v>
      </c>
    </row>
    <row r="659" spans="1:8" ht="14.4" x14ac:dyDescent="0.25">
      <c r="A659" s="41">
        <v>42148</v>
      </c>
      <c r="B659" s="29" t="s">
        <v>17</v>
      </c>
      <c r="C659" s="14" t="s">
        <v>74</v>
      </c>
      <c r="D659" s="29" t="s">
        <v>119</v>
      </c>
      <c r="E659" s="29" t="s">
        <v>130</v>
      </c>
      <c r="F659" s="30">
        <v>39.799999999999997</v>
      </c>
      <c r="G659" s="36">
        <v>42.98</v>
      </c>
      <c r="H659" s="36">
        <f>'SalesData 2'!$F659-'SalesData 2'!$G659</f>
        <v>-3.1799999999999997</v>
      </c>
    </row>
    <row r="660" spans="1:8" ht="14.4" x14ac:dyDescent="0.25">
      <c r="A660" s="40">
        <v>42148</v>
      </c>
      <c r="B660" s="25" t="s">
        <v>1</v>
      </c>
      <c r="C660" s="9" t="s">
        <v>1</v>
      </c>
      <c r="D660" s="25" t="s">
        <v>118</v>
      </c>
      <c r="E660" s="25" t="s">
        <v>130</v>
      </c>
      <c r="F660" s="26">
        <v>306.88</v>
      </c>
      <c r="G660" s="35">
        <v>331.43</v>
      </c>
      <c r="H660" s="35">
        <f>'SalesData 2'!$F660-'SalesData 2'!$G660</f>
        <v>-24.550000000000011</v>
      </c>
    </row>
    <row r="661" spans="1:8" ht="14.4" x14ac:dyDescent="0.25">
      <c r="A661" s="41">
        <v>42148</v>
      </c>
      <c r="B661" s="29" t="s">
        <v>4</v>
      </c>
      <c r="C661" s="14" t="s">
        <v>70</v>
      </c>
      <c r="D661" s="29" t="s">
        <v>118</v>
      </c>
      <c r="E661" s="29" t="s">
        <v>128</v>
      </c>
      <c r="F661" s="30">
        <v>846.55</v>
      </c>
      <c r="G661" s="36">
        <v>838.07999999999993</v>
      </c>
      <c r="H661" s="36">
        <f>'SalesData 2'!$F661-'SalesData 2'!$G661</f>
        <v>8.4700000000000273</v>
      </c>
    </row>
    <row r="662" spans="1:8" ht="14.4" x14ac:dyDescent="0.25">
      <c r="A662" s="40">
        <v>42151</v>
      </c>
      <c r="B662" s="25" t="s">
        <v>0</v>
      </c>
      <c r="C662" s="9" t="s">
        <v>114</v>
      </c>
      <c r="D662" s="25" t="s">
        <v>118</v>
      </c>
      <c r="E662" s="25" t="s">
        <v>128</v>
      </c>
      <c r="F662" s="26">
        <v>785.12</v>
      </c>
      <c r="G662" s="35">
        <v>745.86</v>
      </c>
      <c r="H662" s="35">
        <f>'SalesData 2'!$F662-'SalesData 2'!$G662</f>
        <v>39.259999999999991</v>
      </c>
    </row>
    <row r="663" spans="1:8" ht="14.4" x14ac:dyDescent="0.25">
      <c r="A663" s="41">
        <v>42152</v>
      </c>
      <c r="B663" s="29" t="s">
        <v>41</v>
      </c>
      <c r="C663" s="14" t="s">
        <v>67</v>
      </c>
      <c r="D663" s="29" t="s">
        <v>122</v>
      </c>
      <c r="E663" s="29" t="s">
        <v>129</v>
      </c>
      <c r="F663" s="30">
        <v>527.38</v>
      </c>
      <c r="G663" s="36">
        <v>553.75</v>
      </c>
      <c r="H663" s="36">
        <f>'SalesData 2'!$F663-'SalesData 2'!$G663</f>
        <v>-26.370000000000005</v>
      </c>
    </row>
    <row r="664" spans="1:8" ht="14.4" x14ac:dyDescent="0.25">
      <c r="A664" s="40">
        <v>42152</v>
      </c>
      <c r="B664" s="25" t="s">
        <v>42</v>
      </c>
      <c r="C664" s="9" t="s">
        <v>69</v>
      </c>
      <c r="D664" s="25" t="s">
        <v>122</v>
      </c>
      <c r="E664" s="25" t="s">
        <v>130</v>
      </c>
      <c r="F664" s="26">
        <v>314.44</v>
      </c>
      <c r="G664" s="35">
        <v>286.14</v>
      </c>
      <c r="H664" s="35">
        <f>'SalesData 2'!$F664-'SalesData 2'!$G664</f>
        <v>28.300000000000011</v>
      </c>
    </row>
    <row r="665" spans="1:8" ht="14.4" x14ac:dyDescent="0.25">
      <c r="A665" s="41">
        <v>42158</v>
      </c>
      <c r="B665" s="29" t="s">
        <v>42</v>
      </c>
      <c r="C665" s="14" t="s">
        <v>69</v>
      </c>
      <c r="D665" s="29" t="s">
        <v>122</v>
      </c>
      <c r="E665" s="29" t="s">
        <v>130</v>
      </c>
      <c r="F665" s="30">
        <v>949.91</v>
      </c>
      <c r="G665" s="36">
        <v>997.41</v>
      </c>
      <c r="H665" s="36">
        <f>'SalesData 2'!$F665-'SalesData 2'!$G665</f>
        <v>-47.5</v>
      </c>
    </row>
    <row r="666" spans="1:8" ht="14.4" x14ac:dyDescent="0.25">
      <c r="A666" s="40">
        <v>42158</v>
      </c>
      <c r="B666" s="25" t="s">
        <v>8</v>
      </c>
      <c r="C666" s="9" t="s">
        <v>54</v>
      </c>
      <c r="D666" s="25" t="s">
        <v>118</v>
      </c>
      <c r="E666" s="25" t="s">
        <v>130</v>
      </c>
      <c r="F666" s="26">
        <v>783.49</v>
      </c>
      <c r="G666" s="35">
        <v>783.49</v>
      </c>
      <c r="H666" s="35">
        <f>'SalesData 2'!$F666-'SalesData 2'!$G666</f>
        <v>0</v>
      </c>
    </row>
    <row r="667" spans="1:8" ht="14.4" x14ac:dyDescent="0.25">
      <c r="A667" s="41">
        <v>42158</v>
      </c>
      <c r="B667" s="29" t="s">
        <v>49</v>
      </c>
      <c r="C667" s="14" t="s">
        <v>72</v>
      </c>
      <c r="D667" s="29" t="s">
        <v>122</v>
      </c>
      <c r="E667" s="29" t="s">
        <v>130</v>
      </c>
      <c r="F667" s="30">
        <v>252.82</v>
      </c>
      <c r="G667" s="36">
        <v>230.07</v>
      </c>
      <c r="H667" s="36">
        <f>'SalesData 2'!$F667-'SalesData 2'!$G667</f>
        <v>22.75</v>
      </c>
    </row>
    <row r="668" spans="1:8" ht="14.4" x14ac:dyDescent="0.25">
      <c r="A668" s="40">
        <v>42159</v>
      </c>
      <c r="B668" s="25" t="s">
        <v>23</v>
      </c>
      <c r="C668" s="9" t="s">
        <v>109</v>
      </c>
      <c r="D668" s="25" t="s">
        <v>119</v>
      </c>
      <c r="E668" s="25" t="s">
        <v>129</v>
      </c>
      <c r="F668" s="26">
        <v>497.89</v>
      </c>
      <c r="G668" s="35">
        <v>487.93</v>
      </c>
      <c r="H668" s="35">
        <f>'SalesData 2'!$F668-'SalesData 2'!$G668</f>
        <v>9.9599999999999795</v>
      </c>
    </row>
    <row r="669" spans="1:8" ht="14.4" x14ac:dyDescent="0.25">
      <c r="A669" s="41">
        <v>42160</v>
      </c>
      <c r="B669" s="29" t="s">
        <v>22</v>
      </c>
      <c r="C669" s="14" t="s">
        <v>77</v>
      </c>
      <c r="D669" s="29" t="s">
        <v>119</v>
      </c>
      <c r="E669" s="29" t="s">
        <v>129</v>
      </c>
      <c r="F669" s="30">
        <v>119.01</v>
      </c>
      <c r="G669" s="36">
        <v>116.63000000000001</v>
      </c>
      <c r="H669" s="36">
        <f>'SalesData 2'!$F669-'SalesData 2'!$G669</f>
        <v>2.3799999999999955</v>
      </c>
    </row>
    <row r="670" spans="1:8" ht="14.4" x14ac:dyDescent="0.25">
      <c r="A670" s="40">
        <v>42162</v>
      </c>
      <c r="B670" s="25" t="s">
        <v>47</v>
      </c>
      <c r="C670" s="9" t="s">
        <v>96</v>
      </c>
      <c r="D670" s="25" t="s">
        <v>122</v>
      </c>
      <c r="E670" s="25" t="s">
        <v>129</v>
      </c>
      <c r="F670" s="26">
        <v>389.73</v>
      </c>
      <c r="G670" s="35">
        <v>405.32</v>
      </c>
      <c r="H670" s="35">
        <f>'SalesData 2'!$F670-'SalesData 2'!$G670</f>
        <v>-15.589999999999975</v>
      </c>
    </row>
    <row r="671" spans="1:8" ht="14.4" x14ac:dyDescent="0.25">
      <c r="A671" s="41">
        <v>42164</v>
      </c>
      <c r="B671" s="29" t="s">
        <v>40</v>
      </c>
      <c r="C671" s="14" t="s">
        <v>65</v>
      </c>
      <c r="D671" s="29" t="s">
        <v>122</v>
      </c>
      <c r="E671" s="29" t="s">
        <v>130</v>
      </c>
      <c r="F671" s="30">
        <v>510.55</v>
      </c>
      <c r="G671" s="36">
        <v>479.92</v>
      </c>
      <c r="H671" s="36">
        <f>'SalesData 2'!$F671-'SalesData 2'!$G671</f>
        <v>30.629999999999995</v>
      </c>
    </row>
    <row r="672" spans="1:8" ht="14.4" x14ac:dyDescent="0.25">
      <c r="A672" s="40">
        <v>42165</v>
      </c>
      <c r="B672" s="25" t="s">
        <v>22</v>
      </c>
      <c r="C672" s="9" t="s">
        <v>76</v>
      </c>
      <c r="D672" s="25" t="s">
        <v>119</v>
      </c>
      <c r="E672" s="25" t="s">
        <v>128</v>
      </c>
      <c r="F672" s="26">
        <v>678.29</v>
      </c>
      <c r="G672" s="35">
        <v>705.42</v>
      </c>
      <c r="H672" s="35">
        <f>'SalesData 2'!$F672-'SalesData 2'!$G672</f>
        <v>-27.129999999999995</v>
      </c>
    </row>
    <row r="673" spans="1:8" ht="14.4" x14ac:dyDescent="0.25">
      <c r="A673" s="41">
        <v>42165</v>
      </c>
      <c r="B673" s="29" t="s">
        <v>30</v>
      </c>
      <c r="C673" s="14" t="s">
        <v>88</v>
      </c>
      <c r="D673" s="29" t="s">
        <v>120</v>
      </c>
      <c r="E673" s="29" t="s">
        <v>128</v>
      </c>
      <c r="F673" s="30">
        <v>504.53</v>
      </c>
      <c r="G673" s="36">
        <v>504.53</v>
      </c>
      <c r="H673" s="36">
        <f>'SalesData 2'!$F673-'SalesData 2'!$G673</f>
        <v>0</v>
      </c>
    </row>
    <row r="674" spans="1:8" ht="14.4" x14ac:dyDescent="0.25">
      <c r="A674" s="40">
        <v>42166</v>
      </c>
      <c r="B674" s="25" t="s">
        <v>43</v>
      </c>
      <c r="C674" s="9" t="s">
        <v>106</v>
      </c>
      <c r="D674" s="25" t="s">
        <v>122</v>
      </c>
      <c r="E674" s="25" t="s">
        <v>129</v>
      </c>
      <c r="F674" s="26">
        <v>544.96</v>
      </c>
      <c r="G674" s="35">
        <v>561.31000000000006</v>
      </c>
      <c r="H674" s="35">
        <f>'SalesData 2'!$F674-'SalesData 2'!$G674</f>
        <v>-16.350000000000023</v>
      </c>
    </row>
    <row r="675" spans="1:8" ht="14.4" x14ac:dyDescent="0.25">
      <c r="A675" s="41">
        <v>42168</v>
      </c>
      <c r="B675" s="29" t="s">
        <v>15</v>
      </c>
      <c r="C675" s="14" t="s">
        <v>60</v>
      </c>
      <c r="D675" s="29" t="s">
        <v>118</v>
      </c>
      <c r="E675" s="29" t="s">
        <v>128</v>
      </c>
      <c r="F675" s="30">
        <v>820.85</v>
      </c>
      <c r="G675" s="36">
        <v>763.39</v>
      </c>
      <c r="H675" s="36">
        <f>'SalesData 2'!$F675-'SalesData 2'!$G675</f>
        <v>57.460000000000036</v>
      </c>
    </row>
    <row r="676" spans="1:8" ht="14.4" x14ac:dyDescent="0.25">
      <c r="A676" s="40">
        <v>42172</v>
      </c>
      <c r="B676" s="25" t="s">
        <v>27</v>
      </c>
      <c r="C676" s="9" t="s">
        <v>110</v>
      </c>
      <c r="D676" s="25" t="s">
        <v>120</v>
      </c>
      <c r="E676" s="25" t="s">
        <v>129</v>
      </c>
      <c r="F676" s="26">
        <v>892.07</v>
      </c>
      <c r="G676" s="35">
        <v>918.83</v>
      </c>
      <c r="H676" s="35">
        <f>'SalesData 2'!$F676-'SalesData 2'!$G676</f>
        <v>-26.759999999999991</v>
      </c>
    </row>
    <row r="677" spans="1:8" ht="14.4" x14ac:dyDescent="0.25">
      <c r="A677" s="41">
        <v>42175</v>
      </c>
      <c r="B677" s="29" t="s">
        <v>7</v>
      </c>
      <c r="C677" s="14" t="s">
        <v>99</v>
      </c>
      <c r="D677" s="29" t="s">
        <v>118</v>
      </c>
      <c r="E677" s="29" t="s">
        <v>130</v>
      </c>
      <c r="F677" s="30">
        <v>25.6</v>
      </c>
      <c r="G677" s="36">
        <v>23.810000000000002</v>
      </c>
      <c r="H677" s="36">
        <f>'SalesData 2'!$F677-'SalesData 2'!$G677</f>
        <v>1.7899999999999991</v>
      </c>
    </row>
    <row r="678" spans="1:8" ht="14.4" x14ac:dyDescent="0.25">
      <c r="A678" s="40">
        <v>42175</v>
      </c>
      <c r="B678" s="25" t="s">
        <v>36</v>
      </c>
      <c r="C678" s="9" t="s">
        <v>58</v>
      </c>
      <c r="D678" s="25" t="s">
        <v>121</v>
      </c>
      <c r="E678" s="25" t="s">
        <v>128</v>
      </c>
      <c r="F678" s="26">
        <v>407.34</v>
      </c>
      <c r="G678" s="35">
        <v>366.60999999999996</v>
      </c>
      <c r="H678" s="35">
        <f>'SalesData 2'!$F678-'SalesData 2'!$G678</f>
        <v>40.730000000000018</v>
      </c>
    </row>
    <row r="679" spans="1:8" ht="14.4" x14ac:dyDescent="0.25">
      <c r="A679" s="41">
        <v>42176</v>
      </c>
      <c r="B679" s="29" t="s">
        <v>30</v>
      </c>
      <c r="C679" s="14" t="s">
        <v>88</v>
      </c>
      <c r="D679" s="29" t="s">
        <v>120</v>
      </c>
      <c r="E679" s="29" t="s">
        <v>130</v>
      </c>
      <c r="F679" s="30">
        <v>211.45</v>
      </c>
      <c r="G679" s="36">
        <v>213.56</v>
      </c>
      <c r="H679" s="36">
        <f>'SalesData 2'!$F679-'SalesData 2'!$G679</f>
        <v>-2.1100000000000136</v>
      </c>
    </row>
    <row r="680" spans="1:8" ht="14.4" x14ac:dyDescent="0.25">
      <c r="A680" s="40">
        <v>42177</v>
      </c>
      <c r="B680" s="25" t="s">
        <v>9</v>
      </c>
      <c r="C680" s="9" t="s">
        <v>95</v>
      </c>
      <c r="D680" s="25" t="s">
        <v>118</v>
      </c>
      <c r="E680" s="25" t="s">
        <v>129</v>
      </c>
      <c r="F680" s="26">
        <v>362.13</v>
      </c>
      <c r="G680" s="35">
        <v>358.51</v>
      </c>
      <c r="H680" s="35">
        <f>'SalesData 2'!$F680-'SalesData 2'!$G680</f>
        <v>3.6200000000000045</v>
      </c>
    </row>
    <row r="681" spans="1:8" ht="14.4" x14ac:dyDescent="0.25">
      <c r="A681" s="41">
        <v>42178</v>
      </c>
      <c r="B681" s="29" t="s">
        <v>48</v>
      </c>
      <c r="C681" s="14" t="s">
        <v>82</v>
      </c>
      <c r="D681" s="29" t="s">
        <v>122</v>
      </c>
      <c r="E681" s="29" t="s">
        <v>128</v>
      </c>
      <c r="F681" s="30">
        <v>860.98</v>
      </c>
      <c r="G681" s="36">
        <v>817.93000000000006</v>
      </c>
      <c r="H681" s="36">
        <f>'SalesData 2'!$F681-'SalesData 2'!$G681</f>
        <v>43.049999999999955</v>
      </c>
    </row>
    <row r="682" spans="1:8" ht="14.4" x14ac:dyDescent="0.25">
      <c r="A682" s="40">
        <v>42180</v>
      </c>
      <c r="B682" s="25" t="s">
        <v>15</v>
      </c>
      <c r="C682" s="9" t="s">
        <v>60</v>
      </c>
      <c r="D682" s="25" t="s">
        <v>118</v>
      </c>
      <c r="E682" s="25" t="s">
        <v>130</v>
      </c>
      <c r="F682" s="26">
        <v>933.98</v>
      </c>
      <c r="G682" s="35">
        <v>896.62</v>
      </c>
      <c r="H682" s="35">
        <f>'SalesData 2'!$F682-'SalesData 2'!$G682</f>
        <v>37.360000000000014</v>
      </c>
    </row>
    <row r="683" spans="1:8" ht="14.4" x14ac:dyDescent="0.25">
      <c r="A683" s="41">
        <v>42181</v>
      </c>
      <c r="B683" s="29" t="s">
        <v>48</v>
      </c>
      <c r="C683" s="14" t="s">
        <v>71</v>
      </c>
      <c r="D683" s="29" t="s">
        <v>122</v>
      </c>
      <c r="E683" s="29" t="s">
        <v>130</v>
      </c>
      <c r="F683" s="30">
        <v>528.27</v>
      </c>
      <c r="G683" s="36">
        <v>570.53</v>
      </c>
      <c r="H683" s="36">
        <f>'SalesData 2'!$F683-'SalesData 2'!$G683</f>
        <v>-42.259999999999991</v>
      </c>
    </row>
    <row r="684" spans="1:8" ht="14.4" x14ac:dyDescent="0.25">
      <c r="A684" s="40">
        <v>42182</v>
      </c>
      <c r="B684" s="25" t="s">
        <v>20</v>
      </c>
      <c r="C684" s="9" t="s">
        <v>112</v>
      </c>
      <c r="D684" s="25" t="s">
        <v>119</v>
      </c>
      <c r="E684" s="25" t="s">
        <v>128</v>
      </c>
      <c r="F684" s="26">
        <v>472.81</v>
      </c>
      <c r="G684" s="35">
        <v>430.26</v>
      </c>
      <c r="H684" s="35">
        <f>'SalesData 2'!$F684-'SalesData 2'!$G684</f>
        <v>42.550000000000011</v>
      </c>
    </row>
    <row r="685" spans="1:8" ht="14.4" x14ac:dyDescent="0.25">
      <c r="A685" s="41">
        <v>42182</v>
      </c>
      <c r="B685" s="29" t="s">
        <v>6</v>
      </c>
      <c r="C685" s="14" t="s">
        <v>81</v>
      </c>
      <c r="D685" s="29" t="s">
        <v>118</v>
      </c>
      <c r="E685" s="29" t="s">
        <v>129</v>
      </c>
      <c r="F685" s="30">
        <v>317.87</v>
      </c>
      <c r="G685" s="36">
        <v>286.08</v>
      </c>
      <c r="H685" s="36">
        <f>'SalesData 2'!$F685-'SalesData 2'!$G685</f>
        <v>31.79000000000002</v>
      </c>
    </row>
    <row r="686" spans="1:8" ht="14.4" x14ac:dyDescent="0.25">
      <c r="A686" s="40">
        <v>42183</v>
      </c>
      <c r="B686" s="25" t="s">
        <v>44</v>
      </c>
      <c r="C686" s="9" t="s">
        <v>104</v>
      </c>
      <c r="D686" s="25" t="s">
        <v>122</v>
      </c>
      <c r="E686" s="25" t="s">
        <v>129</v>
      </c>
      <c r="F686" s="26">
        <v>515.28</v>
      </c>
      <c r="G686" s="35">
        <v>525.58999999999992</v>
      </c>
      <c r="H686" s="35">
        <f>'SalesData 2'!$F686-'SalesData 2'!$G686</f>
        <v>-10.309999999999945</v>
      </c>
    </row>
    <row r="687" spans="1:8" ht="14.4" x14ac:dyDescent="0.25">
      <c r="A687" s="41">
        <v>42183</v>
      </c>
      <c r="B687" s="29" t="s">
        <v>48</v>
      </c>
      <c r="C687" s="14" t="s">
        <v>55</v>
      </c>
      <c r="D687" s="29" t="s">
        <v>122</v>
      </c>
      <c r="E687" s="29" t="s">
        <v>130</v>
      </c>
      <c r="F687" s="30">
        <v>2.69</v>
      </c>
      <c r="G687" s="36">
        <v>2.91</v>
      </c>
      <c r="H687" s="36">
        <f>'SalesData 2'!$F687-'SalesData 2'!$G687</f>
        <v>-0.2200000000000002</v>
      </c>
    </row>
    <row r="688" spans="1:8" ht="14.4" x14ac:dyDescent="0.25">
      <c r="A688" s="40">
        <v>42186</v>
      </c>
      <c r="B688" s="25" t="s">
        <v>22</v>
      </c>
      <c r="C688" s="9" t="s">
        <v>78</v>
      </c>
      <c r="D688" s="25" t="s">
        <v>119</v>
      </c>
      <c r="E688" s="25" t="s">
        <v>129</v>
      </c>
      <c r="F688" s="26">
        <v>475.2</v>
      </c>
      <c r="G688" s="35">
        <v>498.96</v>
      </c>
      <c r="H688" s="35">
        <f>'SalesData 2'!$F688-'SalesData 2'!$G688</f>
        <v>-23.759999999999991</v>
      </c>
    </row>
    <row r="689" spans="1:8" ht="14.4" x14ac:dyDescent="0.25">
      <c r="A689" s="41">
        <v>42193</v>
      </c>
      <c r="B689" s="29" t="s">
        <v>23</v>
      </c>
      <c r="C689" s="14" t="s">
        <v>109</v>
      </c>
      <c r="D689" s="29" t="s">
        <v>119</v>
      </c>
      <c r="E689" s="29" t="s">
        <v>128</v>
      </c>
      <c r="F689" s="30">
        <v>649.16</v>
      </c>
      <c r="G689" s="36">
        <v>616.69999999999993</v>
      </c>
      <c r="H689" s="36">
        <f>'SalesData 2'!$F689-'SalesData 2'!$G689</f>
        <v>32.460000000000036</v>
      </c>
    </row>
    <row r="690" spans="1:8" ht="14.4" x14ac:dyDescent="0.25">
      <c r="A690" s="40">
        <v>42199</v>
      </c>
      <c r="B690" s="25" t="s">
        <v>40</v>
      </c>
      <c r="C690" s="9" t="s">
        <v>65</v>
      </c>
      <c r="D690" s="25" t="s">
        <v>122</v>
      </c>
      <c r="E690" s="25" t="s">
        <v>130</v>
      </c>
      <c r="F690" s="26">
        <v>54.12</v>
      </c>
      <c r="G690" s="35">
        <v>49.79</v>
      </c>
      <c r="H690" s="35">
        <f>'SalesData 2'!$F690-'SalesData 2'!$G690</f>
        <v>4.3299999999999983</v>
      </c>
    </row>
    <row r="691" spans="1:8" ht="14.4" x14ac:dyDescent="0.25">
      <c r="A691" s="41">
        <v>42206</v>
      </c>
      <c r="B691" s="29" t="s">
        <v>17</v>
      </c>
      <c r="C691" s="14" t="s">
        <v>74</v>
      </c>
      <c r="D691" s="29" t="s">
        <v>119</v>
      </c>
      <c r="E691" s="29" t="s">
        <v>129</v>
      </c>
      <c r="F691" s="30">
        <v>9.16</v>
      </c>
      <c r="G691" s="36">
        <v>9.25</v>
      </c>
      <c r="H691" s="36">
        <f>'SalesData 2'!$F691-'SalesData 2'!$G691</f>
        <v>-8.9999999999999858E-2</v>
      </c>
    </row>
    <row r="692" spans="1:8" ht="14.4" x14ac:dyDescent="0.25">
      <c r="A692" s="40">
        <v>42207</v>
      </c>
      <c r="B692" s="25" t="s">
        <v>18</v>
      </c>
      <c r="C692" s="9" t="s">
        <v>64</v>
      </c>
      <c r="D692" s="25" t="s">
        <v>119</v>
      </c>
      <c r="E692" s="25" t="s">
        <v>129</v>
      </c>
      <c r="F692" s="26">
        <v>586.1</v>
      </c>
      <c r="G692" s="35">
        <v>562.66</v>
      </c>
      <c r="H692" s="35">
        <f>'SalesData 2'!$F692-'SalesData 2'!$G692</f>
        <v>23.440000000000055</v>
      </c>
    </row>
    <row r="693" spans="1:8" ht="14.4" x14ac:dyDescent="0.25">
      <c r="A693" s="41">
        <v>42207</v>
      </c>
      <c r="B693" s="29" t="s">
        <v>48</v>
      </c>
      <c r="C693" s="14" t="s">
        <v>82</v>
      </c>
      <c r="D693" s="29" t="s">
        <v>122</v>
      </c>
      <c r="E693" s="29" t="s">
        <v>130</v>
      </c>
      <c r="F693" s="30">
        <v>717.28</v>
      </c>
      <c r="G693" s="36">
        <v>674.24</v>
      </c>
      <c r="H693" s="36">
        <f>'SalesData 2'!$F693-'SalesData 2'!$G693</f>
        <v>43.039999999999964</v>
      </c>
    </row>
    <row r="694" spans="1:8" ht="14.4" x14ac:dyDescent="0.25">
      <c r="A694" s="40">
        <v>42207</v>
      </c>
      <c r="B694" s="25" t="s">
        <v>36</v>
      </c>
      <c r="C694" s="9" t="s">
        <v>59</v>
      </c>
      <c r="D694" s="25" t="s">
        <v>121</v>
      </c>
      <c r="E694" s="25" t="s">
        <v>128</v>
      </c>
      <c r="F694" s="26">
        <v>953.06</v>
      </c>
      <c r="G694" s="35">
        <v>876.81999999999994</v>
      </c>
      <c r="H694" s="35">
        <f>'SalesData 2'!$F694-'SalesData 2'!$G694</f>
        <v>76.240000000000009</v>
      </c>
    </row>
    <row r="695" spans="1:8" ht="14.4" x14ac:dyDescent="0.25">
      <c r="A695" s="41">
        <v>42210</v>
      </c>
      <c r="B695" s="29" t="s">
        <v>34</v>
      </c>
      <c r="C695" s="14" t="s">
        <v>105</v>
      </c>
      <c r="D695" s="29" t="s">
        <v>121</v>
      </c>
      <c r="E695" s="29" t="s">
        <v>128</v>
      </c>
      <c r="F695" s="30">
        <v>704.69</v>
      </c>
      <c r="G695" s="36">
        <v>634.22</v>
      </c>
      <c r="H695" s="36">
        <f>'SalesData 2'!$F695-'SalesData 2'!$G695</f>
        <v>70.470000000000027</v>
      </c>
    </row>
    <row r="696" spans="1:8" ht="14.4" x14ac:dyDescent="0.25">
      <c r="A696" s="40">
        <v>42211</v>
      </c>
      <c r="B696" s="25" t="s">
        <v>36</v>
      </c>
      <c r="C696" s="9" t="s">
        <v>57</v>
      </c>
      <c r="D696" s="25" t="s">
        <v>121</v>
      </c>
      <c r="E696" s="25" t="s">
        <v>128</v>
      </c>
      <c r="F696" s="26">
        <v>808.04</v>
      </c>
      <c r="G696" s="35">
        <v>856.52</v>
      </c>
      <c r="H696" s="35">
        <f>'SalesData 2'!$F696-'SalesData 2'!$G696</f>
        <v>-48.480000000000018</v>
      </c>
    </row>
    <row r="697" spans="1:8" ht="14.4" x14ac:dyDescent="0.25">
      <c r="A697" s="41">
        <v>42212</v>
      </c>
      <c r="B697" s="29" t="s">
        <v>0</v>
      </c>
      <c r="C697" s="14" t="s">
        <v>114</v>
      </c>
      <c r="D697" s="29" t="s">
        <v>118</v>
      </c>
      <c r="E697" s="29" t="s">
        <v>128</v>
      </c>
      <c r="F697" s="30">
        <v>861.38</v>
      </c>
      <c r="G697" s="36">
        <v>852.77</v>
      </c>
      <c r="H697" s="36">
        <f>'SalesData 2'!$F697-'SalesData 2'!$G697</f>
        <v>8.6100000000000136</v>
      </c>
    </row>
    <row r="698" spans="1:8" ht="14.4" x14ac:dyDescent="0.25">
      <c r="A698" s="40">
        <v>42213</v>
      </c>
      <c r="B698" s="25" t="s">
        <v>19</v>
      </c>
      <c r="C698" s="9" t="s">
        <v>113</v>
      </c>
      <c r="D698" s="25" t="s">
        <v>119</v>
      </c>
      <c r="E698" s="25" t="s">
        <v>130</v>
      </c>
      <c r="F698" s="26">
        <v>168.78</v>
      </c>
      <c r="G698" s="35">
        <v>178.91</v>
      </c>
      <c r="H698" s="35">
        <f>'SalesData 2'!$F698-'SalesData 2'!$G698</f>
        <v>-10.129999999999995</v>
      </c>
    </row>
    <row r="699" spans="1:8" ht="14.4" x14ac:dyDescent="0.25">
      <c r="A699" s="41">
        <v>42213</v>
      </c>
      <c r="B699" s="29" t="s">
        <v>25</v>
      </c>
      <c r="C699" s="14" t="s">
        <v>94</v>
      </c>
      <c r="D699" s="29" t="s">
        <v>119</v>
      </c>
      <c r="E699" s="29" t="s">
        <v>129</v>
      </c>
      <c r="F699" s="30">
        <v>898.29</v>
      </c>
      <c r="G699" s="36">
        <v>844.39</v>
      </c>
      <c r="H699" s="36">
        <f>'SalesData 2'!$F699-'SalesData 2'!$G699</f>
        <v>53.899999999999977</v>
      </c>
    </row>
    <row r="700" spans="1:8" ht="14.4" x14ac:dyDescent="0.25">
      <c r="A700" s="40">
        <v>42217</v>
      </c>
      <c r="B700" s="25" t="s">
        <v>22</v>
      </c>
      <c r="C700" s="9" t="s">
        <v>76</v>
      </c>
      <c r="D700" s="25" t="s">
        <v>119</v>
      </c>
      <c r="E700" s="25" t="s">
        <v>129</v>
      </c>
      <c r="F700" s="26">
        <v>91.24</v>
      </c>
      <c r="G700" s="35">
        <v>98.539999999999992</v>
      </c>
      <c r="H700" s="35">
        <f>'SalesData 2'!$F700-'SalesData 2'!$G700</f>
        <v>-7.2999999999999972</v>
      </c>
    </row>
    <row r="701" spans="1:8" ht="14.4" x14ac:dyDescent="0.25">
      <c r="A701" s="41">
        <v>42218</v>
      </c>
      <c r="B701" s="29" t="s">
        <v>41</v>
      </c>
      <c r="C701" s="14" t="s">
        <v>68</v>
      </c>
      <c r="D701" s="29" t="s">
        <v>122</v>
      </c>
      <c r="E701" s="29" t="s">
        <v>128</v>
      </c>
      <c r="F701" s="30">
        <v>220.89</v>
      </c>
      <c r="G701" s="36">
        <v>220.89</v>
      </c>
      <c r="H701" s="36">
        <f>'SalesData 2'!$F701-'SalesData 2'!$G701</f>
        <v>0</v>
      </c>
    </row>
    <row r="702" spans="1:8" ht="14.4" x14ac:dyDescent="0.25">
      <c r="A702" s="40">
        <v>42218</v>
      </c>
      <c r="B702" s="25" t="s">
        <v>29</v>
      </c>
      <c r="C702" s="9" t="s">
        <v>98</v>
      </c>
      <c r="D702" s="25" t="s">
        <v>120</v>
      </c>
      <c r="E702" s="25" t="s">
        <v>129</v>
      </c>
      <c r="F702" s="26">
        <v>150.54</v>
      </c>
      <c r="G702" s="35">
        <v>162.57999999999998</v>
      </c>
      <c r="H702" s="35">
        <f>'SalesData 2'!$F702-'SalesData 2'!$G702</f>
        <v>-12.039999999999992</v>
      </c>
    </row>
    <row r="703" spans="1:8" ht="14.4" x14ac:dyDescent="0.25">
      <c r="A703" s="41">
        <v>42219</v>
      </c>
      <c r="B703" s="29" t="s">
        <v>21</v>
      </c>
      <c r="C703" s="14" t="s">
        <v>79</v>
      </c>
      <c r="D703" s="29" t="s">
        <v>119</v>
      </c>
      <c r="E703" s="29" t="s">
        <v>129</v>
      </c>
      <c r="F703" s="30">
        <v>146.09</v>
      </c>
      <c r="G703" s="36">
        <v>134.4</v>
      </c>
      <c r="H703" s="36">
        <f>'SalesData 2'!$F703-'SalesData 2'!$G703</f>
        <v>11.689999999999998</v>
      </c>
    </row>
    <row r="704" spans="1:8" ht="14.4" x14ac:dyDescent="0.25">
      <c r="A704" s="40">
        <v>42220</v>
      </c>
      <c r="B704" s="25" t="s">
        <v>45</v>
      </c>
      <c r="C704" s="9" t="s">
        <v>101</v>
      </c>
      <c r="D704" s="25" t="s">
        <v>122</v>
      </c>
      <c r="E704" s="25" t="s">
        <v>129</v>
      </c>
      <c r="F704" s="26">
        <v>77.849999999999994</v>
      </c>
      <c r="G704" s="35">
        <v>84.08</v>
      </c>
      <c r="H704" s="35">
        <f>'SalesData 2'!$F704-'SalesData 2'!$G704</f>
        <v>-6.230000000000004</v>
      </c>
    </row>
    <row r="705" spans="1:8" ht="14.4" x14ac:dyDescent="0.25">
      <c r="A705" s="41">
        <v>42223</v>
      </c>
      <c r="B705" s="29" t="s">
        <v>36</v>
      </c>
      <c r="C705" s="14" t="s">
        <v>58</v>
      </c>
      <c r="D705" s="29" t="s">
        <v>121</v>
      </c>
      <c r="E705" s="29" t="s">
        <v>129</v>
      </c>
      <c r="F705" s="30">
        <v>263.38</v>
      </c>
      <c r="G705" s="36">
        <v>271.27999999999997</v>
      </c>
      <c r="H705" s="36">
        <f>'SalesData 2'!$F705-'SalesData 2'!$G705</f>
        <v>-7.8999999999999773</v>
      </c>
    </row>
    <row r="706" spans="1:8" ht="14.4" x14ac:dyDescent="0.25">
      <c r="A706" s="40">
        <v>42223</v>
      </c>
      <c r="B706" s="25" t="s">
        <v>31</v>
      </c>
      <c r="C706" s="9" t="s">
        <v>85</v>
      </c>
      <c r="D706" s="25" t="s">
        <v>120</v>
      </c>
      <c r="E706" s="25" t="s">
        <v>129</v>
      </c>
      <c r="F706" s="26">
        <v>511.56</v>
      </c>
      <c r="G706" s="35">
        <v>526.91</v>
      </c>
      <c r="H706" s="35">
        <f>'SalesData 2'!$F706-'SalesData 2'!$G706</f>
        <v>-15.349999999999966</v>
      </c>
    </row>
    <row r="707" spans="1:8" ht="14.4" x14ac:dyDescent="0.25">
      <c r="A707" s="41">
        <v>42224</v>
      </c>
      <c r="B707" s="29" t="s">
        <v>50</v>
      </c>
      <c r="C707" s="14" t="s">
        <v>92</v>
      </c>
      <c r="D707" s="29" t="s">
        <v>122</v>
      </c>
      <c r="E707" s="29" t="s">
        <v>130</v>
      </c>
      <c r="F707" s="30">
        <v>400.86</v>
      </c>
      <c r="G707" s="36">
        <v>404.87</v>
      </c>
      <c r="H707" s="36">
        <f>'SalesData 2'!$F707-'SalesData 2'!$G707</f>
        <v>-4.0099999999999909</v>
      </c>
    </row>
    <row r="708" spans="1:8" ht="14.4" x14ac:dyDescent="0.25">
      <c r="A708" s="40">
        <v>42225</v>
      </c>
      <c r="B708" s="25" t="s">
        <v>39</v>
      </c>
      <c r="C708" s="9" t="s">
        <v>75</v>
      </c>
      <c r="D708" s="25" t="s">
        <v>122</v>
      </c>
      <c r="E708" s="25" t="s">
        <v>130</v>
      </c>
      <c r="F708" s="26">
        <v>977.29</v>
      </c>
      <c r="G708" s="35">
        <v>1035.93</v>
      </c>
      <c r="H708" s="35">
        <f>'SalesData 2'!$F708-'SalesData 2'!$G708</f>
        <v>-58.6400000000001</v>
      </c>
    </row>
    <row r="709" spans="1:8" ht="14.4" x14ac:dyDescent="0.25">
      <c r="A709" s="41">
        <v>42225</v>
      </c>
      <c r="B709" s="29" t="s">
        <v>5</v>
      </c>
      <c r="C709" s="14" t="s">
        <v>102</v>
      </c>
      <c r="D709" s="29" t="s">
        <v>118</v>
      </c>
      <c r="E709" s="29" t="s">
        <v>129</v>
      </c>
      <c r="F709" s="30">
        <v>946.35</v>
      </c>
      <c r="G709" s="36">
        <v>861.18000000000006</v>
      </c>
      <c r="H709" s="36">
        <f>'SalesData 2'!$F709-'SalesData 2'!$G709</f>
        <v>85.169999999999959</v>
      </c>
    </row>
    <row r="710" spans="1:8" ht="14.4" x14ac:dyDescent="0.25">
      <c r="A710" s="40">
        <v>42226</v>
      </c>
      <c r="B710" s="25" t="s">
        <v>10</v>
      </c>
      <c r="C710" s="9" t="s">
        <v>93</v>
      </c>
      <c r="D710" s="25" t="s">
        <v>118</v>
      </c>
      <c r="E710" s="25" t="s">
        <v>128</v>
      </c>
      <c r="F710" s="26">
        <v>52.28</v>
      </c>
      <c r="G710" s="35">
        <v>49.14</v>
      </c>
      <c r="H710" s="35">
        <f>'SalesData 2'!$F710-'SalesData 2'!$G710</f>
        <v>3.1400000000000006</v>
      </c>
    </row>
    <row r="711" spans="1:8" ht="14.4" x14ac:dyDescent="0.25">
      <c r="A711" s="41">
        <v>42226</v>
      </c>
      <c r="B711" s="29" t="s">
        <v>37</v>
      </c>
      <c r="C711" s="14" t="s">
        <v>87</v>
      </c>
      <c r="D711" s="29" t="s">
        <v>121</v>
      </c>
      <c r="E711" s="29" t="s">
        <v>128</v>
      </c>
      <c r="F711" s="30">
        <v>401.44</v>
      </c>
      <c r="G711" s="36">
        <v>425.53</v>
      </c>
      <c r="H711" s="36">
        <f>'SalesData 2'!$F711-'SalesData 2'!$G711</f>
        <v>-24.089999999999975</v>
      </c>
    </row>
    <row r="712" spans="1:8" ht="14.4" x14ac:dyDescent="0.25">
      <c r="A712" s="40">
        <v>42226</v>
      </c>
      <c r="B712" s="25" t="s">
        <v>32</v>
      </c>
      <c r="C712" s="9" t="s">
        <v>126</v>
      </c>
      <c r="D712" s="25" t="s">
        <v>120</v>
      </c>
      <c r="E712" s="25" t="s">
        <v>130</v>
      </c>
      <c r="F712" s="26">
        <v>74.45</v>
      </c>
      <c r="G712" s="35">
        <v>80.41</v>
      </c>
      <c r="H712" s="35">
        <f>'SalesData 2'!$F712-'SalesData 2'!$G712</f>
        <v>-5.9599999999999937</v>
      </c>
    </row>
    <row r="713" spans="1:8" ht="14.4" x14ac:dyDescent="0.25">
      <c r="A713" s="41">
        <v>42227</v>
      </c>
      <c r="B713" s="29" t="s">
        <v>18</v>
      </c>
      <c r="C713" s="14" t="s">
        <v>64</v>
      </c>
      <c r="D713" s="29" t="s">
        <v>119</v>
      </c>
      <c r="E713" s="29" t="s">
        <v>129</v>
      </c>
      <c r="F713" s="30">
        <v>840.76</v>
      </c>
      <c r="G713" s="36">
        <v>849.17</v>
      </c>
      <c r="H713" s="36">
        <f>'SalesData 2'!$F713-'SalesData 2'!$G713</f>
        <v>-8.4099999999999682</v>
      </c>
    </row>
    <row r="714" spans="1:8" ht="14.4" x14ac:dyDescent="0.25">
      <c r="A714" s="40">
        <v>42227</v>
      </c>
      <c r="B714" s="25" t="s">
        <v>51</v>
      </c>
      <c r="C714" s="9" t="s">
        <v>86</v>
      </c>
      <c r="D714" s="25" t="s">
        <v>122</v>
      </c>
      <c r="E714" s="25" t="s">
        <v>130</v>
      </c>
      <c r="F714" s="26">
        <v>875.44</v>
      </c>
      <c r="G714" s="35">
        <v>919.21</v>
      </c>
      <c r="H714" s="35">
        <f>'SalesData 2'!$F714-'SalesData 2'!$G714</f>
        <v>-43.769999999999982</v>
      </c>
    </row>
    <row r="715" spans="1:8" ht="14.4" x14ac:dyDescent="0.25">
      <c r="A715" s="41">
        <v>42229</v>
      </c>
      <c r="B715" s="29" t="s">
        <v>38</v>
      </c>
      <c r="C715" s="14" t="s">
        <v>116</v>
      </c>
      <c r="D715" s="29" t="s">
        <v>122</v>
      </c>
      <c r="E715" s="29" t="s">
        <v>128</v>
      </c>
      <c r="F715" s="30">
        <v>501.03</v>
      </c>
      <c r="G715" s="36">
        <v>480.98999999999995</v>
      </c>
      <c r="H715" s="36">
        <f>'SalesData 2'!$F715-'SalesData 2'!$G715</f>
        <v>20.04000000000002</v>
      </c>
    </row>
    <row r="716" spans="1:8" ht="14.4" x14ac:dyDescent="0.25">
      <c r="A716" s="40">
        <v>42229</v>
      </c>
      <c r="B716" s="25" t="s">
        <v>40</v>
      </c>
      <c r="C716" s="9" t="s">
        <v>111</v>
      </c>
      <c r="D716" s="25" t="s">
        <v>122</v>
      </c>
      <c r="E716" s="25" t="s">
        <v>128</v>
      </c>
      <c r="F716" s="26">
        <v>743.91</v>
      </c>
      <c r="G716" s="35">
        <v>669.52</v>
      </c>
      <c r="H716" s="35">
        <f>'SalesData 2'!$F716-'SalesData 2'!$G716</f>
        <v>74.389999999999986</v>
      </c>
    </row>
    <row r="717" spans="1:8" ht="14.4" x14ac:dyDescent="0.25">
      <c r="A717" s="41">
        <v>42230</v>
      </c>
      <c r="B717" s="29" t="s">
        <v>4</v>
      </c>
      <c r="C717" s="14" t="s">
        <v>70</v>
      </c>
      <c r="D717" s="29" t="s">
        <v>118</v>
      </c>
      <c r="E717" s="29" t="s">
        <v>129</v>
      </c>
      <c r="F717" s="30">
        <v>759.18</v>
      </c>
      <c r="G717" s="36">
        <v>774.3599999999999</v>
      </c>
      <c r="H717" s="36">
        <f>'SalesData 2'!$F717-'SalesData 2'!$G717</f>
        <v>-15.17999999999995</v>
      </c>
    </row>
    <row r="718" spans="1:8" ht="14.4" x14ac:dyDescent="0.25">
      <c r="A718" s="40">
        <v>42232</v>
      </c>
      <c r="B718" s="25" t="s">
        <v>51</v>
      </c>
      <c r="C718" s="9" t="s">
        <v>86</v>
      </c>
      <c r="D718" s="25" t="s">
        <v>122</v>
      </c>
      <c r="E718" s="25" t="s">
        <v>129</v>
      </c>
      <c r="F718" s="26">
        <v>660.33</v>
      </c>
      <c r="G718" s="35">
        <v>680.14</v>
      </c>
      <c r="H718" s="35">
        <f>'SalesData 2'!$F718-'SalesData 2'!$G718</f>
        <v>-19.809999999999945</v>
      </c>
    </row>
    <row r="719" spans="1:8" ht="14.4" x14ac:dyDescent="0.25">
      <c r="A719" s="41">
        <v>42233</v>
      </c>
      <c r="B719" s="29" t="s">
        <v>38</v>
      </c>
      <c r="C719" s="14" t="s">
        <v>62</v>
      </c>
      <c r="D719" s="29" t="s">
        <v>122</v>
      </c>
      <c r="E719" s="29" t="s">
        <v>128</v>
      </c>
      <c r="F719" s="30">
        <v>518.9</v>
      </c>
      <c r="G719" s="36">
        <v>482.58</v>
      </c>
      <c r="H719" s="36">
        <f>'SalesData 2'!$F719-'SalesData 2'!$G719</f>
        <v>36.319999999999993</v>
      </c>
    </row>
    <row r="720" spans="1:8" ht="14.4" x14ac:dyDescent="0.25">
      <c r="A720" s="40">
        <v>42233</v>
      </c>
      <c r="B720" s="25" t="s">
        <v>3</v>
      </c>
      <c r="C720" s="9" t="s">
        <v>66</v>
      </c>
      <c r="D720" s="25" t="s">
        <v>118</v>
      </c>
      <c r="E720" s="25" t="s">
        <v>129</v>
      </c>
      <c r="F720" s="26">
        <v>624.27</v>
      </c>
      <c r="G720" s="35">
        <v>574.32999999999993</v>
      </c>
      <c r="H720" s="35">
        <f>'SalesData 2'!$F720-'SalesData 2'!$G720</f>
        <v>49.940000000000055</v>
      </c>
    </row>
    <row r="721" spans="1:8" ht="14.4" x14ac:dyDescent="0.25">
      <c r="A721" s="41">
        <v>42233</v>
      </c>
      <c r="B721" s="29" t="s">
        <v>48</v>
      </c>
      <c r="C721" s="14" t="s">
        <v>71</v>
      </c>
      <c r="D721" s="29" t="s">
        <v>122</v>
      </c>
      <c r="E721" s="29" t="s">
        <v>128</v>
      </c>
      <c r="F721" s="30">
        <v>83.74</v>
      </c>
      <c r="G721" s="36">
        <v>82.07</v>
      </c>
      <c r="H721" s="36">
        <f>'SalesData 2'!$F721-'SalesData 2'!$G721</f>
        <v>1.6700000000000017</v>
      </c>
    </row>
    <row r="722" spans="1:8" ht="14.4" x14ac:dyDescent="0.25">
      <c r="A722" s="40">
        <v>42233</v>
      </c>
      <c r="B722" s="25" t="s">
        <v>12</v>
      </c>
      <c r="C722" s="9" t="s">
        <v>89</v>
      </c>
      <c r="D722" s="25" t="s">
        <v>118</v>
      </c>
      <c r="E722" s="25" t="s">
        <v>130</v>
      </c>
      <c r="F722" s="26">
        <v>142.9</v>
      </c>
      <c r="G722" s="35">
        <v>140.04</v>
      </c>
      <c r="H722" s="35">
        <f>'SalesData 2'!$F722-'SalesData 2'!$G722</f>
        <v>2.8600000000000136</v>
      </c>
    </row>
    <row r="723" spans="1:8" ht="14.4" x14ac:dyDescent="0.25">
      <c r="A723" s="41">
        <v>42234</v>
      </c>
      <c r="B723" s="29" t="s">
        <v>41</v>
      </c>
      <c r="C723" s="14" t="s">
        <v>68</v>
      </c>
      <c r="D723" s="29" t="s">
        <v>122</v>
      </c>
      <c r="E723" s="29" t="s">
        <v>128</v>
      </c>
      <c r="F723" s="30">
        <v>251.91</v>
      </c>
      <c r="G723" s="36">
        <v>231.76</v>
      </c>
      <c r="H723" s="36">
        <f>'SalesData 2'!$F723-'SalesData 2'!$G723</f>
        <v>20.150000000000006</v>
      </c>
    </row>
    <row r="724" spans="1:8" ht="14.4" x14ac:dyDescent="0.25">
      <c r="A724" s="40">
        <v>42234</v>
      </c>
      <c r="B724" s="25" t="s">
        <v>14</v>
      </c>
      <c r="C724" s="9" t="s">
        <v>83</v>
      </c>
      <c r="D724" s="25" t="s">
        <v>118</v>
      </c>
      <c r="E724" s="25" t="s">
        <v>130</v>
      </c>
      <c r="F724" s="26">
        <v>846.06</v>
      </c>
      <c r="G724" s="35">
        <v>786.83999999999992</v>
      </c>
      <c r="H724" s="35">
        <f>'SalesData 2'!$F724-'SalesData 2'!$G724</f>
        <v>59.220000000000027</v>
      </c>
    </row>
    <row r="725" spans="1:8" ht="14.4" x14ac:dyDescent="0.25">
      <c r="A725" s="41">
        <v>42235</v>
      </c>
      <c r="B725" s="29" t="s">
        <v>33</v>
      </c>
      <c r="C725" s="14" t="s">
        <v>115</v>
      </c>
      <c r="D725" s="29" t="s">
        <v>121</v>
      </c>
      <c r="E725" s="29" t="s">
        <v>128</v>
      </c>
      <c r="F725" s="30">
        <v>93.74</v>
      </c>
      <c r="G725" s="36">
        <v>91.86999999999999</v>
      </c>
      <c r="H725" s="36">
        <f>'SalesData 2'!$F725-'SalesData 2'!$G725</f>
        <v>1.8700000000000045</v>
      </c>
    </row>
    <row r="726" spans="1:8" ht="14.4" x14ac:dyDescent="0.25">
      <c r="A726" s="40">
        <v>42235</v>
      </c>
      <c r="B726" s="25" t="s">
        <v>32</v>
      </c>
      <c r="C726" s="9" t="s">
        <v>126</v>
      </c>
      <c r="D726" s="25" t="s">
        <v>120</v>
      </c>
      <c r="E726" s="25" t="s">
        <v>128</v>
      </c>
      <c r="F726" s="26">
        <v>759.65</v>
      </c>
      <c r="G726" s="35">
        <v>744.45999999999992</v>
      </c>
      <c r="H726" s="35">
        <f>'SalesData 2'!$F726-'SalesData 2'!$G726</f>
        <v>15.190000000000055</v>
      </c>
    </row>
    <row r="727" spans="1:8" ht="14.4" x14ac:dyDescent="0.25">
      <c r="A727" s="41">
        <v>42236</v>
      </c>
      <c r="B727" s="29" t="s">
        <v>2</v>
      </c>
      <c r="C727" s="14" t="s">
        <v>108</v>
      </c>
      <c r="D727" s="29" t="s">
        <v>118</v>
      </c>
      <c r="E727" s="29" t="s">
        <v>129</v>
      </c>
      <c r="F727" s="30">
        <v>126.3</v>
      </c>
      <c r="G727" s="36">
        <v>123.77</v>
      </c>
      <c r="H727" s="36">
        <f>'SalesData 2'!$F727-'SalesData 2'!$G727</f>
        <v>2.5300000000000011</v>
      </c>
    </row>
    <row r="728" spans="1:8" ht="14.4" x14ac:dyDescent="0.25">
      <c r="A728" s="40">
        <v>42236</v>
      </c>
      <c r="B728" s="25" t="s">
        <v>28</v>
      </c>
      <c r="C728" s="9" t="s">
        <v>103</v>
      </c>
      <c r="D728" s="25" t="s">
        <v>120</v>
      </c>
      <c r="E728" s="25" t="s">
        <v>130</v>
      </c>
      <c r="F728" s="26">
        <v>434.16</v>
      </c>
      <c r="G728" s="35">
        <v>416.79</v>
      </c>
      <c r="H728" s="35">
        <f>'SalesData 2'!$F728-'SalesData 2'!$G728</f>
        <v>17.370000000000005</v>
      </c>
    </row>
    <row r="729" spans="1:8" ht="14.4" x14ac:dyDescent="0.25">
      <c r="A729" s="41">
        <v>42236</v>
      </c>
      <c r="B729" s="29" t="s">
        <v>35</v>
      </c>
      <c r="C729" s="14" t="s">
        <v>97</v>
      </c>
      <c r="D729" s="29" t="s">
        <v>121</v>
      </c>
      <c r="E729" s="29" t="s">
        <v>128</v>
      </c>
      <c r="F729" s="30">
        <v>88.06</v>
      </c>
      <c r="G729" s="36">
        <v>80.13</v>
      </c>
      <c r="H729" s="36">
        <f>'SalesData 2'!$F729-'SalesData 2'!$G729</f>
        <v>7.9300000000000068</v>
      </c>
    </row>
    <row r="730" spans="1:8" ht="14.4" x14ac:dyDescent="0.25">
      <c r="A730" s="40">
        <v>42238</v>
      </c>
      <c r="B730" s="25" t="s">
        <v>6</v>
      </c>
      <c r="C730" s="9" t="s">
        <v>81</v>
      </c>
      <c r="D730" s="25" t="s">
        <v>118</v>
      </c>
      <c r="E730" s="25" t="s">
        <v>130</v>
      </c>
      <c r="F730" s="26">
        <v>891.98</v>
      </c>
      <c r="G730" s="35">
        <v>847.38</v>
      </c>
      <c r="H730" s="35">
        <f>'SalesData 2'!$F730-'SalesData 2'!$G730</f>
        <v>44.600000000000023</v>
      </c>
    </row>
    <row r="731" spans="1:8" ht="14.4" x14ac:dyDescent="0.25">
      <c r="A731" s="41">
        <v>42238</v>
      </c>
      <c r="B731" s="29" t="s">
        <v>36</v>
      </c>
      <c r="C731" s="14" t="s">
        <v>59</v>
      </c>
      <c r="D731" s="29" t="s">
        <v>121</v>
      </c>
      <c r="E731" s="29" t="s">
        <v>129</v>
      </c>
      <c r="F731" s="30">
        <v>521.94000000000005</v>
      </c>
      <c r="G731" s="36">
        <v>563.70000000000005</v>
      </c>
      <c r="H731" s="36">
        <f>'SalesData 2'!$F731-'SalesData 2'!$G731</f>
        <v>-41.759999999999991</v>
      </c>
    </row>
    <row r="732" spans="1:8" ht="14.4" x14ac:dyDescent="0.25">
      <c r="A732" s="40">
        <v>42239</v>
      </c>
      <c r="B732" s="25" t="s">
        <v>25</v>
      </c>
      <c r="C732" s="9" t="s">
        <v>94</v>
      </c>
      <c r="D732" s="25" t="s">
        <v>119</v>
      </c>
      <c r="E732" s="25" t="s">
        <v>129</v>
      </c>
      <c r="F732" s="26">
        <v>982.56</v>
      </c>
      <c r="G732" s="35">
        <v>1051.3399999999999</v>
      </c>
      <c r="H732" s="35">
        <f>'SalesData 2'!$F732-'SalesData 2'!$G732</f>
        <v>-68.779999999999973</v>
      </c>
    </row>
    <row r="733" spans="1:8" ht="14.4" x14ac:dyDescent="0.25">
      <c r="A733" s="41">
        <v>42240</v>
      </c>
      <c r="B733" s="29" t="s">
        <v>22</v>
      </c>
      <c r="C733" s="14" t="s">
        <v>77</v>
      </c>
      <c r="D733" s="29" t="s">
        <v>119</v>
      </c>
      <c r="E733" s="29" t="s">
        <v>129</v>
      </c>
      <c r="F733" s="30">
        <v>158.63999999999999</v>
      </c>
      <c r="G733" s="36">
        <v>142.77999999999997</v>
      </c>
      <c r="H733" s="36">
        <f>'SalesData 2'!$F733-'SalesData 2'!$G733</f>
        <v>15.860000000000014</v>
      </c>
    </row>
    <row r="734" spans="1:8" ht="14.4" x14ac:dyDescent="0.25">
      <c r="A734" s="40">
        <v>42241</v>
      </c>
      <c r="B734" s="25" t="s">
        <v>36</v>
      </c>
      <c r="C734" s="9" t="s">
        <v>57</v>
      </c>
      <c r="D734" s="25" t="s">
        <v>121</v>
      </c>
      <c r="E734" s="25" t="s">
        <v>129</v>
      </c>
      <c r="F734" s="26">
        <v>317.39999999999998</v>
      </c>
      <c r="G734" s="35">
        <v>311.04999999999995</v>
      </c>
      <c r="H734" s="35">
        <f>'SalesData 2'!$F734-'SalesData 2'!$G734</f>
        <v>6.3500000000000227</v>
      </c>
    </row>
    <row r="735" spans="1:8" ht="14.4" x14ac:dyDescent="0.25">
      <c r="A735" s="41">
        <v>42243</v>
      </c>
      <c r="B735" s="29" t="s">
        <v>48</v>
      </c>
      <c r="C735" s="14" t="s">
        <v>56</v>
      </c>
      <c r="D735" s="29" t="s">
        <v>122</v>
      </c>
      <c r="E735" s="29" t="s">
        <v>130</v>
      </c>
      <c r="F735" s="30">
        <v>51.79</v>
      </c>
      <c r="G735" s="36">
        <v>51.269999999999996</v>
      </c>
      <c r="H735" s="36">
        <f>'SalesData 2'!$F735-'SalesData 2'!$G735</f>
        <v>0.52000000000000313</v>
      </c>
    </row>
    <row r="736" spans="1:8" ht="14.4" x14ac:dyDescent="0.25">
      <c r="A736" s="40">
        <v>42248</v>
      </c>
      <c r="B736" s="25" t="s">
        <v>10</v>
      </c>
      <c r="C736" s="9" t="s">
        <v>93</v>
      </c>
      <c r="D736" s="25" t="s">
        <v>118</v>
      </c>
      <c r="E736" s="25" t="s">
        <v>129</v>
      </c>
      <c r="F736" s="26">
        <v>439.66</v>
      </c>
      <c r="G736" s="35">
        <v>461.64000000000004</v>
      </c>
      <c r="H736" s="35">
        <f>'SalesData 2'!$F736-'SalesData 2'!$G736</f>
        <v>-21.980000000000018</v>
      </c>
    </row>
    <row r="737" spans="1:8" ht="14.4" x14ac:dyDescent="0.25">
      <c r="A737" s="41">
        <v>42250</v>
      </c>
      <c r="B737" s="29" t="s">
        <v>17</v>
      </c>
      <c r="C737" s="14" t="s">
        <v>74</v>
      </c>
      <c r="D737" s="29" t="s">
        <v>119</v>
      </c>
      <c r="E737" s="29" t="s">
        <v>129</v>
      </c>
      <c r="F737" s="30">
        <v>693.91</v>
      </c>
      <c r="G737" s="36">
        <v>659.20999999999992</v>
      </c>
      <c r="H737" s="36">
        <f>'SalesData 2'!$F737-'SalesData 2'!$G737</f>
        <v>34.700000000000045</v>
      </c>
    </row>
    <row r="738" spans="1:8" ht="14.4" x14ac:dyDescent="0.25">
      <c r="A738" s="40">
        <v>42250</v>
      </c>
      <c r="B738" s="25" t="s">
        <v>34</v>
      </c>
      <c r="C738" s="9" t="s">
        <v>105</v>
      </c>
      <c r="D738" s="25" t="s">
        <v>121</v>
      </c>
      <c r="E738" s="25" t="s">
        <v>129</v>
      </c>
      <c r="F738" s="26">
        <v>53.57</v>
      </c>
      <c r="G738" s="35">
        <v>57.86</v>
      </c>
      <c r="H738" s="35">
        <f>'SalesData 2'!$F738-'SalesData 2'!$G738</f>
        <v>-4.2899999999999991</v>
      </c>
    </row>
    <row r="739" spans="1:8" ht="14.4" x14ac:dyDescent="0.25">
      <c r="A739" s="41">
        <v>42251</v>
      </c>
      <c r="B739" s="29" t="s">
        <v>1</v>
      </c>
      <c r="C739" s="14" t="s">
        <v>1</v>
      </c>
      <c r="D739" s="29" t="s">
        <v>118</v>
      </c>
      <c r="E739" s="29" t="s">
        <v>128</v>
      </c>
      <c r="F739" s="30">
        <v>952.85</v>
      </c>
      <c r="G739" s="36">
        <v>981.44</v>
      </c>
      <c r="H739" s="36">
        <f>'SalesData 2'!$F739-'SalesData 2'!$G739</f>
        <v>-28.590000000000032</v>
      </c>
    </row>
    <row r="740" spans="1:8" ht="14.4" x14ac:dyDescent="0.25">
      <c r="A740" s="40">
        <v>42252</v>
      </c>
      <c r="B740" s="25" t="s">
        <v>30</v>
      </c>
      <c r="C740" s="9" t="s">
        <v>88</v>
      </c>
      <c r="D740" s="25" t="s">
        <v>120</v>
      </c>
      <c r="E740" s="25" t="s">
        <v>128</v>
      </c>
      <c r="F740" s="26">
        <v>822.41</v>
      </c>
      <c r="G740" s="35">
        <v>855.31</v>
      </c>
      <c r="H740" s="35">
        <f>'SalesData 2'!$F740-'SalesData 2'!$G740</f>
        <v>-32.899999999999977</v>
      </c>
    </row>
    <row r="741" spans="1:8" ht="14.4" x14ac:dyDescent="0.25">
      <c r="A741" s="41">
        <v>42252</v>
      </c>
      <c r="B741" s="29" t="s">
        <v>16</v>
      </c>
      <c r="C741" s="14" t="s">
        <v>61</v>
      </c>
      <c r="D741" s="29" t="s">
        <v>118</v>
      </c>
      <c r="E741" s="29" t="s">
        <v>129</v>
      </c>
      <c r="F741" s="30">
        <v>225.21</v>
      </c>
      <c r="G741" s="36">
        <v>231.97</v>
      </c>
      <c r="H741" s="36">
        <f>'SalesData 2'!$F741-'SalesData 2'!$G741</f>
        <v>-6.7599999999999909</v>
      </c>
    </row>
    <row r="742" spans="1:8" ht="14.4" x14ac:dyDescent="0.25">
      <c r="A742" s="40">
        <v>42253</v>
      </c>
      <c r="B742" s="25" t="s">
        <v>2</v>
      </c>
      <c r="C742" s="9" t="s">
        <v>108</v>
      </c>
      <c r="D742" s="25" t="s">
        <v>118</v>
      </c>
      <c r="E742" s="25" t="s">
        <v>128</v>
      </c>
      <c r="F742" s="26">
        <v>199.16</v>
      </c>
      <c r="G742" s="35">
        <v>195.18</v>
      </c>
      <c r="H742" s="35">
        <f>'SalesData 2'!$F742-'SalesData 2'!$G742</f>
        <v>3.9799999999999898</v>
      </c>
    </row>
    <row r="743" spans="1:8" ht="14.4" x14ac:dyDescent="0.25">
      <c r="A743" s="41">
        <v>42254</v>
      </c>
      <c r="B743" s="29" t="s">
        <v>11</v>
      </c>
      <c r="C743" s="14" t="s">
        <v>91</v>
      </c>
      <c r="D743" s="29" t="s">
        <v>118</v>
      </c>
      <c r="E743" s="29" t="s">
        <v>130</v>
      </c>
      <c r="F743" s="30">
        <v>118.6</v>
      </c>
      <c r="G743" s="36">
        <v>122.16</v>
      </c>
      <c r="H743" s="36">
        <f>'SalesData 2'!$F743-'SalesData 2'!$G743</f>
        <v>-3.5600000000000023</v>
      </c>
    </row>
    <row r="744" spans="1:8" ht="14.4" x14ac:dyDescent="0.25">
      <c r="A744" s="40">
        <v>42254</v>
      </c>
      <c r="B744" s="25" t="s">
        <v>36</v>
      </c>
      <c r="C744" s="9" t="s">
        <v>90</v>
      </c>
      <c r="D744" s="25" t="s">
        <v>121</v>
      </c>
      <c r="E744" s="25" t="s">
        <v>129</v>
      </c>
      <c r="F744" s="26">
        <v>503.52</v>
      </c>
      <c r="G744" s="35">
        <v>523.66</v>
      </c>
      <c r="H744" s="35">
        <f>'SalesData 2'!$F744-'SalesData 2'!$G744</f>
        <v>-20.139999999999986</v>
      </c>
    </row>
    <row r="745" spans="1:8" ht="14.4" x14ac:dyDescent="0.25">
      <c r="A745" s="41">
        <v>42257</v>
      </c>
      <c r="B745" s="29" t="s">
        <v>38</v>
      </c>
      <c r="C745" s="14" t="s">
        <v>62</v>
      </c>
      <c r="D745" s="29" t="s">
        <v>122</v>
      </c>
      <c r="E745" s="29" t="s">
        <v>128</v>
      </c>
      <c r="F745" s="30">
        <v>853.01</v>
      </c>
      <c r="G745" s="36">
        <v>818.89</v>
      </c>
      <c r="H745" s="36">
        <f>'SalesData 2'!$F745-'SalesData 2'!$G745</f>
        <v>34.120000000000005</v>
      </c>
    </row>
    <row r="746" spans="1:8" ht="14.4" x14ac:dyDescent="0.25">
      <c r="A746" s="40">
        <v>42259</v>
      </c>
      <c r="B746" s="25" t="s">
        <v>18</v>
      </c>
      <c r="C746" s="9" t="s">
        <v>63</v>
      </c>
      <c r="D746" s="25" t="s">
        <v>119</v>
      </c>
      <c r="E746" s="25" t="s">
        <v>128</v>
      </c>
      <c r="F746" s="26">
        <v>977.32</v>
      </c>
      <c r="G746" s="35">
        <v>918.68000000000006</v>
      </c>
      <c r="H746" s="35">
        <f>'SalesData 2'!$F746-'SalesData 2'!$G746</f>
        <v>58.639999999999986</v>
      </c>
    </row>
    <row r="747" spans="1:8" ht="14.4" x14ac:dyDescent="0.25">
      <c r="A747" s="41">
        <v>42259</v>
      </c>
      <c r="B747" s="29" t="s">
        <v>48</v>
      </c>
      <c r="C747" s="14" t="s">
        <v>55</v>
      </c>
      <c r="D747" s="29" t="s">
        <v>122</v>
      </c>
      <c r="E747" s="29" t="s">
        <v>129</v>
      </c>
      <c r="F747" s="30">
        <v>724.95</v>
      </c>
      <c r="G747" s="36">
        <v>724.95</v>
      </c>
      <c r="H747" s="36">
        <f>'SalesData 2'!$F747-'SalesData 2'!$G747</f>
        <v>0</v>
      </c>
    </row>
    <row r="748" spans="1:8" ht="14.4" x14ac:dyDescent="0.25">
      <c r="A748" s="40">
        <v>42261</v>
      </c>
      <c r="B748" s="25" t="s">
        <v>49</v>
      </c>
      <c r="C748" s="9" t="s">
        <v>72</v>
      </c>
      <c r="D748" s="25" t="s">
        <v>122</v>
      </c>
      <c r="E748" s="25" t="s">
        <v>130</v>
      </c>
      <c r="F748" s="26">
        <v>109.84</v>
      </c>
      <c r="G748" s="35">
        <v>107.64</v>
      </c>
      <c r="H748" s="35">
        <f>'SalesData 2'!$F748-'SalesData 2'!$G748</f>
        <v>2.2000000000000028</v>
      </c>
    </row>
    <row r="749" spans="1:8" ht="14.4" x14ac:dyDescent="0.25">
      <c r="A749" s="41">
        <v>42263</v>
      </c>
      <c r="B749" s="29" t="s">
        <v>26</v>
      </c>
      <c r="C749" s="14" t="s">
        <v>117</v>
      </c>
      <c r="D749" s="29" t="s">
        <v>120</v>
      </c>
      <c r="E749" s="29" t="s">
        <v>128</v>
      </c>
      <c r="F749" s="46">
        <v>206.71</v>
      </c>
      <c r="G749" s="36">
        <v>198.44</v>
      </c>
      <c r="H749" s="36">
        <f>'SalesData 2'!$F749-'SalesData 2'!$G749</f>
        <v>8.2700000000000102</v>
      </c>
    </row>
    <row r="750" spans="1:8" ht="14.4" x14ac:dyDescent="0.25">
      <c r="A750" s="40">
        <v>42267</v>
      </c>
      <c r="B750" s="25" t="s">
        <v>28</v>
      </c>
      <c r="C750" s="9" t="s">
        <v>103</v>
      </c>
      <c r="D750" s="25" t="s">
        <v>120</v>
      </c>
      <c r="E750" s="25" t="s">
        <v>128</v>
      </c>
      <c r="F750" s="26">
        <v>807.85</v>
      </c>
      <c r="G750" s="35">
        <v>775.54</v>
      </c>
      <c r="H750" s="35">
        <f>'SalesData 2'!$F750-'SalesData 2'!$G750</f>
        <v>32.310000000000059</v>
      </c>
    </row>
    <row r="751" spans="1:8" ht="14.4" x14ac:dyDescent="0.25">
      <c r="A751" s="41">
        <v>42267</v>
      </c>
      <c r="B751" s="29" t="s">
        <v>6</v>
      </c>
      <c r="C751" s="14" t="s">
        <v>80</v>
      </c>
      <c r="D751" s="29" t="s">
        <v>118</v>
      </c>
      <c r="E751" s="29" t="s">
        <v>130</v>
      </c>
      <c r="F751" s="30">
        <v>670.13</v>
      </c>
      <c r="G751" s="36">
        <v>623.22</v>
      </c>
      <c r="H751" s="36">
        <f>'SalesData 2'!$F751-'SalesData 2'!$G751</f>
        <v>46.909999999999968</v>
      </c>
    </row>
    <row r="752" spans="1:8" ht="14.4" x14ac:dyDescent="0.25">
      <c r="A752" s="40">
        <v>42267</v>
      </c>
      <c r="B752" s="25" t="s">
        <v>49</v>
      </c>
      <c r="C752" s="9" t="s">
        <v>72</v>
      </c>
      <c r="D752" s="25" t="s">
        <v>122</v>
      </c>
      <c r="E752" s="25" t="s">
        <v>129</v>
      </c>
      <c r="F752" s="26">
        <v>893.17</v>
      </c>
      <c r="G752" s="35">
        <v>839.57999999999993</v>
      </c>
      <c r="H752" s="35">
        <f>'SalesData 2'!$F752-'SalesData 2'!$G752</f>
        <v>53.590000000000032</v>
      </c>
    </row>
    <row r="753" spans="1:8" ht="14.4" x14ac:dyDescent="0.25">
      <c r="A753" s="41">
        <v>42269</v>
      </c>
      <c r="B753" s="29" t="s">
        <v>5</v>
      </c>
      <c r="C753" s="14" t="s">
        <v>102</v>
      </c>
      <c r="D753" s="29" t="s">
        <v>118</v>
      </c>
      <c r="E753" s="29" t="s">
        <v>129</v>
      </c>
      <c r="F753" s="30">
        <v>192.61</v>
      </c>
      <c r="G753" s="36">
        <v>173.35000000000002</v>
      </c>
      <c r="H753" s="36">
        <f>'SalesData 2'!$F753-'SalesData 2'!$G753</f>
        <v>19.259999999999991</v>
      </c>
    </row>
    <row r="754" spans="1:8" ht="14.4" x14ac:dyDescent="0.25">
      <c r="A754" s="40">
        <v>42272</v>
      </c>
      <c r="B754" s="25" t="s">
        <v>12</v>
      </c>
      <c r="C754" s="9" t="s">
        <v>89</v>
      </c>
      <c r="D754" s="25" t="s">
        <v>118</v>
      </c>
      <c r="E754" s="25" t="s">
        <v>130</v>
      </c>
      <c r="F754" s="26">
        <v>945.8</v>
      </c>
      <c r="G754" s="35">
        <v>964.71999999999991</v>
      </c>
      <c r="H754" s="35">
        <f>'SalesData 2'!$F754-'SalesData 2'!$G754</f>
        <v>-18.919999999999959</v>
      </c>
    </row>
    <row r="755" spans="1:8" ht="14.4" x14ac:dyDescent="0.25">
      <c r="A755" s="41">
        <v>42274</v>
      </c>
      <c r="B755" s="29" t="s">
        <v>6</v>
      </c>
      <c r="C755" s="14" t="s">
        <v>81</v>
      </c>
      <c r="D755" s="29" t="s">
        <v>118</v>
      </c>
      <c r="E755" s="29" t="s">
        <v>128</v>
      </c>
      <c r="F755" s="30">
        <v>130.69</v>
      </c>
      <c r="G755" s="36">
        <v>122.85</v>
      </c>
      <c r="H755" s="36">
        <f>'SalesData 2'!$F755-'SalesData 2'!$G755</f>
        <v>7.8400000000000034</v>
      </c>
    </row>
    <row r="756" spans="1:8" ht="14.4" x14ac:dyDescent="0.25">
      <c r="A756" s="40">
        <v>42275</v>
      </c>
      <c r="B756" s="25" t="s">
        <v>47</v>
      </c>
      <c r="C756" s="9" t="s">
        <v>96</v>
      </c>
      <c r="D756" s="25" t="s">
        <v>122</v>
      </c>
      <c r="E756" s="25" t="s">
        <v>128</v>
      </c>
      <c r="F756" s="26">
        <v>346.72</v>
      </c>
      <c r="G756" s="35">
        <v>364.06</v>
      </c>
      <c r="H756" s="35">
        <f>'SalesData 2'!$F756-'SalesData 2'!$G756</f>
        <v>-17.339999999999975</v>
      </c>
    </row>
    <row r="757" spans="1:8" ht="14.4" x14ac:dyDescent="0.25">
      <c r="A757" s="41">
        <v>42279</v>
      </c>
      <c r="B757" s="29" t="s">
        <v>27</v>
      </c>
      <c r="C757" s="14" t="s">
        <v>110</v>
      </c>
      <c r="D757" s="29" t="s">
        <v>120</v>
      </c>
      <c r="E757" s="29" t="s">
        <v>128</v>
      </c>
      <c r="F757" s="30">
        <v>485.04</v>
      </c>
      <c r="G757" s="36">
        <v>523.84</v>
      </c>
      <c r="H757" s="36">
        <f>'SalesData 2'!$F757-'SalesData 2'!$G757</f>
        <v>-38.800000000000011</v>
      </c>
    </row>
    <row r="758" spans="1:8" ht="14.4" x14ac:dyDescent="0.25">
      <c r="A758" s="40">
        <v>42279</v>
      </c>
      <c r="B758" s="25" t="s">
        <v>30</v>
      </c>
      <c r="C758" s="9" t="s">
        <v>88</v>
      </c>
      <c r="D758" s="25" t="s">
        <v>120</v>
      </c>
      <c r="E758" s="25" t="s">
        <v>128</v>
      </c>
      <c r="F758" s="26">
        <v>493.02</v>
      </c>
      <c r="G758" s="35">
        <v>512.74</v>
      </c>
      <c r="H758" s="35">
        <f>'SalesData 2'!$F758-'SalesData 2'!$G758</f>
        <v>-19.720000000000027</v>
      </c>
    </row>
    <row r="759" spans="1:8" ht="14.4" x14ac:dyDescent="0.25">
      <c r="A759" s="41">
        <v>42283</v>
      </c>
      <c r="B759" s="29" t="s">
        <v>0</v>
      </c>
      <c r="C759" s="14" t="s">
        <v>114</v>
      </c>
      <c r="D759" s="29" t="s">
        <v>118</v>
      </c>
      <c r="E759" s="29" t="s">
        <v>130</v>
      </c>
      <c r="F759" s="30">
        <v>865.69</v>
      </c>
      <c r="G759" s="36">
        <v>813.75</v>
      </c>
      <c r="H759" s="36">
        <f>'SalesData 2'!$F759-'SalesData 2'!$G759</f>
        <v>51.940000000000055</v>
      </c>
    </row>
    <row r="760" spans="1:8" ht="14.4" x14ac:dyDescent="0.25">
      <c r="A760" s="40">
        <v>42292</v>
      </c>
      <c r="B760" s="25" t="s">
        <v>15</v>
      </c>
      <c r="C760" s="9" t="s">
        <v>60</v>
      </c>
      <c r="D760" s="25" t="s">
        <v>118</v>
      </c>
      <c r="E760" s="25" t="s">
        <v>130</v>
      </c>
      <c r="F760" s="26">
        <v>12.31</v>
      </c>
      <c r="G760" s="35">
        <v>12.68</v>
      </c>
      <c r="H760" s="35">
        <f>'SalesData 2'!$F760-'SalesData 2'!$G760</f>
        <v>-0.36999999999999922</v>
      </c>
    </row>
    <row r="761" spans="1:8" ht="14.4" x14ac:dyDescent="0.25">
      <c r="A761" s="41">
        <v>42295</v>
      </c>
      <c r="B761" s="29" t="s">
        <v>40</v>
      </c>
      <c r="C761" s="14" t="s">
        <v>65</v>
      </c>
      <c r="D761" s="29" t="s">
        <v>122</v>
      </c>
      <c r="E761" s="29" t="s">
        <v>129</v>
      </c>
      <c r="F761" s="30">
        <v>896.76</v>
      </c>
      <c r="G761" s="36">
        <v>887.79</v>
      </c>
      <c r="H761" s="36">
        <f>'SalesData 2'!$F761-'SalesData 2'!$G761</f>
        <v>8.9700000000000273</v>
      </c>
    </row>
    <row r="762" spans="1:8" ht="14.4" x14ac:dyDescent="0.25">
      <c r="A762" s="40">
        <v>42301</v>
      </c>
      <c r="B762" s="25" t="s">
        <v>45</v>
      </c>
      <c r="C762" s="9" t="s">
        <v>101</v>
      </c>
      <c r="D762" s="25" t="s">
        <v>122</v>
      </c>
      <c r="E762" s="25" t="s">
        <v>129</v>
      </c>
      <c r="F762" s="26">
        <v>572.27</v>
      </c>
      <c r="G762" s="35">
        <v>583.72</v>
      </c>
      <c r="H762" s="35">
        <f>'SalesData 2'!$F762-'SalesData 2'!$G762</f>
        <v>-11.450000000000045</v>
      </c>
    </row>
    <row r="763" spans="1:8" ht="14.4" x14ac:dyDescent="0.25">
      <c r="A763" s="41">
        <v>42302</v>
      </c>
      <c r="B763" s="29" t="s">
        <v>46</v>
      </c>
      <c r="C763" s="14" t="s">
        <v>100</v>
      </c>
      <c r="D763" s="29" t="s">
        <v>122</v>
      </c>
      <c r="E763" s="29" t="s">
        <v>128</v>
      </c>
      <c r="F763" s="30">
        <v>784.94</v>
      </c>
      <c r="G763" s="36">
        <v>706.45</v>
      </c>
      <c r="H763" s="36">
        <f>'SalesData 2'!$F763-'SalesData 2'!$G763</f>
        <v>78.490000000000009</v>
      </c>
    </row>
    <row r="764" spans="1:8" ht="14.4" x14ac:dyDescent="0.25">
      <c r="A764" s="40">
        <v>42305</v>
      </c>
      <c r="B764" s="25" t="s">
        <v>43</v>
      </c>
      <c r="C764" s="9" t="s">
        <v>106</v>
      </c>
      <c r="D764" s="25" t="s">
        <v>122</v>
      </c>
      <c r="E764" s="25" t="s">
        <v>129</v>
      </c>
      <c r="F764" s="26">
        <v>547.67999999999995</v>
      </c>
      <c r="G764" s="35">
        <v>586.02</v>
      </c>
      <c r="H764" s="35">
        <f>'SalesData 2'!$F764-'SalesData 2'!$G764</f>
        <v>-38.340000000000032</v>
      </c>
    </row>
    <row r="765" spans="1:8" ht="14.4" x14ac:dyDescent="0.25">
      <c r="A765" s="41">
        <v>42309</v>
      </c>
      <c r="B765" s="29" t="s">
        <v>22</v>
      </c>
      <c r="C765" s="14" t="s">
        <v>78</v>
      </c>
      <c r="D765" s="29" t="s">
        <v>119</v>
      </c>
      <c r="E765" s="29" t="s">
        <v>129</v>
      </c>
      <c r="F765" s="30">
        <v>430.15</v>
      </c>
      <c r="G765" s="36">
        <v>460.26</v>
      </c>
      <c r="H765" s="36">
        <f>'SalesData 2'!$F765-'SalesData 2'!$G765</f>
        <v>-30.110000000000014</v>
      </c>
    </row>
    <row r="766" spans="1:8" ht="14.4" x14ac:dyDescent="0.25">
      <c r="A766" s="40">
        <v>42316</v>
      </c>
      <c r="B766" s="25" t="s">
        <v>40</v>
      </c>
      <c r="C766" s="9" t="s">
        <v>111</v>
      </c>
      <c r="D766" s="25" t="s">
        <v>122</v>
      </c>
      <c r="E766" s="25" t="s">
        <v>129</v>
      </c>
      <c r="F766" s="26">
        <v>749.12</v>
      </c>
      <c r="G766" s="35">
        <v>756.61</v>
      </c>
      <c r="H766" s="35">
        <f>'SalesData 2'!$F766-'SalesData 2'!$G766</f>
        <v>-7.4900000000000091</v>
      </c>
    </row>
    <row r="767" spans="1:8" ht="14.4" x14ac:dyDescent="0.25">
      <c r="A767" s="41">
        <v>42316</v>
      </c>
      <c r="B767" s="29" t="s">
        <v>37</v>
      </c>
      <c r="C767" s="14" t="s">
        <v>87</v>
      </c>
      <c r="D767" s="29" t="s">
        <v>121</v>
      </c>
      <c r="E767" s="29" t="s">
        <v>128</v>
      </c>
      <c r="F767" s="30">
        <v>787.3</v>
      </c>
      <c r="G767" s="36">
        <v>771.55</v>
      </c>
      <c r="H767" s="36">
        <f>'SalesData 2'!$F767-'SalesData 2'!$G767</f>
        <v>15.75</v>
      </c>
    </row>
    <row r="768" spans="1:8" ht="14.4" x14ac:dyDescent="0.25">
      <c r="A768" s="40">
        <v>42317</v>
      </c>
      <c r="B768" s="25" t="s">
        <v>3</v>
      </c>
      <c r="C768" s="9" t="s">
        <v>66</v>
      </c>
      <c r="D768" s="25" t="s">
        <v>118</v>
      </c>
      <c r="E768" s="25" t="s">
        <v>129</v>
      </c>
      <c r="F768" s="26">
        <v>743.67</v>
      </c>
      <c r="G768" s="35">
        <v>713.92</v>
      </c>
      <c r="H768" s="35">
        <f>'SalesData 2'!$F768-'SalesData 2'!$G768</f>
        <v>29.75</v>
      </c>
    </row>
    <row r="769" spans="1:8" ht="14.4" x14ac:dyDescent="0.25">
      <c r="A769" s="41">
        <v>42321</v>
      </c>
      <c r="B769" s="29" t="s">
        <v>23</v>
      </c>
      <c r="C769" s="14" t="s">
        <v>109</v>
      </c>
      <c r="D769" s="29" t="s">
        <v>119</v>
      </c>
      <c r="E769" s="29" t="s">
        <v>128</v>
      </c>
      <c r="F769" s="30">
        <v>800.51</v>
      </c>
      <c r="G769" s="36">
        <v>768.49</v>
      </c>
      <c r="H769" s="36">
        <f>'SalesData 2'!$F769-'SalesData 2'!$G769</f>
        <v>32.019999999999982</v>
      </c>
    </row>
    <row r="770" spans="1:8" ht="14.4" x14ac:dyDescent="0.25">
      <c r="A770" s="40">
        <v>42321</v>
      </c>
      <c r="B770" s="25" t="s">
        <v>7</v>
      </c>
      <c r="C770" s="9" t="s">
        <v>99</v>
      </c>
      <c r="D770" s="25" t="s">
        <v>118</v>
      </c>
      <c r="E770" s="25" t="s">
        <v>130</v>
      </c>
      <c r="F770" s="26">
        <v>15.99</v>
      </c>
      <c r="G770" s="35">
        <v>16.79</v>
      </c>
      <c r="H770" s="35">
        <f>'SalesData 2'!$F770-'SalesData 2'!$G770</f>
        <v>-0.79999999999999893</v>
      </c>
    </row>
    <row r="771" spans="1:8" ht="14.4" x14ac:dyDescent="0.25">
      <c r="A771" s="41">
        <v>42326</v>
      </c>
      <c r="B771" s="29" t="s">
        <v>38</v>
      </c>
      <c r="C771" s="14" t="s">
        <v>116</v>
      </c>
      <c r="D771" s="29" t="s">
        <v>122</v>
      </c>
      <c r="E771" s="29" t="s">
        <v>129</v>
      </c>
      <c r="F771" s="30">
        <v>517.70000000000005</v>
      </c>
      <c r="G771" s="36">
        <v>517.70000000000005</v>
      </c>
      <c r="H771" s="36">
        <f>'SalesData 2'!$F771-'SalesData 2'!$G771</f>
        <v>0</v>
      </c>
    </row>
    <row r="772" spans="1:8" ht="14.4" x14ac:dyDescent="0.25">
      <c r="A772" s="40">
        <v>42326</v>
      </c>
      <c r="B772" s="25" t="s">
        <v>33</v>
      </c>
      <c r="C772" s="9" t="s">
        <v>115</v>
      </c>
      <c r="D772" s="25" t="s">
        <v>121</v>
      </c>
      <c r="E772" s="25" t="s">
        <v>128</v>
      </c>
      <c r="F772" s="26">
        <v>137.27000000000001</v>
      </c>
      <c r="G772" s="35">
        <v>140.02000000000001</v>
      </c>
      <c r="H772" s="35">
        <f>'SalesData 2'!$F772-'SalesData 2'!$G772</f>
        <v>-2.75</v>
      </c>
    </row>
    <row r="773" spans="1:8" ht="14.4" x14ac:dyDescent="0.25">
      <c r="A773" s="41">
        <v>42327</v>
      </c>
      <c r="B773" s="29" t="s">
        <v>8</v>
      </c>
      <c r="C773" s="14" t="s">
        <v>54</v>
      </c>
      <c r="D773" s="29" t="s">
        <v>118</v>
      </c>
      <c r="E773" s="29" t="s">
        <v>129</v>
      </c>
      <c r="F773" s="30">
        <v>937.98</v>
      </c>
      <c r="G773" s="36">
        <v>937.98</v>
      </c>
      <c r="H773" s="36">
        <f>'SalesData 2'!$F773-'SalesData 2'!$G773</f>
        <v>0</v>
      </c>
    </row>
    <row r="774" spans="1:8" ht="14.4" x14ac:dyDescent="0.25">
      <c r="A774" s="40">
        <v>42329</v>
      </c>
      <c r="B774" s="25" t="s">
        <v>48</v>
      </c>
      <c r="C774" s="9" t="s">
        <v>82</v>
      </c>
      <c r="D774" s="25" t="s">
        <v>122</v>
      </c>
      <c r="E774" s="25" t="s">
        <v>130</v>
      </c>
      <c r="F774" s="26">
        <v>38.299999999999997</v>
      </c>
      <c r="G774" s="35">
        <v>37.15</v>
      </c>
      <c r="H774" s="35">
        <f>'SalesData 2'!$F774-'SalesData 2'!$G774</f>
        <v>1.1499999999999986</v>
      </c>
    </row>
    <row r="775" spans="1:8" ht="14.4" x14ac:dyDescent="0.25">
      <c r="A775" s="41">
        <v>42329</v>
      </c>
      <c r="B775" s="29" t="s">
        <v>13</v>
      </c>
      <c r="C775" s="14" t="s">
        <v>73</v>
      </c>
      <c r="D775" s="29" t="s">
        <v>118</v>
      </c>
      <c r="E775" s="29" t="s">
        <v>128</v>
      </c>
      <c r="F775" s="30">
        <v>6.87</v>
      </c>
      <c r="G775" s="36">
        <v>6.73</v>
      </c>
      <c r="H775" s="36">
        <f>'SalesData 2'!$F775-'SalesData 2'!$G775</f>
        <v>0.13999999999999968</v>
      </c>
    </row>
    <row r="776" spans="1:8" ht="14.4" x14ac:dyDescent="0.25">
      <c r="A776" s="40">
        <v>42334</v>
      </c>
      <c r="B776" s="25" t="s">
        <v>24</v>
      </c>
      <c r="C776" s="9" t="s">
        <v>107</v>
      </c>
      <c r="D776" s="25" t="s">
        <v>119</v>
      </c>
      <c r="E776" s="25" t="s">
        <v>130</v>
      </c>
      <c r="F776" s="26">
        <v>771.44</v>
      </c>
      <c r="G776" s="35">
        <v>694.30000000000007</v>
      </c>
      <c r="H776" s="35">
        <f>'SalesData 2'!$F776-'SalesData 2'!$G776</f>
        <v>77.139999999999986</v>
      </c>
    </row>
    <row r="777" spans="1:8" ht="14.4" x14ac:dyDescent="0.25">
      <c r="A777" s="41">
        <v>42334</v>
      </c>
      <c r="B777" s="29" t="s">
        <v>11</v>
      </c>
      <c r="C777" s="14" t="s">
        <v>91</v>
      </c>
      <c r="D777" s="29" t="s">
        <v>118</v>
      </c>
      <c r="E777" s="29" t="s">
        <v>129</v>
      </c>
      <c r="F777" s="30">
        <v>443.2</v>
      </c>
      <c r="G777" s="36">
        <v>421.03999999999996</v>
      </c>
      <c r="H777" s="36">
        <f>'SalesData 2'!$F777-'SalesData 2'!$G777</f>
        <v>22.160000000000025</v>
      </c>
    </row>
    <row r="778" spans="1:8" ht="14.4" x14ac:dyDescent="0.25">
      <c r="A778" s="40">
        <v>42339</v>
      </c>
      <c r="B778" s="25" t="s">
        <v>19</v>
      </c>
      <c r="C778" s="9" t="s">
        <v>113</v>
      </c>
      <c r="D778" s="25" t="s">
        <v>119</v>
      </c>
      <c r="E778" s="25" t="s">
        <v>128</v>
      </c>
      <c r="F778" s="26">
        <v>461.66</v>
      </c>
      <c r="G778" s="35">
        <v>420.11</v>
      </c>
      <c r="H778" s="35">
        <f>'SalesData 2'!$F778-'SalesData 2'!$G778</f>
        <v>41.550000000000011</v>
      </c>
    </row>
    <row r="779" spans="1:8" ht="14.4" x14ac:dyDescent="0.25">
      <c r="A779" s="41">
        <v>42339</v>
      </c>
      <c r="B779" s="29" t="s">
        <v>20</v>
      </c>
      <c r="C779" s="14" t="s">
        <v>112</v>
      </c>
      <c r="D779" s="29" t="s">
        <v>119</v>
      </c>
      <c r="E779" s="29" t="s">
        <v>130</v>
      </c>
      <c r="F779" s="30">
        <v>163.34</v>
      </c>
      <c r="G779" s="36">
        <v>174.77</v>
      </c>
      <c r="H779" s="36">
        <f>'SalesData 2'!$F779-'SalesData 2'!$G779</f>
        <v>-11.430000000000007</v>
      </c>
    </row>
    <row r="780" spans="1:8" ht="14.4" x14ac:dyDescent="0.25">
      <c r="A780" s="40">
        <v>42342</v>
      </c>
      <c r="B780" s="25" t="s">
        <v>41</v>
      </c>
      <c r="C780" s="9" t="s">
        <v>67</v>
      </c>
      <c r="D780" s="25" t="s">
        <v>122</v>
      </c>
      <c r="E780" s="25" t="s">
        <v>129</v>
      </c>
      <c r="F780" s="26">
        <v>535.35</v>
      </c>
      <c r="G780" s="35">
        <v>562.12</v>
      </c>
      <c r="H780" s="35">
        <f>'SalesData 2'!$F780-'SalesData 2'!$G780</f>
        <v>-26.769999999999982</v>
      </c>
    </row>
    <row r="781" spans="1:8" ht="14.4" x14ac:dyDescent="0.25">
      <c r="A781" s="41">
        <v>42346</v>
      </c>
      <c r="B781" s="29" t="s">
        <v>26</v>
      </c>
      <c r="C781" s="14" t="s">
        <v>117</v>
      </c>
      <c r="D781" s="29" t="s">
        <v>120</v>
      </c>
      <c r="E781" s="29" t="s">
        <v>128</v>
      </c>
      <c r="F781" s="46">
        <v>377.49</v>
      </c>
      <c r="G781" s="36">
        <v>351.07</v>
      </c>
      <c r="H781" s="36">
        <f>'SalesData 2'!$F781-'SalesData 2'!$G781</f>
        <v>26.420000000000016</v>
      </c>
    </row>
    <row r="782" spans="1:8" ht="14.4" x14ac:dyDescent="0.25">
      <c r="A782" s="40">
        <v>42347</v>
      </c>
      <c r="B782" s="25" t="s">
        <v>48</v>
      </c>
      <c r="C782" s="9" t="s">
        <v>71</v>
      </c>
      <c r="D782" s="25" t="s">
        <v>122</v>
      </c>
      <c r="E782" s="25" t="s">
        <v>130</v>
      </c>
      <c r="F782" s="26">
        <v>423.18</v>
      </c>
      <c r="G782" s="35">
        <v>452.8</v>
      </c>
      <c r="H782" s="35">
        <f>'SalesData 2'!$F782-'SalesData 2'!$G782</f>
        <v>-29.620000000000005</v>
      </c>
    </row>
    <row r="783" spans="1:8" ht="14.4" x14ac:dyDescent="0.25">
      <c r="A783" s="41">
        <v>42347</v>
      </c>
      <c r="B783" s="29" t="s">
        <v>31</v>
      </c>
      <c r="C783" s="14" t="s">
        <v>85</v>
      </c>
      <c r="D783" s="29" t="s">
        <v>120</v>
      </c>
      <c r="E783" s="29" t="s">
        <v>129</v>
      </c>
      <c r="F783" s="30">
        <v>728.79</v>
      </c>
      <c r="G783" s="36">
        <v>655.91</v>
      </c>
      <c r="H783" s="36">
        <f>'SalesData 2'!$F783-'SalesData 2'!$G783</f>
        <v>72.88</v>
      </c>
    </row>
    <row r="784" spans="1:8" ht="14.4" x14ac:dyDescent="0.25">
      <c r="A784" s="40">
        <v>42349</v>
      </c>
      <c r="B784" s="25" t="s">
        <v>30</v>
      </c>
      <c r="C784" s="9" t="s">
        <v>88</v>
      </c>
      <c r="D784" s="25" t="s">
        <v>120</v>
      </c>
      <c r="E784" s="25" t="s">
        <v>130</v>
      </c>
      <c r="F784" s="26">
        <v>277.22000000000003</v>
      </c>
      <c r="G784" s="35">
        <v>271.68</v>
      </c>
      <c r="H784" s="35">
        <f>'SalesData 2'!$F784-'SalesData 2'!$G784</f>
        <v>5.5400000000000205</v>
      </c>
    </row>
    <row r="785" spans="1:8" ht="14.4" x14ac:dyDescent="0.25">
      <c r="A785" s="41">
        <v>42351</v>
      </c>
      <c r="B785" s="29" t="s">
        <v>42</v>
      </c>
      <c r="C785" s="14" t="s">
        <v>69</v>
      </c>
      <c r="D785" s="29" t="s">
        <v>122</v>
      </c>
      <c r="E785" s="29" t="s">
        <v>130</v>
      </c>
      <c r="F785" s="30">
        <v>350.47</v>
      </c>
      <c r="G785" s="36">
        <v>322.43</v>
      </c>
      <c r="H785" s="36">
        <f>'SalesData 2'!$F785-'SalesData 2'!$G785</f>
        <v>28.04000000000002</v>
      </c>
    </row>
    <row r="786" spans="1:8" ht="14.4" x14ac:dyDescent="0.25">
      <c r="A786" s="40">
        <v>42351</v>
      </c>
      <c r="B786" s="25" t="s">
        <v>14</v>
      </c>
      <c r="C786" s="9" t="s">
        <v>83</v>
      </c>
      <c r="D786" s="25" t="s">
        <v>118</v>
      </c>
      <c r="E786" s="25" t="s">
        <v>129</v>
      </c>
      <c r="F786" s="26">
        <v>505.64</v>
      </c>
      <c r="G786" s="35">
        <v>525.87</v>
      </c>
      <c r="H786" s="35">
        <f>'SalesData 2'!$F786-'SalesData 2'!$G786</f>
        <v>-20.230000000000018</v>
      </c>
    </row>
    <row r="787" spans="1:8" ht="14.4" x14ac:dyDescent="0.25">
      <c r="A787" s="41">
        <v>42355</v>
      </c>
      <c r="B787" s="29" t="s">
        <v>9</v>
      </c>
      <c r="C787" s="14" t="s">
        <v>95</v>
      </c>
      <c r="D787" s="29" t="s">
        <v>118</v>
      </c>
      <c r="E787" s="29" t="s">
        <v>130</v>
      </c>
      <c r="F787" s="30">
        <v>472.24</v>
      </c>
      <c r="G787" s="36">
        <v>510.02</v>
      </c>
      <c r="H787" s="36">
        <f>'SalesData 2'!$F787-'SalesData 2'!$G787</f>
        <v>-37.779999999999973</v>
      </c>
    </row>
    <row r="788" spans="1:8" ht="14.4" x14ac:dyDescent="0.25">
      <c r="A788" s="40">
        <v>42357</v>
      </c>
      <c r="B788" s="25" t="s">
        <v>6</v>
      </c>
      <c r="C788" s="9" t="s">
        <v>80</v>
      </c>
      <c r="D788" s="25" t="s">
        <v>118</v>
      </c>
      <c r="E788" s="25" t="s">
        <v>128</v>
      </c>
      <c r="F788" s="26">
        <v>692.45</v>
      </c>
      <c r="G788" s="35">
        <v>685.53000000000009</v>
      </c>
      <c r="H788" s="35">
        <f>'SalesData 2'!$F788-'SalesData 2'!$G788</f>
        <v>6.9199999999999591</v>
      </c>
    </row>
    <row r="789" spans="1:8" ht="14.4" x14ac:dyDescent="0.25">
      <c r="A789" s="41">
        <v>42360</v>
      </c>
      <c r="B789" s="29" t="s">
        <v>48</v>
      </c>
      <c r="C789" s="14" t="s">
        <v>56</v>
      </c>
      <c r="D789" s="29" t="s">
        <v>122</v>
      </c>
      <c r="E789" s="29" t="s">
        <v>128</v>
      </c>
      <c r="F789" s="30">
        <v>550.57000000000005</v>
      </c>
      <c r="G789" s="36">
        <v>545.06000000000006</v>
      </c>
      <c r="H789" s="36">
        <f>'SalesData 2'!$F789-'SalesData 2'!$G789</f>
        <v>5.5099999999999909</v>
      </c>
    </row>
    <row r="790" spans="1:8" ht="14.4" x14ac:dyDescent="0.25">
      <c r="A790" s="40">
        <v>42363</v>
      </c>
      <c r="B790" s="25" t="s">
        <v>44</v>
      </c>
      <c r="C790" s="9" t="s">
        <v>104</v>
      </c>
      <c r="D790" s="25" t="s">
        <v>122</v>
      </c>
      <c r="E790" s="25" t="s">
        <v>128</v>
      </c>
      <c r="F790" s="26">
        <v>306.95999999999998</v>
      </c>
      <c r="G790" s="35">
        <v>297.75</v>
      </c>
      <c r="H790" s="35">
        <f>'SalesData 2'!$F790-'SalesData 2'!$G790</f>
        <v>9.2099999999999795</v>
      </c>
    </row>
    <row r="791" spans="1:8" ht="14.4" x14ac:dyDescent="0.25">
      <c r="A791" s="41">
        <v>42364</v>
      </c>
      <c r="B791" s="29" t="s">
        <v>39</v>
      </c>
      <c r="C791" s="14" t="s">
        <v>75</v>
      </c>
      <c r="D791" s="29" t="s">
        <v>122</v>
      </c>
      <c r="E791" s="29" t="s">
        <v>129</v>
      </c>
      <c r="F791" s="30">
        <v>5.47</v>
      </c>
      <c r="G791" s="36">
        <v>4.92</v>
      </c>
      <c r="H791" s="36">
        <f>'SalesData 2'!$F791-'SalesData 2'!$G791</f>
        <v>0.54999999999999982</v>
      </c>
    </row>
    <row r="792" spans="1:8" ht="14.4" x14ac:dyDescent="0.25">
      <c r="A792" s="40">
        <v>42364</v>
      </c>
      <c r="B792" s="25" t="s">
        <v>21</v>
      </c>
      <c r="C792" s="9" t="s">
        <v>79</v>
      </c>
      <c r="D792" s="25" t="s">
        <v>119</v>
      </c>
      <c r="E792" s="25" t="s">
        <v>129</v>
      </c>
      <c r="F792" s="26">
        <v>498.92</v>
      </c>
      <c r="G792" s="35">
        <v>503.91</v>
      </c>
      <c r="H792" s="35">
        <f>'SalesData 2'!$F792-'SalesData 2'!$G792</f>
        <v>-4.9900000000000091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9BF7-4C57-419E-8C8E-9A45A555D5E1}">
  <sheetPr codeName="Sheet6"/>
  <dimension ref="B17:M57"/>
  <sheetViews>
    <sheetView workbookViewId="0">
      <selection activeCell="E54" sqref="E54"/>
    </sheetView>
  </sheetViews>
  <sheetFormatPr defaultRowHeight="13.8" x14ac:dyDescent="0.25"/>
  <cols>
    <col min="2" max="2" width="9.88671875" bestFit="1" customWidth="1"/>
    <col min="3" max="3" width="13.5546875" bestFit="1" customWidth="1"/>
    <col min="4" max="4" width="9.5546875" bestFit="1" customWidth="1"/>
    <col min="5" max="5" width="13.88671875" bestFit="1" customWidth="1"/>
    <col min="6" max="7" width="16.5546875" bestFit="1" customWidth="1"/>
    <col min="8" max="9" width="18.33203125" bestFit="1" customWidth="1"/>
    <col min="10" max="10" width="16.109375" bestFit="1" customWidth="1"/>
    <col min="11" max="11" width="15.109375" bestFit="1" customWidth="1"/>
    <col min="12" max="12" width="9.5546875" bestFit="1" customWidth="1"/>
    <col min="13" max="13" width="13.88671875" bestFit="1" customWidth="1"/>
    <col min="14" max="14" width="8.5546875" bestFit="1" customWidth="1"/>
    <col min="15" max="15" width="8.21875" bestFit="1" customWidth="1"/>
    <col min="16" max="16" width="7.109375" bestFit="1" customWidth="1"/>
    <col min="17" max="17" width="7" bestFit="1" customWidth="1"/>
    <col min="18" max="18" width="6" bestFit="1" customWidth="1"/>
    <col min="19" max="19" width="7" bestFit="1" customWidth="1"/>
    <col min="20" max="20" width="8.109375" bestFit="1" customWidth="1"/>
    <col min="21" max="21" width="8.21875" bestFit="1" customWidth="1"/>
    <col min="22" max="22" width="12.77734375" bestFit="1" customWidth="1"/>
    <col min="23" max="25" width="9.88671875" bestFit="1" customWidth="1"/>
    <col min="26" max="26" width="9.33203125" bestFit="1" customWidth="1"/>
  </cols>
  <sheetData>
    <row r="17" spans="2:13" x14ac:dyDescent="0.25">
      <c r="B17" s="37" t="s">
        <v>146</v>
      </c>
      <c r="C17" t="s">
        <v>170</v>
      </c>
      <c r="D17" t="s">
        <v>169</v>
      </c>
      <c r="E17" t="s">
        <v>171</v>
      </c>
      <c r="F17" t="s">
        <v>172</v>
      </c>
      <c r="G17" t="s">
        <v>173</v>
      </c>
      <c r="H17" t="s">
        <v>174</v>
      </c>
      <c r="I17" t="s">
        <v>175</v>
      </c>
      <c r="J17" t="s">
        <v>176</v>
      </c>
      <c r="K17" t="s">
        <v>177</v>
      </c>
      <c r="L17" t="s">
        <v>178</v>
      </c>
      <c r="M17" t="s">
        <v>179</v>
      </c>
    </row>
    <row r="18" spans="2:13" x14ac:dyDescent="0.25">
      <c r="B18" s="38" t="s">
        <v>148</v>
      </c>
      <c r="C18" s="39">
        <v>928.60999999999956</v>
      </c>
      <c r="D18" s="44">
        <v>0.23541058246126373</v>
      </c>
      <c r="E18" s="44">
        <v>1</v>
      </c>
      <c r="F18" s="39"/>
      <c r="G18" s="44"/>
      <c r="H18" s="39"/>
      <c r="I18" s="44"/>
      <c r="J18" s="39"/>
      <c r="K18" s="39"/>
      <c r="L18" s="39"/>
      <c r="M18" s="44"/>
    </row>
    <row r="19" spans="2:13" x14ac:dyDescent="0.25">
      <c r="B19" s="43" t="s">
        <v>149</v>
      </c>
      <c r="C19" s="39">
        <v>262.7799999999998</v>
      </c>
      <c r="D19" s="44">
        <v>6.661697898921061E-2</v>
      </c>
      <c r="E19" s="44">
        <v>0.2829820915131217</v>
      </c>
      <c r="F19" s="39"/>
      <c r="G19" s="44"/>
      <c r="H19" s="39"/>
      <c r="I19" s="44"/>
      <c r="J19" s="39"/>
      <c r="K19" s="39"/>
      <c r="L19" s="39">
        <v>262.7799999999998</v>
      </c>
      <c r="M19" s="44">
        <v>0.2829820915131217</v>
      </c>
    </row>
    <row r="20" spans="2:13" x14ac:dyDescent="0.25">
      <c r="B20" s="43" t="s">
        <v>150</v>
      </c>
      <c r="C20" s="39">
        <v>28.699999999999932</v>
      </c>
      <c r="D20" s="44">
        <v>7.2756956274843652E-3</v>
      </c>
      <c r="E20" s="44">
        <v>3.0906408503031352E-2</v>
      </c>
      <c r="F20" s="39"/>
      <c r="G20" s="44"/>
      <c r="H20" s="39"/>
      <c r="I20" s="44"/>
      <c r="J20" s="39">
        <v>-234.07999999999987</v>
      </c>
      <c r="K20" s="39">
        <v>-234.07999999999987</v>
      </c>
      <c r="L20" s="39">
        <v>291.47999999999973</v>
      </c>
      <c r="M20" s="44">
        <v>0.31388850001615304</v>
      </c>
    </row>
    <row r="21" spans="2:13" x14ac:dyDescent="0.25">
      <c r="B21" s="43" t="s">
        <v>151</v>
      </c>
      <c r="C21" s="39">
        <v>183.50000000000009</v>
      </c>
      <c r="D21" s="44">
        <v>4.6518820475379259E-2</v>
      </c>
      <c r="E21" s="44">
        <v>0.19760717631729163</v>
      </c>
      <c r="F21" s="39"/>
      <c r="G21" s="44"/>
      <c r="H21" s="39"/>
      <c r="I21" s="44"/>
      <c r="J21" s="39">
        <v>154.80000000000015</v>
      </c>
      <c r="K21" s="39">
        <v>-79.279999999999717</v>
      </c>
      <c r="L21" s="39">
        <v>474.97999999999979</v>
      </c>
      <c r="M21" s="44">
        <v>0.51149567633344462</v>
      </c>
    </row>
    <row r="22" spans="2:13" x14ac:dyDescent="0.25">
      <c r="B22" s="43" t="s">
        <v>152</v>
      </c>
      <c r="C22" s="39">
        <v>100.49000000000001</v>
      </c>
      <c r="D22" s="44">
        <v>2.5475075038533298E-2</v>
      </c>
      <c r="E22" s="44">
        <v>0.10821550489441215</v>
      </c>
      <c r="F22" s="39"/>
      <c r="G22" s="44"/>
      <c r="H22" s="39"/>
      <c r="I22" s="44"/>
      <c r="J22" s="39">
        <v>-83.010000000000076</v>
      </c>
      <c r="K22" s="39">
        <v>-162.28999999999979</v>
      </c>
      <c r="L22" s="39">
        <v>575.4699999999998</v>
      </c>
      <c r="M22" s="44">
        <v>0.61971118122785673</v>
      </c>
    </row>
    <row r="23" spans="2:13" x14ac:dyDescent="0.25">
      <c r="B23" s="43" t="s">
        <v>153</v>
      </c>
      <c r="C23" s="39">
        <v>168.69999999999985</v>
      </c>
      <c r="D23" s="44">
        <v>4.2766893810334987E-2</v>
      </c>
      <c r="E23" s="44">
        <v>0.18166937681050163</v>
      </c>
      <c r="F23" s="39"/>
      <c r="G23" s="44"/>
      <c r="H23" s="39"/>
      <c r="I23" s="44"/>
      <c r="J23" s="39">
        <v>68.209999999999837</v>
      </c>
      <c r="K23" s="39">
        <v>-94.079999999999956</v>
      </c>
      <c r="L23" s="39">
        <v>744.16999999999962</v>
      </c>
      <c r="M23" s="44">
        <v>0.80138055803835839</v>
      </c>
    </row>
    <row r="24" spans="2:13" x14ac:dyDescent="0.25">
      <c r="B24" s="43" t="s">
        <v>154</v>
      </c>
      <c r="C24" s="39">
        <v>139.07000000000008</v>
      </c>
      <c r="D24" s="44">
        <v>3.5255435223493156E-2</v>
      </c>
      <c r="E24" s="44">
        <v>0.14976147144657084</v>
      </c>
      <c r="F24" s="39"/>
      <c r="G24" s="44"/>
      <c r="H24" s="39"/>
      <c r="I24" s="44"/>
      <c r="J24" s="39">
        <v>-29.629999999999768</v>
      </c>
      <c r="K24" s="39">
        <v>-123.70999999999972</v>
      </c>
      <c r="L24" s="39">
        <v>883.23999999999967</v>
      </c>
      <c r="M24" s="44">
        <v>0.95114202948492921</v>
      </c>
    </row>
    <row r="25" spans="2:13" x14ac:dyDescent="0.25">
      <c r="B25" s="43" t="s">
        <v>155</v>
      </c>
      <c r="C25" s="39">
        <v>99.950000000000088</v>
      </c>
      <c r="D25" s="44">
        <v>2.5338180416970894E-2</v>
      </c>
      <c r="E25" s="44">
        <v>0.10763399058808341</v>
      </c>
      <c r="F25" s="39"/>
      <c r="G25" s="44"/>
      <c r="H25" s="39"/>
      <c r="I25" s="44"/>
      <c r="J25" s="39">
        <v>-39.11999999999999</v>
      </c>
      <c r="K25" s="39">
        <v>-162.8299999999997</v>
      </c>
      <c r="L25" s="39">
        <v>983.18999999999971</v>
      </c>
      <c r="M25" s="44">
        <v>1.0587760200730125</v>
      </c>
    </row>
    <row r="26" spans="2:13" x14ac:dyDescent="0.25">
      <c r="B26" s="43" t="s">
        <v>156</v>
      </c>
      <c r="C26" s="39">
        <v>-53.599999999999994</v>
      </c>
      <c r="D26" s="44">
        <v>-1.3588058732862817E-2</v>
      </c>
      <c r="E26" s="44">
        <v>-5.7720679294860078E-2</v>
      </c>
      <c r="F26" s="39"/>
      <c r="G26" s="44"/>
      <c r="H26" s="39"/>
      <c r="I26" s="44"/>
      <c r="J26" s="39">
        <v>-153.55000000000007</v>
      </c>
      <c r="K26" s="39">
        <v>-316.37999999999977</v>
      </c>
      <c r="L26" s="39">
        <v>929.58999999999969</v>
      </c>
      <c r="M26" s="44">
        <v>1.0010553407781524</v>
      </c>
    </row>
    <row r="27" spans="2:13" x14ac:dyDescent="0.25">
      <c r="B27" s="43" t="s">
        <v>157</v>
      </c>
      <c r="C27" s="39">
        <v>0.50999999999996248</v>
      </c>
      <c r="D27" s="44">
        <v>1.2928936480894641E-4</v>
      </c>
      <c r="E27" s="44">
        <v>5.4920795597717309E-4</v>
      </c>
      <c r="F27" s="39"/>
      <c r="G27" s="44"/>
      <c r="H27" s="39"/>
      <c r="I27" s="44"/>
      <c r="J27" s="39">
        <v>54.109999999999957</v>
      </c>
      <c r="K27" s="39">
        <v>-262.26999999999987</v>
      </c>
      <c r="L27" s="39">
        <v>930.09999999999968</v>
      </c>
      <c r="M27" s="44">
        <v>1.0016045487341296</v>
      </c>
    </row>
    <row r="28" spans="2:13" x14ac:dyDescent="0.25">
      <c r="B28" s="43" t="s">
        <v>158</v>
      </c>
      <c r="C28" s="39">
        <v>-26.100000000000165</v>
      </c>
      <c r="D28" s="44">
        <v>-6.6165733755171978E-3</v>
      </c>
      <c r="E28" s="44">
        <v>-2.8106524805892871E-2</v>
      </c>
      <c r="F28" s="39"/>
      <c r="G28" s="44"/>
      <c r="H28" s="39"/>
      <c r="I28" s="44"/>
      <c r="J28" s="39">
        <v>-26.610000000000127</v>
      </c>
      <c r="K28" s="39">
        <v>-288.88</v>
      </c>
      <c r="L28" s="39">
        <v>903.99999999999955</v>
      </c>
      <c r="M28" s="44">
        <v>0.97349802392823681</v>
      </c>
    </row>
    <row r="29" spans="2:13" x14ac:dyDescent="0.25">
      <c r="B29" s="43" t="s">
        <v>159</v>
      </c>
      <c r="C29" s="39">
        <v>-88.419999999999987</v>
      </c>
      <c r="D29" s="44">
        <v>-2.2415226738054669E-2</v>
      </c>
      <c r="E29" s="44">
        <v>-9.5217583269618059E-2</v>
      </c>
      <c r="F29" s="39"/>
      <c r="G29" s="44"/>
      <c r="H29" s="39"/>
      <c r="I29" s="44"/>
      <c r="J29" s="39">
        <v>-62.319999999999823</v>
      </c>
      <c r="K29" s="39">
        <v>-351.19999999999982</v>
      </c>
      <c r="L29" s="39">
        <v>815.57999999999959</v>
      </c>
      <c r="M29" s="44">
        <v>0.87828044065861877</v>
      </c>
    </row>
    <row r="30" spans="2:13" x14ac:dyDescent="0.25">
      <c r="B30" s="43" t="s">
        <v>160</v>
      </c>
      <c r="C30" s="39">
        <v>113.02999999999994</v>
      </c>
      <c r="D30" s="44">
        <v>2.8654072361482905E-2</v>
      </c>
      <c r="E30" s="44">
        <v>0.12171955934138121</v>
      </c>
      <c r="F30" s="39"/>
      <c r="G30" s="44"/>
      <c r="H30" s="39"/>
      <c r="I30" s="44"/>
      <c r="J30" s="39">
        <v>201.44999999999993</v>
      </c>
      <c r="K30" s="39">
        <v>-149.74999999999986</v>
      </c>
      <c r="L30" s="39">
        <v>928.60999999999956</v>
      </c>
      <c r="M30" s="44">
        <v>1</v>
      </c>
    </row>
    <row r="31" spans="2:13" x14ac:dyDescent="0.25">
      <c r="B31" s="38" t="s">
        <v>161</v>
      </c>
      <c r="C31" s="39">
        <v>1968.91</v>
      </c>
      <c r="D31" s="44">
        <v>0.49913553581568904</v>
      </c>
      <c r="E31" s="44">
        <v>1</v>
      </c>
      <c r="F31" s="39">
        <v>1040.3000000000006</v>
      </c>
      <c r="G31" s="44">
        <v>1.1202765423590109</v>
      </c>
      <c r="H31" s="39">
        <v>1040.3000000000006</v>
      </c>
      <c r="I31" s="44">
        <v>1.1202765423590109</v>
      </c>
      <c r="J31" s="39"/>
      <c r="K31" s="39"/>
      <c r="L31" s="39"/>
      <c r="M31" s="44"/>
    </row>
    <row r="32" spans="2:13" x14ac:dyDescent="0.25">
      <c r="B32" s="43" t="s">
        <v>149</v>
      </c>
      <c r="C32" s="39">
        <v>440.91999999999996</v>
      </c>
      <c r="D32" s="44">
        <v>0.11177699359130361</v>
      </c>
      <c r="E32" s="44">
        <v>0.22394116541639789</v>
      </c>
      <c r="F32" s="39">
        <v>178.14000000000016</v>
      </c>
      <c r="G32" s="44">
        <v>0.67790547225816378</v>
      </c>
      <c r="H32" s="39">
        <v>178.14000000000016</v>
      </c>
      <c r="I32" s="44">
        <v>0.67790547225816378</v>
      </c>
      <c r="J32" s="39"/>
      <c r="K32" s="39"/>
      <c r="L32" s="39">
        <v>440.91999999999996</v>
      </c>
      <c r="M32" s="44">
        <v>0.22394116541639789</v>
      </c>
    </row>
    <row r="33" spans="2:13" x14ac:dyDescent="0.25">
      <c r="B33" s="43" t="s">
        <v>150</v>
      </c>
      <c r="C33" s="39">
        <v>114.15999999999991</v>
      </c>
      <c r="D33" s="44">
        <v>2.8940537032530189E-2</v>
      </c>
      <c r="E33" s="44">
        <v>5.7981319613390099E-2</v>
      </c>
      <c r="F33" s="39">
        <v>85.45999999999998</v>
      </c>
      <c r="G33" s="44">
        <v>2.9777003484320623</v>
      </c>
      <c r="H33" s="39">
        <v>85.45999999999998</v>
      </c>
      <c r="I33" s="44">
        <v>2.9777003484320623</v>
      </c>
      <c r="J33" s="39">
        <v>-326.76000000000005</v>
      </c>
      <c r="K33" s="39">
        <v>-326.76000000000005</v>
      </c>
      <c r="L33" s="39">
        <v>555.07999999999993</v>
      </c>
      <c r="M33" s="44">
        <v>0.28192248502978801</v>
      </c>
    </row>
    <row r="34" spans="2:13" x14ac:dyDescent="0.25">
      <c r="B34" s="43" t="s">
        <v>151</v>
      </c>
      <c r="C34" s="39">
        <v>201.58999999999989</v>
      </c>
      <c r="D34" s="44">
        <v>5.1104790297720415E-2</v>
      </c>
      <c r="E34" s="44">
        <v>0.10238659969221543</v>
      </c>
      <c r="F34" s="39">
        <v>18.089999999999804</v>
      </c>
      <c r="G34" s="44">
        <v>9.8583106267028861E-2</v>
      </c>
      <c r="H34" s="39">
        <v>18.089999999999804</v>
      </c>
      <c r="I34" s="44">
        <v>9.8583106267028861E-2</v>
      </c>
      <c r="J34" s="39">
        <v>87.429999999999978</v>
      </c>
      <c r="K34" s="39">
        <v>-239.33000000000007</v>
      </c>
      <c r="L34" s="39">
        <v>756.66999999999985</v>
      </c>
      <c r="M34" s="44">
        <v>0.38430908472200342</v>
      </c>
    </row>
    <row r="35" spans="2:13" x14ac:dyDescent="0.25">
      <c r="B35" s="43" t="s">
        <v>152</v>
      </c>
      <c r="C35" s="39">
        <v>17.979999999999905</v>
      </c>
      <c r="D35" s="44">
        <v>4.5580838809117941E-3</v>
      </c>
      <c r="E35" s="44">
        <v>9.131956260062626E-3</v>
      </c>
      <c r="F35" s="39">
        <v>-82.510000000000105</v>
      </c>
      <c r="G35" s="44">
        <v>-0.82107672405214549</v>
      </c>
      <c r="H35" s="39">
        <v>-82.510000000000105</v>
      </c>
      <c r="I35" s="44">
        <v>-0.82107672405214549</v>
      </c>
      <c r="J35" s="39">
        <v>-183.60999999999999</v>
      </c>
      <c r="K35" s="39">
        <v>-422.94000000000005</v>
      </c>
      <c r="L35" s="39">
        <v>774.64999999999975</v>
      </c>
      <c r="M35" s="44">
        <v>0.39344104098206606</v>
      </c>
    </row>
    <row r="36" spans="2:13" x14ac:dyDescent="0.25">
      <c r="B36" s="43" t="s">
        <v>153</v>
      </c>
      <c r="C36" s="39">
        <v>349.2</v>
      </c>
      <c r="D36" s="44">
        <v>8.852518861036747E-2</v>
      </c>
      <c r="E36" s="44">
        <v>0.17735701479498808</v>
      </c>
      <c r="F36" s="39">
        <v>180.50000000000014</v>
      </c>
      <c r="G36" s="44">
        <v>1.0699466508595157</v>
      </c>
      <c r="H36" s="39">
        <v>180.50000000000014</v>
      </c>
      <c r="I36" s="44">
        <v>1.0699466508595157</v>
      </c>
      <c r="J36" s="39">
        <v>331.22000000000008</v>
      </c>
      <c r="K36" s="39">
        <v>-91.71999999999997</v>
      </c>
      <c r="L36" s="39">
        <v>1123.8499999999997</v>
      </c>
      <c r="M36" s="44">
        <v>0.57079805577705411</v>
      </c>
    </row>
    <row r="37" spans="2:13" x14ac:dyDescent="0.25">
      <c r="B37" s="43" t="s">
        <v>154</v>
      </c>
      <c r="C37" s="39">
        <v>268.52000000000015</v>
      </c>
      <c r="D37" s="44">
        <v>6.8072118114707578E-2</v>
      </c>
      <c r="E37" s="44">
        <v>0.13638002752792161</v>
      </c>
      <c r="F37" s="39">
        <v>129.45000000000007</v>
      </c>
      <c r="G37" s="44">
        <v>0.93082620263176818</v>
      </c>
      <c r="H37" s="39">
        <v>129.45000000000007</v>
      </c>
      <c r="I37" s="44">
        <v>0.93082620263176818</v>
      </c>
      <c r="J37" s="39">
        <v>-80.679999999999836</v>
      </c>
      <c r="K37" s="39">
        <v>-172.39999999999981</v>
      </c>
      <c r="L37" s="39">
        <v>1392.37</v>
      </c>
      <c r="M37" s="44">
        <v>0.70717808330497578</v>
      </c>
    </row>
    <row r="38" spans="2:13" x14ac:dyDescent="0.25">
      <c r="B38" s="43" t="s">
        <v>155</v>
      </c>
      <c r="C38" s="39">
        <v>48.05999999999991</v>
      </c>
      <c r="D38" s="44">
        <v>1.2183621319055706E-2</v>
      </c>
      <c r="E38" s="44">
        <v>2.4409444819722542E-2</v>
      </c>
      <c r="F38" s="39">
        <v>-51.890000000000178</v>
      </c>
      <c r="G38" s="44">
        <v>-0.51915957978989624</v>
      </c>
      <c r="H38" s="39">
        <v>-51.890000000000178</v>
      </c>
      <c r="I38" s="44">
        <v>-0.51915957978989624</v>
      </c>
      <c r="J38" s="39">
        <v>-220.46000000000024</v>
      </c>
      <c r="K38" s="39">
        <v>-392.86000000000007</v>
      </c>
      <c r="L38" s="39">
        <v>1440.4299999999998</v>
      </c>
      <c r="M38" s="44">
        <v>0.73158752812469829</v>
      </c>
    </row>
    <row r="39" spans="2:13" x14ac:dyDescent="0.25">
      <c r="B39" s="43" t="s">
        <v>156</v>
      </c>
      <c r="C39" s="39">
        <v>-3.5399999999998002</v>
      </c>
      <c r="D39" s="44">
        <v>-8.9742029690917282E-4</v>
      </c>
      <c r="E39" s="44">
        <v>-1.7979491190556196E-3</v>
      </c>
      <c r="F39" s="39">
        <v>50.060000000000194</v>
      </c>
      <c r="G39" s="44">
        <v>-0.9339552238806007</v>
      </c>
      <c r="H39" s="39">
        <v>50.060000000000194</v>
      </c>
      <c r="I39" s="44">
        <v>-0.9339552238806007</v>
      </c>
      <c r="J39" s="39">
        <v>-51.59999999999971</v>
      </c>
      <c r="K39" s="39">
        <v>-444.45999999999975</v>
      </c>
      <c r="L39" s="39">
        <v>1436.89</v>
      </c>
      <c r="M39" s="44">
        <v>0.72978957900564279</v>
      </c>
    </row>
    <row r="40" spans="2:13" x14ac:dyDescent="0.25">
      <c r="B40" s="43" t="s">
        <v>157</v>
      </c>
      <c r="C40" s="39">
        <v>385.24000000000018</v>
      </c>
      <c r="D40" s="44">
        <v>9.7661637056867062E-2</v>
      </c>
      <c r="E40" s="44">
        <v>0.19566155893362325</v>
      </c>
      <c r="F40" s="39">
        <v>384.73000000000025</v>
      </c>
      <c r="G40" s="44">
        <v>754.37254901966378</v>
      </c>
      <c r="H40" s="39">
        <v>384.73000000000025</v>
      </c>
      <c r="I40" s="44">
        <v>754.37254901966378</v>
      </c>
      <c r="J40" s="39">
        <v>388.78</v>
      </c>
      <c r="K40" s="39">
        <v>-55.679999999999779</v>
      </c>
      <c r="L40" s="39">
        <v>1822.1300000000003</v>
      </c>
      <c r="M40" s="44">
        <v>0.92545113793926603</v>
      </c>
    </row>
    <row r="41" spans="2:13" x14ac:dyDescent="0.25">
      <c r="B41" s="43" t="s">
        <v>158</v>
      </c>
      <c r="C41" s="39">
        <v>159.78999999999996</v>
      </c>
      <c r="D41" s="44">
        <v>4.0508132554555022E-2</v>
      </c>
      <c r="E41" s="44">
        <v>8.1156579020879555E-2</v>
      </c>
      <c r="F41" s="39">
        <v>185.89000000000013</v>
      </c>
      <c r="G41" s="44">
        <v>-7.1222222222221818</v>
      </c>
      <c r="H41" s="39">
        <v>185.89000000000013</v>
      </c>
      <c r="I41" s="44">
        <v>-7.1222222222221818</v>
      </c>
      <c r="J41" s="39">
        <v>-225.45000000000022</v>
      </c>
      <c r="K41" s="39">
        <v>-281.13</v>
      </c>
      <c r="L41" s="39">
        <v>1981.9200000000003</v>
      </c>
      <c r="M41" s="44">
        <v>1.0066077169601455</v>
      </c>
    </row>
    <row r="42" spans="2:13" x14ac:dyDescent="0.25">
      <c r="B42" s="43" t="s">
        <v>159</v>
      </c>
      <c r="C42" s="39">
        <v>-34.290000000000148</v>
      </c>
      <c r="D42" s="44">
        <v>-8.6928084692139574E-3</v>
      </c>
      <c r="E42" s="44">
        <v>-1.7415727483734728E-2</v>
      </c>
      <c r="F42" s="39">
        <v>54.129999999999839</v>
      </c>
      <c r="G42" s="44">
        <v>-0.61219181180728166</v>
      </c>
      <c r="H42" s="39">
        <v>54.129999999999839</v>
      </c>
      <c r="I42" s="44">
        <v>-0.61219181180728166</v>
      </c>
      <c r="J42" s="39">
        <v>-194.0800000000001</v>
      </c>
      <c r="K42" s="39">
        <v>-475.21000000000009</v>
      </c>
      <c r="L42" s="39">
        <v>1947.63</v>
      </c>
      <c r="M42" s="44">
        <v>0.98919198947641085</v>
      </c>
    </row>
    <row r="43" spans="2:13" x14ac:dyDescent="0.25">
      <c r="B43" s="43" t="s">
        <v>160</v>
      </c>
      <c r="C43" s="39">
        <v>21.279999999999987</v>
      </c>
      <c r="D43" s="44">
        <v>5.3946621237932948E-3</v>
      </c>
      <c r="E43" s="44">
        <v>1.0808010523589187E-2</v>
      </c>
      <c r="F43" s="39">
        <v>-91.749999999999957</v>
      </c>
      <c r="G43" s="44">
        <v>-0.81173139874369638</v>
      </c>
      <c r="H43" s="39">
        <v>-91.749999999999957</v>
      </c>
      <c r="I43" s="44">
        <v>-0.81173139874369638</v>
      </c>
      <c r="J43" s="39">
        <v>55.570000000000135</v>
      </c>
      <c r="K43" s="39">
        <v>-419.64</v>
      </c>
      <c r="L43" s="39">
        <v>1968.91</v>
      </c>
      <c r="M43" s="44">
        <v>1</v>
      </c>
    </row>
    <row r="44" spans="2:13" x14ac:dyDescent="0.25">
      <c r="B44" s="38" t="s">
        <v>162</v>
      </c>
      <c r="C44" s="39">
        <v>1047.1200000000013</v>
      </c>
      <c r="D44" s="44">
        <v>0.26545388172304724</v>
      </c>
      <c r="E44" s="44">
        <v>1</v>
      </c>
      <c r="F44" s="39">
        <v>118.5100000000017</v>
      </c>
      <c r="G44" s="44">
        <v>0.12762085267227549</v>
      </c>
      <c r="H44" s="39">
        <v>-921.78999999999883</v>
      </c>
      <c r="I44" s="44">
        <v>-0.46817274532609354</v>
      </c>
      <c r="J44" s="39"/>
      <c r="K44" s="39"/>
      <c r="L44" s="39"/>
      <c r="M44" s="44"/>
    </row>
    <row r="45" spans="2:13" x14ac:dyDescent="0.25">
      <c r="B45" s="43" t="s">
        <v>149</v>
      </c>
      <c r="C45" s="39">
        <v>696.69000000000017</v>
      </c>
      <c r="D45" s="44">
        <v>0.17661687758578731</v>
      </c>
      <c r="E45" s="44">
        <v>0.66533921613568581</v>
      </c>
      <c r="F45" s="39">
        <v>433.91000000000037</v>
      </c>
      <c r="G45" s="44">
        <v>1.6512291650810591</v>
      </c>
      <c r="H45" s="39">
        <v>255.77000000000021</v>
      </c>
      <c r="I45" s="44">
        <v>0.58008255465844194</v>
      </c>
      <c r="J45" s="39"/>
      <c r="K45" s="39"/>
      <c r="L45" s="39">
        <v>696.69000000000017</v>
      </c>
      <c r="M45" s="44">
        <v>0.66533921613568581</v>
      </c>
    </row>
    <row r="46" spans="2:13" x14ac:dyDescent="0.25">
      <c r="B46" s="43" t="s">
        <v>150</v>
      </c>
      <c r="C46" s="39">
        <v>-17.149999999999991</v>
      </c>
      <c r="D46" s="44">
        <v>-4.3476717773992023E-3</v>
      </c>
      <c r="E46" s="44">
        <v>-1.6378256551302591E-2</v>
      </c>
      <c r="F46" s="39">
        <v>-45.849999999999923</v>
      </c>
      <c r="G46" s="44">
        <v>-1.5975609756097573</v>
      </c>
      <c r="H46" s="39">
        <v>-131.30999999999989</v>
      </c>
      <c r="I46" s="44">
        <v>-1.150227750525578</v>
      </c>
      <c r="J46" s="39">
        <v>-713.84000000000015</v>
      </c>
      <c r="K46" s="39">
        <v>-713.84000000000015</v>
      </c>
      <c r="L46" s="39">
        <v>679.54000000000019</v>
      </c>
      <c r="M46" s="44">
        <v>0.64896095958438327</v>
      </c>
    </row>
    <row r="47" spans="2:13" x14ac:dyDescent="0.25">
      <c r="B47" s="43" t="s">
        <v>151</v>
      </c>
      <c r="C47" s="39">
        <v>-195.94999999999993</v>
      </c>
      <c r="D47" s="44">
        <v>-4.9675002028068439E-2</v>
      </c>
      <c r="E47" s="44">
        <v>-0.18713232485292966</v>
      </c>
      <c r="F47" s="39">
        <v>-379.45000000000005</v>
      </c>
      <c r="G47" s="44">
        <v>-2.067847411444141</v>
      </c>
      <c r="H47" s="39">
        <v>-397.53999999999985</v>
      </c>
      <c r="I47" s="44">
        <v>-1.9720224217471107</v>
      </c>
      <c r="J47" s="39">
        <v>-178.79999999999995</v>
      </c>
      <c r="K47" s="39">
        <v>-892.6400000000001</v>
      </c>
      <c r="L47" s="39">
        <v>483.59000000000026</v>
      </c>
      <c r="M47" s="44">
        <v>0.46182863473145358</v>
      </c>
    </row>
    <row r="48" spans="2:13" x14ac:dyDescent="0.25">
      <c r="B48" s="43" t="s">
        <v>152</v>
      </c>
      <c r="C48" s="39">
        <v>-166.33999999999997</v>
      </c>
      <c r="D48" s="44">
        <v>-4.2168613612395538E-2</v>
      </c>
      <c r="E48" s="44">
        <v>-0.1588547635419052</v>
      </c>
      <c r="F48" s="39">
        <v>-266.83</v>
      </c>
      <c r="G48" s="44">
        <v>-2.6552890834908944</v>
      </c>
      <c r="H48" s="39">
        <v>-184.31999999999988</v>
      </c>
      <c r="I48" s="44">
        <v>-10.251390433815398</v>
      </c>
      <c r="J48" s="39">
        <v>29.609999999999957</v>
      </c>
      <c r="K48" s="39">
        <v>-863.0300000000002</v>
      </c>
      <c r="L48" s="39">
        <v>317.25000000000028</v>
      </c>
      <c r="M48" s="44">
        <v>0.30297387118954838</v>
      </c>
    </row>
    <row r="49" spans="2:13" x14ac:dyDescent="0.25">
      <c r="B49" s="43" t="s">
        <v>153</v>
      </c>
      <c r="C49" s="39">
        <v>-154.39999999999975</v>
      </c>
      <c r="D49" s="44">
        <v>-3.9141721424515219E-2</v>
      </c>
      <c r="E49" s="44">
        <v>-0.14745205898082317</v>
      </c>
      <c r="F49" s="39">
        <v>-323.09999999999957</v>
      </c>
      <c r="G49" s="44">
        <v>-1.9152341434499103</v>
      </c>
      <c r="H49" s="39">
        <v>-503.59999999999974</v>
      </c>
      <c r="I49" s="44">
        <v>-1.4421534936998848</v>
      </c>
      <c r="J49" s="39">
        <v>11.940000000000225</v>
      </c>
      <c r="K49" s="39">
        <v>-851.08999999999992</v>
      </c>
      <c r="L49" s="39">
        <v>162.85000000000053</v>
      </c>
      <c r="M49" s="44">
        <v>0.15552181220872521</v>
      </c>
    </row>
    <row r="50" spans="2:13" x14ac:dyDescent="0.25">
      <c r="B50" s="43" t="s">
        <v>154</v>
      </c>
      <c r="C50" s="39">
        <v>135.84000000000009</v>
      </c>
      <c r="D50" s="44">
        <v>3.4436602579703109E-2</v>
      </c>
      <c r="E50" s="44">
        <v>0.12972725189090067</v>
      </c>
      <c r="F50" s="39">
        <v>-3.2299999999999898</v>
      </c>
      <c r="G50" s="44">
        <v>-2.3225713669375047E-2</v>
      </c>
      <c r="H50" s="39">
        <v>-132.68000000000006</v>
      </c>
      <c r="I50" s="44">
        <v>-0.49411589453299565</v>
      </c>
      <c r="J50" s="39">
        <v>290.23999999999984</v>
      </c>
      <c r="K50" s="39">
        <v>-560.85000000000014</v>
      </c>
      <c r="L50" s="39">
        <v>298.69000000000062</v>
      </c>
      <c r="M50" s="44">
        <v>0.28524906409962592</v>
      </c>
    </row>
    <row r="51" spans="2:13" x14ac:dyDescent="0.25">
      <c r="B51" s="43" t="s">
        <v>155</v>
      </c>
      <c r="C51" s="39">
        <v>230.03000000000009</v>
      </c>
      <c r="D51" s="44">
        <v>5.8314573700008122E-2</v>
      </c>
      <c r="E51" s="44">
        <v>0.21967873787149497</v>
      </c>
      <c r="F51" s="39">
        <v>130.07999999999998</v>
      </c>
      <c r="G51" s="44">
        <v>1.3014507253626801</v>
      </c>
      <c r="H51" s="39">
        <v>181.97000000000017</v>
      </c>
      <c r="I51" s="44">
        <v>3.7863087806908138</v>
      </c>
      <c r="J51" s="39">
        <v>94.19</v>
      </c>
      <c r="K51" s="39">
        <v>-466.66000000000008</v>
      </c>
      <c r="L51" s="39">
        <v>528.72000000000071</v>
      </c>
      <c r="M51" s="44">
        <v>0.50492780197112086</v>
      </c>
    </row>
    <row r="52" spans="2:13" x14ac:dyDescent="0.25">
      <c r="B52" s="43" t="s">
        <v>156</v>
      </c>
      <c r="C52" s="39">
        <v>137.58000000000038</v>
      </c>
      <c r="D52" s="44">
        <v>3.4877707471404326E-2</v>
      </c>
      <c r="E52" s="44">
        <v>0.13138895255558122</v>
      </c>
      <c r="F52" s="39">
        <v>191.18000000000038</v>
      </c>
      <c r="G52" s="44">
        <v>-3.5667910447761266</v>
      </c>
      <c r="H52" s="39">
        <v>141.12000000000018</v>
      </c>
      <c r="I52" s="44">
        <v>-39.864406779663319</v>
      </c>
      <c r="J52" s="39">
        <v>-92.449999999999704</v>
      </c>
      <c r="K52" s="39">
        <v>-559.10999999999979</v>
      </c>
      <c r="L52" s="39">
        <v>666.30000000000109</v>
      </c>
      <c r="M52" s="44">
        <v>0.63631675452670211</v>
      </c>
    </row>
    <row r="53" spans="2:13" x14ac:dyDescent="0.25">
      <c r="B53" s="43" t="s">
        <v>157</v>
      </c>
      <c r="C53" s="39">
        <v>147.34000000000017</v>
      </c>
      <c r="D53" s="44">
        <v>3.7351951001865863E-2</v>
      </c>
      <c r="E53" s="44">
        <v>0.1407097562839025</v>
      </c>
      <c r="F53" s="39">
        <v>146.83000000000021</v>
      </c>
      <c r="G53" s="44">
        <v>287.9019607843353</v>
      </c>
      <c r="H53" s="39">
        <v>-237.9</v>
      </c>
      <c r="I53" s="44">
        <v>-0.61753711971757841</v>
      </c>
      <c r="J53" s="39">
        <v>9.759999999999792</v>
      </c>
      <c r="K53" s="39">
        <v>-549.35</v>
      </c>
      <c r="L53" s="39">
        <v>813.64000000000124</v>
      </c>
      <c r="M53" s="44">
        <v>0.77702651081060459</v>
      </c>
    </row>
    <row r="54" spans="2:13" x14ac:dyDescent="0.25">
      <c r="B54" s="43" t="s">
        <v>158</v>
      </c>
      <c r="C54" s="39">
        <v>30.71999999999997</v>
      </c>
      <c r="D54" s="44">
        <v>7.7877829155512199E-3</v>
      </c>
      <c r="E54" s="44">
        <v>2.9337611735044632E-2</v>
      </c>
      <c r="F54" s="39">
        <v>56.820000000000135</v>
      </c>
      <c r="G54" s="44">
        <v>-2.1770114942528651</v>
      </c>
      <c r="H54" s="39">
        <v>-129.07</v>
      </c>
      <c r="I54" s="44">
        <v>-0.80774766881532023</v>
      </c>
      <c r="J54" s="39">
        <v>-116.6200000000002</v>
      </c>
      <c r="K54" s="39">
        <v>-665.97000000000025</v>
      </c>
      <c r="L54" s="39">
        <v>844.36000000000126</v>
      </c>
      <c r="M54" s="44">
        <v>0.80636412254564926</v>
      </c>
    </row>
    <row r="55" spans="2:13" x14ac:dyDescent="0.25">
      <c r="B55" s="43" t="s">
        <v>159</v>
      </c>
      <c r="C55" s="39">
        <v>136.95999999999998</v>
      </c>
      <c r="D55" s="44">
        <v>3.4720532165165886E-2</v>
      </c>
      <c r="E55" s="44">
        <v>0.13079685231874075</v>
      </c>
      <c r="F55" s="39">
        <v>225.37999999999997</v>
      </c>
      <c r="G55" s="44">
        <v>-2.5489708210812032</v>
      </c>
      <c r="H55" s="39">
        <v>171.25000000000011</v>
      </c>
      <c r="I55" s="44">
        <v>-4.9941673957421804</v>
      </c>
      <c r="J55" s="39">
        <v>106.24000000000001</v>
      </c>
      <c r="K55" s="39">
        <v>-559.73000000000025</v>
      </c>
      <c r="L55" s="39">
        <v>981.3200000000013</v>
      </c>
      <c r="M55" s="44">
        <v>0.9371609748643901</v>
      </c>
    </row>
    <row r="56" spans="2:13" x14ac:dyDescent="0.25">
      <c r="B56" s="43" t="s">
        <v>160</v>
      </c>
      <c r="C56" s="39">
        <v>65.8</v>
      </c>
      <c r="D56" s="44">
        <v>1.6680863145939803E-2</v>
      </c>
      <c r="E56" s="44">
        <v>6.2839025135609974E-2</v>
      </c>
      <c r="F56" s="39">
        <v>-47.229999999999947</v>
      </c>
      <c r="G56" s="44">
        <v>-0.41785366716800826</v>
      </c>
      <c r="H56" s="39">
        <v>44.52000000000001</v>
      </c>
      <c r="I56" s="44">
        <v>2.0921052631578965</v>
      </c>
      <c r="J56" s="39">
        <v>-71.159999999999982</v>
      </c>
      <c r="K56" s="39">
        <v>-630.89000000000021</v>
      </c>
      <c r="L56" s="39">
        <v>1047.1200000000013</v>
      </c>
      <c r="M56" s="44">
        <v>1</v>
      </c>
    </row>
    <row r="57" spans="2:13" x14ac:dyDescent="0.25">
      <c r="B57" s="38" t="s">
        <v>147</v>
      </c>
      <c r="C57" s="39">
        <v>3944.6400000000008</v>
      </c>
      <c r="D57" s="44">
        <v>1</v>
      </c>
      <c r="E57" s="44"/>
      <c r="F57" s="39"/>
      <c r="G57" s="44"/>
      <c r="H57" s="39"/>
      <c r="I57" s="44"/>
      <c r="J57" s="39"/>
      <c r="K57" s="39"/>
      <c r="L57" s="39"/>
      <c r="M57" s="44"/>
    </row>
  </sheetData>
  <phoneticPr fontId="4" type="noConversion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4F0A-5F91-44EF-9A5F-87C56FD63657}">
  <sheetPr codeName="Sheet4"/>
  <dimension ref="A1:H265"/>
  <sheetViews>
    <sheetView topLeftCell="A239" workbookViewId="0">
      <selection activeCell="A2" sqref="A2:H265"/>
    </sheetView>
  </sheetViews>
  <sheetFormatPr defaultRowHeight="13.8" x14ac:dyDescent="0.25"/>
  <sheetData>
    <row r="1" spans="1:8" x14ac:dyDescent="0.25">
      <c r="A1" s="4" t="s">
        <v>123</v>
      </c>
      <c r="B1" s="5" t="s">
        <v>52</v>
      </c>
      <c r="C1" s="5" t="s">
        <v>84</v>
      </c>
      <c r="D1" s="5" t="s">
        <v>53</v>
      </c>
      <c r="E1" s="5" t="s">
        <v>127</v>
      </c>
      <c r="F1" s="5" t="s">
        <v>124</v>
      </c>
      <c r="G1" s="6" t="s">
        <v>144</v>
      </c>
      <c r="H1" s="5" t="s">
        <v>125</v>
      </c>
    </row>
    <row r="2" spans="1:8" ht="14.4" x14ac:dyDescent="0.25">
      <c r="A2" s="12">
        <v>42370</v>
      </c>
      <c r="B2" s="13" t="s">
        <v>41</v>
      </c>
      <c r="C2" s="14" t="s">
        <v>67</v>
      </c>
      <c r="D2" s="13" t="s">
        <v>122</v>
      </c>
      <c r="E2" s="13" t="s">
        <v>128</v>
      </c>
      <c r="F2" s="15">
        <v>527.42999999999995</v>
      </c>
      <c r="G2" s="16">
        <v>527.42999999999995</v>
      </c>
      <c r="H2" s="15">
        <v>0</v>
      </c>
    </row>
    <row r="3" spans="1:8" ht="14.4" x14ac:dyDescent="0.25">
      <c r="A3" s="7">
        <v>42370</v>
      </c>
      <c r="B3" s="8" t="s">
        <v>6</v>
      </c>
      <c r="C3" s="9" t="s">
        <v>81</v>
      </c>
      <c r="D3" s="8" t="s">
        <v>118</v>
      </c>
      <c r="E3" s="8" t="s">
        <v>130</v>
      </c>
      <c r="F3" s="10">
        <v>162.93</v>
      </c>
      <c r="G3" s="11">
        <v>174.34</v>
      </c>
      <c r="H3" s="10">
        <v>-11.41</v>
      </c>
    </row>
    <row r="4" spans="1:8" ht="14.4" x14ac:dyDescent="0.25">
      <c r="A4" s="12">
        <v>42371</v>
      </c>
      <c r="B4" s="13" t="s">
        <v>38</v>
      </c>
      <c r="C4" s="14" t="s">
        <v>116</v>
      </c>
      <c r="D4" s="13" t="s">
        <v>122</v>
      </c>
      <c r="E4" s="13" t="s">
        <v>128</v>
      </c>
      <c r="F4" s="15">
        <v>186.23</v>
      </c>
      <c r="G4" s="16">
        <v>171.32999999999998</v>
      </c>
      <c r="H4" s="15">
        <v>14.9</v>
      </c>
    </row>
    <row r="5" spans="1:8" ht="14.4" x14ac:dyDescent="0.25">
      <c r="A5" s="7">
        <v>42371</v>
      </c>
      <c r="B5" s="8" t="s">
        <v>48</v>
      </c>
      <c r="C5" s="9" t="s">
        <v>71</v>
      </c>
      <c r="D5" s="8" t="s">
        <v>122</v>
      </c>
      <c r="E5" s="8" t="s">
        <v>128</v>
      </c>
      <c r="F5" s="10">
        <v>279.55</v>
      </c>
      <c r="G5" s="11">
        <v>257.19</v>
      </c>
      <c r="H5" s="10">
        <v>22.36</v>
      </c>
    </row>
    <row r="6" spans="1:8" ht="14.4" x14ac:dyDescent="0.25">
      <c r="A6" s="12">
        <v>42371</v>
      </c>
      <c r="B6" s="13" t="s">
        <v>25</v>
      </c>
      <c r="C6" s="14" t="s">
        <v>94</v>
      </c>
      <c r="D6" s="13" t="s">
        <v>119</v>
      </c>
      <c r="E6" s="13" t="s">
        <v>128</v>
      </c>
      <c r="F6" s="15">
        <v>810.6</v>
      </c>
      <c r="G6" s="16">
        <v>770.07</v>
      </c>
      <c r="H6" s="15">
        <v>40.53</v>
      </c>
    </row>
    <row r="7" spans="1:8" ht="14.4" x14ac:dyDescent="0.25">
      <c r="A7" s="7">
        <v>42372</v>
      </c>
      <c r="B7" s="8" t="s">
        <v>17</v>
      </c>
      <c r="C7" s="9" t="s">
        <v>74</v>
      </c>
      <c r="D7" s="8" t="s">
        <v>119</v>
      </c>
      <c r="E7" s="8" t="s">
        <v>128</v>
      </c>
      <c r="F7" s="10">
        <v>460.06</v>
      </c>
      <c r="G7" s="11">
        <v>418.65</v>
      </c>
      <c r="H7" s="10">
        <v>41.41</v>
      </c>
    </row>
    <row r="8" spans="1:8" ht="14.4" x14ac:dyDescent="0.25">
      <c r="A8" s="12">
        <v>42372</v>
      </c>
      <c r="B8" s="13" t="s">
        <v>5</v>
      </c>
      <c r="C8" s="14" t="s">
        <v>102</v>
      </c>
      <c r="D8" s="13" t="s">
        <v>118</v>
      </c>
      <c r="E8" s="13" t="s">
        <v>130</v>
      </c>
      <c r="F8" s="15">
        <v>335.21</v>
      </c>
      <c r="G8" s="16">
        <v>345.27</v>
      </c>
      <c r="H8" s="15">
        <v>-10.06</v>
      </c>
    </row>
    <row r="9" spans="1:8" ht="14.4" x14ac:dyDescent="0.25">
      <c r="A9" s="7">
        <v>42373</v>
      </c>
      <c r="B9" s="8" t="s">
        <v>41</v>
      </c>
      <c r="C9" s="9" t="s">
        <v>68</v>
      </c>
      <c r="D9" s="8" t="s">
        <v>122</v>
      </c>
      <c r="E9" s="8" t="s">
        <v>129</v>
      </c>
      <c r="F9" s="10">
        <v>123.38</v>
      </c>
      <c r="G9" s="11">
        <v>129.54999999999998</v>
      </c>
      <c r="H9" s="10">
        <v>-6.17</v>
      </c>
    </row>
    <row r="10" spans="1:8" ht="14.4" x14ac:dyDescent="0.25">
      <c r="A10" s="12">
        <v>42373</v>
      </c>
      <c r="B10" s="13" t="s">
        <v>43</v>
      </c>
      <c r="C10" s="14" t="s">
        <v>106</v>
      </c>
      <c r="D10" s="13" t="s">
        <v>122</v>
      </c>
      <c r="E10" s="13" t="s">
        <v>129</v>
      </c>
      <c r="F10" s="15">
        <v>153.68</v>
      </c>
      <c r="G10" s="16">
        <v>141.39000000000001</v>
      </c>
      <c r="H10" s="15">
        <v>12.29</v>
      </c>
    </row>
    <row r="11" spans="1:8" ht="14.4" x14ac:dyDescent="0.25">
      <c r="A11" s="7">
        <v>42373</v>
      </c>
      <c r="B11" s="8" t="s">
        <v>9</v>
      </c>
      <c r="C11" s="9" t="s">
        <v>95</v>
      </c>
      <c r="D11" s="8" t="s">
        <v>118</v>
      </c>
      <c r="E11" s="8" t="s">
        <v>130</v>
      </c>
      <c r="F11" s="10">
        <v>3.1</v>
      </c>
      <c r="G11" s="11">
        <v>3.0100000000000002</v>
      </c>
      <c r="H11" s="10">
        <v>0.09</v>
      </c>
    </row>
    <row r="12" spans="1:8" ht="14.4" x14ac:dyDescent="0.25">
      <c r="A12" s="12">
        <v>42373</v>
      </c>
      <c r="B12" s="13" t="s">
        <v>16</v>
      </c>
      <c r="C12" s="14" t="s">
        <v>61</v>
      </c>
      <c r="D12" s="13" t="s">
        <v>118</v>
      </c>
      <c r="E12" s="13" t="s">
        <v>128</v>
      </c>
      <c r="F12" s="15">
        <v>449.7</v>
      </c>
      <c r="G12" s="16">
        <v>449.7</v>
      </c>
      <c r="H12" s="15">
        <v>0</v>
      </c>
    </row>
    <row r="13" spans="1:8" ht="14.4" x14ac:dyDescent="0.25">
      <c r="A13" s="7">
        <v>42374</v>
      </c>
      <c r="B13" s="8" t="s">
        <v>38</v>
      </c>
      <c r="C13" s="9" t="s">
        <v>62</v>
      </c>
      <c r="D13" s="8" t="s">
        <v>122</v>
      </c>
      <c r="E13" s="8" t="s">
        <v>129</v>
      </c>
      <c r="F13" s="10">
        <v>389.61</v>
      </c>
      <c r="G13" s="11">
        <v>374.03000000000003</v>
      </c>
      <c r="H13" s="10">
        <v>15.58</v>
      </c>
    </row>
    <row r="14" spans="1:8" ht="14.4" x14ac:dyDescent="0.25">
      <c r="A14" s="12">
        <v>42374</v>
      </c>
      <c r="B14" s="13" t="s">
        <v>22</v>
      </c>
      <c r="C14" s="14" t="s">
        <v>76</v>
      </c>
      <c r="D14" s="13" t="s">
        <v>119</v>
      </c>
      <c r="E14" s="13" t="s">
        <v>128</v>
      </c>
      <c r="F14" s="15">
        <v>945.06</v>
      </c>
      <c r="G14" s="16">
        <v>897.81</v>
      </c>
      <c r="H14" s="15">
        <v>47.25</v>
      </c>
    </row>
    <row r="15" spans="1:8" ht="14.4" x14ac:dyDescent="0.25">
      <c r="A15" s="7">
        <v>42374</v>
      </c>
      <c r="B15" s="8" t="s">
        <v>45</v>
      </c>
      <c r="C15" s="9" t="s">
        <v>101</v>
      </c>
      <c r="D15" s="8" t="s">
        <v>122</v>
      </c>
      <c r="E15" s="8" t="s">
        <v>129</v>
      </c>
      <c r="F15" s="10">
        <v>733.89</v>
      </c>
      <c r="G15" s="11">
        <v>704.53</v>
      </c>
      <c r="H15" s="10">
        <v>29.36</v>
      </c>
    </row>
    <row r="16" spans="1:8" ht="14.4" x14ac:dyDescent="0.25">
      <c r="A16" s="12">
        <v>42374</v>
      </c>
      <c r="B16" s="13" t="s">
        <v>37</v>
      </c>
      <c r="C16" s="14" t="s">
        <v>87</v>
      </c>
      <c r="D16" s="13" t="s">
        <v>121</v>
      </c>
      <c r="E16" s="13" t="s">
        <v>129</v>
      </c>
      <c r="F16" s="15">
        <v>846.41</v>
      </c>
      <c r="G16" s="16">
        <v>787.16</v>
      </c>
      <c r="H16" s="15">
        <v>59.25</v>
      </c>
    </row>
    <row r="17" spans="1:8" ht="14.4" x14ac:dyDescent="0.25">
      <c r="A17" s="7">
        <v>42375</v>
      </c>
      <c r="B17" s="8" t="s">
        <v>24</v>
      </c>
      <c r="C17" s="9" t="s">
        <v>107</v>
      </c>
      <c r="D17" s="8" t="s">
        <v>119</v>
      </c>
      <c r="E17" s="8" t="s">
        <v>130</v>
      </c>
      <c r="F17" s="10">
        <v>209.14</v>
      </c>
      <c r="G17" s="11">
        <v>217.51</v>
      </c>
      <c r="H17" s="10">
        <v>-8.3699999999999992</v>
      </c>
    </row>
    <row r="18" spans="1:8" ht="14.4" x14ac:dyDescent="0.25">
      <c r="A18" s="12">
        <v>42375</v>
      </c>
      <c r="B18" s="13" t="s">
        <v>35</v>
      </c>
      <c r="C18" s="14" t="s">
        <v>97</v>
      </c>
      <c r="D18" s="13" t="s">
        <v>121</v>
      </c>
      <c r="E18" s="13" t="s">
        <v>128</v>
      </c>
      <c r="F18" s="15">
        <v>174.17</v>
      </c>
      <c r="G18" s="16">
        <v>170.69</v>
      </c>
      <c r="H18" s="15">
        <v>3.48</v>
      </c>
    </row>
    <row r="19" spans="1:8" ht="14.4" x14ac:dyDescent="0.25">
      <c r="A19" s="7">
        <v>42376</v>
      </c>
      <c r="B19" s="8" t="s">
        <v>40</v>
      </c>
      <c r="C19" s="9" t="s">
        <v>111</v>
      </c>
      <c r="D19" s="8" t="s">
        <v>122</v>
      </c>
      <c r="E19" s="8" t="s">
        <v>129</v>
      </c>
      <c r="F19" s="10">
        <v>212.73</v>
      </c>
      <c r="G19" s="11">
        <v>197.83999999999997</v>
      </c>
      <c r="H19" s="10">
        <v>14.89</v>
      </c>
    </row>
    <row r="20" spans="1:8" ht="14.4" x14ac:dyDescent="0.25">
      <c r="A20" s="12">
        <v>42377</v>
      </c>
      <c r="B20" s="13" t="s">
        <v>33</v>
      </c>
      <c r="C20" s="14" t="s">
        <v>115</v>
      </c>
      <c r="D20" s="13" t="s">
        <v>121</v>
      </c>
      <c r="E20" s="13" t="s">
        <v>130</v>
      </c>
      <c r="F20" s="15">
        <v>544.5</v>
      </c>
      <c r="G20" s="16">
        <v>571.73</v>
      </c>
      <c r="H20" s="15">
        <v>-27.23</v>
      </c>
    </row>
    <row r="21" spans="1:8" ht="14.4" x14ac:dyDescent="0.25">
      <c r="A21" s="7">
        <v>42377</v>
      </c>
      <c r="B21" s="8" t="s">
        <v>18</v>
      </c>
      <c r="C21" s="9" t="s">
        <v>63</v>
      </c>
      <c r="D21" s="8" t="s">
        <v>119</v>
      </c>
      <c r="E21" s="8" t="s">
        <v>130</v>
      </c>
      <c r="F21" s="10">
        <v>708.83</v>
      </c>
      <c r="G21" s="11">
        <v>659.21</v>
      </c>
      <c r="H21" s="10">
        <v>49.62</v>
      </c>
    </row>
    <row r="22" spans="1:8" ht="14.4" x14ac:dyDescent="0.25">
      <c r="A22" s="12">
        <v>42377</v>
      </c>
      <c r="B22" s="13" t="s">
        <v>22</v>
      </c>
      <c r="C22" s="14" t="s">
        <v>78</v>
      </c>
      <c r="D22" s="13" t="s">
        <v>119</v>
      </c>
      <c r="E22" s="13" t="s">
        <v>129</v>
      </c>
      <c r="F22" s="15">
        <v>785.97</v>
      </c>
      <c r="G22" s="16">
        <v>833.13</v>
      </c>
      <c r="H22" s="15">
        <v>-47.16</v>
      </c>
    </row>
    <row r="23" spans="1:8" ht="14.4" x14ac:dyDescent="0.25">
      <c r="A23" s="7">
        <v>42377</v>
      </c>
      <c r="B23" s="8" t="s">
        <v>34</v>
      </c>
      <c r="C23" s="9" t="s">
        <v>105</v>
      </c>
      <c r="D23" s="8" t="s">
        <v>121</v>
      </c>
      <c r="E23" s="8" t="s">
        <v>129</v>
      </c>
      <c r="F23" s="10">
        <v>268.61</v>
      </c>
      <c r="G23" s="11">
        <v>268.61</v>
      </c>
      <c r="H23" s="10">
        <v>0</v>
      </c>
    </row>
    <row r="24" spans="1:8" ht="14.4" x14ac:dyDescent="0.25">
      <c r="A24" s="12">
        <v>42377</v>
      </c>
      <c r="B24" s="13" t="s">
        <v>6</v>
      </c>
      <c r="C24" s="14" t="s">
        <v>80</v>
      </c>
      <c r="D24" s="13" t="s">
        <v>118</v>
      </c>
      <c r="E24" s="13" t="s">
        <v>128</v>
      </c>
      <c r="F24" s="15">
        <v>292.45999999999998</v>
      </c>
      <c r="G24" s="16">
        <v>277.83999999999997</v>
      </c>
      <c r="H24" s="15">
        <v>14.62</v>
      </c>
    </row>
    <row r="25" spans="1:8" ht="14.4" x14ac:dyDescent="0.25">
      <c r="A25" s="7">
        <v>42377</v>
      </c>
      <c r="B25" s="8" t="s">
        <v>29</v>
      </c>
      <c r="C25" s="9" t="s">
        <v>98</v>
      </c>
      <c r="D25" s="8" t="s">
        <v>120</v>
      </c>
      <c r="E25" s="8" t="s">
        <v>130</v>
      </c>
      <c r="F25" s="10">
        <v>898.19</v>
      </c>
      <c r="G25" s="11">
        <v>943.1</v>
      </c>
      <c r="H25" s="10">
        <v>-44.91</v>
      </c>
    </row>
    <row r="26" spans="1:8" ht="14.4" x14ac:dyDescent="0.25">
      <c r="A26" s="12">
        <v>42377</v>
      </c>
      <c r="B26" s="13" t="s">
        <v>8</v>
      </c>
      <c r="C26" s="14" t="s">
        <v>54</v>
      </c>
      <c r="D26" s="13" t="s">
        <v>118</v>
      </c>
      <c r="E26" s="13" t="s">
        <v>128</v>
      </c>
      <c r="F26" s="15">
        <v>932.67</v>
      </c>
      <c r="G26" s="16">
        <v>914.02</v>
      </c>
      <c r="H26" s="15">
        <v>18.649999999999999</v>
      </c>
    </row>
    <row r="27" spans="1:8" ht="14.4" x14ac:dyDescent="0.25">
      <c r="A27" s="7">
        <v>42377</v>
      </c>
      <c r="B27" s="8" t="s">
        <v>36</v>
      </c>
      <c r="C27" s="9" t="s">
        <v>90</v>
      </c>
      <c r="D27" s="8" t="s">
        <v>121</v>
      </c>
      <c r="E27" s="8" t="s">
        <v>130</v>
      </c>
      <c r="F27" s="10">
        <v>504.61</v>
      </c>
      <c r="G27" s="11">
        <v>494.52000000000004</v>
      </c>
      <c r="H27" s="10">
        <v>10.09</v>
      </c>
    </row>
    <row r="28" spans="1:8" ht="14.4" x14ac:dyDescent="0.25">
      <c r="A28" s="12">
        <v>42379</v>
      </c>
      <c r="B28" s="13" t="s">
        <v>20</v>
      </c>
      <c r="C28" s="14" t="s">
        <v>112</v>
      </c>
      <c r="D28" s="13" t="s">
        <v>119</v>
      </c>
      <c r="E28" s="13" t="s">
        <v>130</v>
      </c>
      <c r="F28" s="15">
        <v>456.72</v>
      </c>
      <c r="G28" s="16">
        <v>438.45000000000005</v>
      </c>
      <c r="H28" s="15">
        <v>18.27</v>
      </c>
    </row>
    <row r="29" spans="1:8" ht="14.4" x14ac:dyDescent="0.25">
      <c r="A29" s="7">
        <v>42379</v>
      </c>
      <c r="B29" s="8" t="s">
        <v>36</v>
      </c>
      <c r="C29" s="9" t="s">
        <v>58</v>
      </c>
      <c r="D29" s="8" t="s">
        <v>121</v>
      </c>
      <c r="E29" s="8" t="s">
        <v>128</v>
      </c>
      <c r="F29" s="10">
        <v>796.69</v>
      </c>
      <c r="G29" s="11">
        <v>844.49</v>
      </c>
      <c r="H29" s="10">
        <v>-47.8</v>
      </c>
    </row>
    <row r="30" spans="1:8" ht="14.4" x14ac:dyDescent="0.25">
      <c r="A30" s="12">
        <v>42380</v>
      </c>
      <c r="B30" s="13" t="s">
        <v>51</v>
      </c>
      <c r="C30" s="14" t="s">
        <v>86</v>
      </c>
      <c r="D30" s="13" t="s">
        <v>122</v>
      </c>
      <c r="E30" s="13" t="s">
        <v>130</v>
      </c>
      <c r="F30" s="15">
        <v>992.23</v>
      </c>
      <c r="G30" s="16">
        <v>1012.07</v>
      </c>
      <c r="H30" s="15">
        <v>-19.84</v>
      </c>
    </row>
    <row r="31" spans="1:8" ht="14.4" x14ac:dyDescent="0.25">
      <c r="A31" s="7">
        <v>42381</v>
      </c>
      <c r="B31" s="8" t="s">
        <v>11</v>
      </c>
      <c r="C31" s="9" t="s">
        <v>91</v>
      </c>
      <c r="D31" s="8" t="s">
        <v>118</v>
      </c>
      <c r="E31" s="8" t="s">
        <v>128</v>
      </c>
      <c r="F31" s="10">
        <v>307.81</v>
      </c>
      <c r="G31" s="11">
        <v>313.97000000000003</v>
      </c>
      <c r="H31" s="10">
        <v>-6.16</v>
      </c>
    </row>
    <row r="32" spans="1:8" ht="14.4" x14ac:dyDescent="0.25">
      <c r="A32" s="12">
        <v>42382</v>
      </c>
      <c r="B32" s="13" t="s">
        <v>3</v>
      </c>
      <c r="C32" s="14" t="s">
        <v>66</v>
      </c>
      <c r="D32" s="13" t="s">
        <v>118</v>
      </c>
      <c r="E32" s="13" t="s">
        <v>130</v>
      </c>
      <c r="F32" s="15">
        <v>335.74</v>
      </c>
      <c r="G32" s="16">
        <v>318.95</v>
      </c>
      <c r="H32" s="15">
        <v>16.79</v>
      </c>
    </row>
    <row r="33" spans="1:8" ht="14.4" x14ac:dyDescent="0.25">
      <c r="A33" s="7">
        <v>42382</v>
      </c>
      <c r="B33" s="8" t="s">
        <v>10</v>
      </c>
      <c r="C33" s="9" t="s">
        <v>93</v>
      </c>
      <c r="D33" s="8" t="s">
        <v>118</v>
      </c>
      <c r="E33" s="8" t="s">
        <v>128</v>
      </c>
      <c r="F33" s="10">
        <v>460.12</v>
      </c>
      <c r="G33" s="11">
        <v>473.92</v>
      </c>
      <c r="H33" s="10">
        <v>-13.8</v>
      </c>
    </row>
    <row r="34" spans="1:8" ht="14.4" x14ac:dyDescent="0.25">
      <c r="A34" s="12">
        <v>42383</v>
      </c>
      <c r="B34" s="13" t="s">
        <v>26</v>
      </c>
      <c r="C34" s="14" t="s">
        <v>117</v>
      </c>
      <c r="D34" s="13" t="s">
        <v>120</v>
      </c>
      <c r="E34" s="13" t="s">
        <v>130</v>
      </c>
      <c r="F34" s="15">
        <v>450.44</v>
      </c>
      <c r="G34" s="16">
        <v>436.93</v>
      </c>
      <c r="H34" s="15">
        <v>13.51</v>
      </c>
    </row>
    <row r="35" spans="1:8" ht="14.4" x14ac:dyDescent="0.25">
      <c r="A35" s="7">
        <v>42383</v>
      </c>
      <c r="B35" s="8" t="s">
        <v>0</v>
      </c>
      <c r="C35" s="9" t="s">
        <v>114</v>
      </c>
      <c r="D35" s="8" t="s">
        <v>118</v>
      </c>
      <c r="E35" s="8" t="s">
        <v>128</v>
      </c>
      <c r="F35" s="10">
        <v>326.33999999999997</v>
      </c>
      <c r="G35" s="11">
        <v>293.70999999999998</v>
      </c>
      <c r="H35" s="10">
        <v>32.630000000000003</v>
      </c>
    </row>
    <row r="36" spans="1:8" ht="14.4" x14ac:dyDescent="0.25">
      <c r="A36" s="12">
        <v>42383</v>
      </c>
      <c r="B36" s="13" t="s">
        <v>19</v>
      </c>
      <c r="C36" s="14" t="s">
        <v>113</v>
      </c>
      <c r="D36" s="13" t="s">
        <v>119</v>
      </c>
      <c r="E36" s="13" t="s">
        <v>128</v>
      </c>
      <c r="F36" s="15">
        <v>633.30999999999995</v>
      </c>
      <c r="G36" s="16">
        <v>595.30999999999995</v>
      </c>
      <c r="H36" s="15">
        <v>38</v>
      </c>
    </row>
    <row r="37" spans="1:8" ht="14.4" x14ac:dyDescent="0.25">
      <c r="A37" s="7">
        <v>42383</v>
      </c>
      <c r="B37" s="8" t="s">
        <v>42</v>
      </c>
      <c r="C37" s="9" t="s">
        <v>69</v>
      </c>
      <c r="D37" s="8" t="s">
        <v>122</v>
      </c>
      <c r="E37" s="8" t="s">
        <v>129</v>
      </c>
      <c r="F37" s="10">
        <v>547.16999999999996</v>
      </c>
      <c r="G37" s="11">
        <v>530.75</v>
      </c>
      <c r="H37" s="10">
        <v>16.420000000000002</v>
      </c>
    </row>
    <row r="38" spans="1:8" ht="14.4" x14ac:dyDescent="0.25">
      <c r="A38" s="12">
        <v>42383</v>
      </c>
      <c r="B38" s="13" t="s">
        <v>7</v>
      </c>
      <c r="C38" s="14" t="s">
        <v>99</v>
      </c>
      <c r="D38" s="13" t="s">
        <v>118</v>
      </c>
      <c r="E38" s="13" t="s">
        <v>129</v>
      </c>
      <c r="F38" s="15">
        <v>151.12</v>
      </c>
      <c r="G38" s="16">
        <v>146.59</v>
      </c>
      <c r="H38" s="15">
        <v>4.53</v>
      </c>
    </row>
    <row r="39" spans="1:8" ht="14.4" x14ac:dyDescent="0.25">
      <c r="A39" s="7">
        <v>42384</v>
      </c>
      <c r="B39" s="8" t="s">
        <v>40</v>
      </c>
      <c r="C39" s="9" t="s">
        <v>65</v>
      </c>
      <c r="D39" s="8" t="s">
        <v>122</v>
      </c>
      <c r="E39" s="8" t="s">
        <v>128</v>
      </c>
      <c r="F39" s="10">
        <v>919.79</v>
      </c>
      <c r="G39" s="11">
        <v>827.81</v>
      </c>
      <c r="H39" s="10">
        <v>91.98</v>
      </c>
    </row>
    <row r="40" spans="1:8" ht="14.4" x14ac:dyDescent="0.25">
      <c r="A40" s="12">
        <v>42384</v>
      </c>
      <c r="B40" s="13" t="s">
        <v>49</v>
      </c>
      <c r="C40" s="14" t="s">
        <v>72</v>
      </c>
      <c r="D40" s="13" t="s">
        <v>122</v>
      </c>
      <c r="E40" s="13" t="s">
        <v>128</v>
      </c>
      <c r="F40" s="15">
        <v>300.64</v>
      </c>
      <c r="G40" s="16">
        <v>294.63</v>
      </c>
      <c r="H40" s="15">
        <v>6.01</v>
      </c>
    </row>
    <row r="41" spans="1:8" ht="14.4" x14ac:dyDescent="0.25">
      <c r="A41" s="7">
        <v>42384</v>
      </c>
      <c r="B41" s="8" t="s">
        <v>30</v>
      </c>
      <c r="C41" s="9" t="s">
        <v>88</v>
      </c>
      <c r="D41" s="8" t="s">
        <v>120</v>
      </c>
      <c r="E41" s="8" t="s">
        <v>130</v>
      </c>
      <c r="F41" s="10">
        <v>456.37</v>
      </c>
      <c r="G41" s="11">
        <v>451.81</v>
      </c>
      <c r="H41" s="10">
        <v>4.5599999999999996</v>
      </c>
    </row>
    <row r="42" spans="1:8" ht="14.4" x14ac:dyDescent="0.25">
      <c r="A42" s="12">
        <v>42386</v>
      </c>
      <c r="B42" s="13" t="s">
        <v>48</v>
      </c>
      <c r="C42" s="14" t="s">
        <v>82</v>
      </c>
      <c r="D42" s="13" t="s">
        <v>122</v>
      </c>
      <c r="E42" s="13" t="s">
        <v>130</v>
      </c>
      <c r="F42" s="15">
        <v>686.8</v>
      </c>
      <c r="G42" s="16">
        <v>700.54</v>
      </c>
      <c r="H42" s="15">
        <v>-13.74</v>
      </c>
    </row>
    <row r="43" spans="1:8" ht="14.4" x14ac:dyDescent="0.25">
      <c r="A43" s="7">
        <v>42386</v>
      </c>
      <c r="B43" s="8" t="s">
        <v>48</v>
      </c>
      <c r="C43" s="9" t="s">
        <v>55</v>
      </c>
      <c r="D43" s="8" t="s">
        <v>122</v>
      </c>
      <c r="E43" s="8" t="s">
        <v>130</v>
      </c>
      <c r="F43" s="10">
        <v>631.9</v>
      </c>
      <c r="G43" s="11">
        <v>650.86</v>
      </c>
      <c r="H43" s="10">
        <v>-18.96</v>
      </c>
    </row>
    <row r="44" spans="1:8" ht="14.4" x14ac:dyDescent="0.25">
      <c r="A44" s="12">
        <v>42387</v>
      </c>
      <c r="B44" s="13" t="s">
        <v>27</v>
      </c>
      <c r="C44" s="14" t="s">
        <v>110</v>
      </c>
      <c r="D44" s="13" t="s">
        <v>120</v>
      </c>
      <c r="E44" s="13" t="s">
        <v>128</v>
      </c>
      <c r="F44" s="15">
        <v>303.02999999999997</v>
      </c>
      <c r="G44" s="16">
        <v>321.20999999999998</v>
      </c>
      <c r="H44" s="15">
        <v>-18.18</v>
      </c>
    </row>
    <row r="45" spans="1:8" ht="14.4" x14ac:dyDescent="0.25">
      <c r="A45" s="7">
        <v>42387</v>
      </c>
      <c r="B45" s="8" t="s">
        <v>23</v>
      </c>
      <c r="C45" s="9" t="s">
        <v>109</v>
      </c>
      <c r="D45" s="8" t="s">
        <v>119</v>
      </c>
      <c r="E45" s="8" t="s">
        <v>128</v>
      </c>
      <c r="F45" s="10">
        <v>398.39</v>
      </c>
      <c r="G45" s="11">
        <v>410.34</v>
      </c>
      <c r="H45" s="10">
        <v>-11.95</v>
      </c>
    </row>
    <row r="46" spans="1:8" ht="14.4" x14ac:dyDescent="0.25">
      <c r="A46" s="12">
        <v>42388</v>
      </c>
      <c r="B46" s="13" t="s">
        <v>39</v>
      </c>
      <c r="C46" s="14" t="s">
        <v>75</v>
      </c>
      <c r="D46" s="13" t="s">
        <v>122</v>
      </c>
      <c r="E46" s="13" t="s">
        <v>130</v>
      </c>
      <c r="F46" s="15">
        <v>231.38</v>
      </c>
      <c r="G46" s="16">
        <v>247.57999999999998</v>
      </c>
      <c r="H46" s="15">
        <v>-16.2</v>
      </c>
    </row>
    <row r="47" spans="1:8" ht="14.4" x14ac:dyDescent="0.25">
      <c r="A47" s="7">
        <v>42388</v>
      </c>
      <c r="B47" s="8" t="s">
        <v>36</v>
      </c>
      <c r="C47" s="9" t="s">
        <v>59</v>
      </c>
      <c r="D47" s="8" t="s">
        <v>121</v>
      </c>
      <c r="E47" s="8" t="s">
        <v>128</v>
      </c>
      <c r="F47" s="10">
        <v>23.96</v>
      </c>
      <c r="G47" s="11">
        <v>23</v>
      </c>
      <c r="H47" s="10">
        <v>0.96</v>
      </c>
    </row>
    <row r="48" spans="1:8" ht="14.4" x14ac:dyDescent="0.25">
      <c r="A48" s="12">
        <v>42388</v>
      </c>
      <c r="B48" s="13" t="s">
        <v>12</v>
      </c>
      <c r="C48" s="14" t="s">
        <v>89</v>
      </c>
      <c r="D48" s="13" t="s">
        <v>118</v>
      </c>
      <c r="E48" s="13" t="s">
        <v>128</v>
      </c>
      <c r="F48" s="15">
        <v>64.97</v>
      </c>
      <c r="G48" s="16">
        <v>63.019999999999996</v>
      </c>
      <c r="H48" s="15">
        <v>1.95</v>
      </c>
    </row>
    <row r="49" spans="1:8" ht="14.4" x14ac:dyDescent="0.25">
      <c r="A49" s="7">
        <v>42388</v>
      </c>
      <c r="B49" s="8" t="s">
        <v>13</v>
      </c>
      <c r="C49" s="9" t="s">
        <v>73</v>
      </c>
      <c r="D49" s="8" t="s">
        <v>118</v>
      </c>
      <c r="E49" s="8" t="s">
        <v>128</v>
      </c>
      <c r="F49" s="10">
        <v>720.73</v>
      </c>
      <c r="G49" s="11">
        <v>677.49</v>
      </c>
      <c r="H49" s="10">
        <v>43.24</v>
      </c>
    </row>
    <row r="50" spans="1:8" ht="14.4" x14ac:dyDescent="0.25">
      <c r="A50" s="12">
        <v>42389</v>
      </c>
      <c r="B50" s="13" t="s">
        <v>47</v>
      </c>
      <c r="C50" s="14" t="s">
        <v>96</v>
      </c>
      <c r="D50" s="13" t="s">
        <v>122</v>
      </c>
      <c r="E50" s="13" t="s">
        <v>129</v>
      </c>
      <c r="F50" s="15">
        <v>916.61</v>
      </c>
      <c r="G50" s="16">
        <v>907.44</v>
      </c>
      <c r="H50" s="15">
        <v>9.17</v>
      </c>
    </row>
    <row r="51" spans="1:8" ht="14.4" x14ac:dyDescent="0.25">
      <c r="A51" s="7">
        <v>42391</v>
      </c>
      <c r="B51" s="8" t="s">
        <v>50</v>
      </c>
      <c r="C51" s="9" t="s">
        <v>92</v>
      </c>
      <c r="D51" s="8" t="s">
        <v>122</v>
      </c>
      <c r="E51" s="8" t="s">
        <v>128</v>
      </c>
      <c r="F51" s="10">
        <v>117.12</v>
      </c>
      <c r="G51" s="11">
        <v>118.29</v>
      </c>
      <c r="H51" s="10">
        <v>-1.17</v>
      </c>
    </row>
    <row r="52" spans="1:8" ht="14.4" x14ac:dyDescent="0.25">
      <c r="A52" s="12">
        <v>42391</v>
      </c>
      <c r="B52" s="13" t="s">
        <v>36</v>
      </c>
      <c r="C52" s="14" t="s">
        <v>57</v>
      </c>
      <c r="D52" s="13" t="s">
        <v>121</v>
      </c>
      <c r="E52" s="13" t="s">
        <v>128</v>
      </c>
      <c r="F52" s="15">
        <v>446.8</v>
      </c>
      <c r="G52" s="16">
        <v>433.40000000000003</v>
      </c>
      <c r="H52" s="15">
        <v>13.4</v>
      </c>
    </row>
    <row r="53" spans="1:8" ht="14.4" x14ac:dyDescent="0.25">
      <c r="A53" s="7">
        <v>42391</v>
      </c>
      <c r="B53" s="8" t="s">
        <v>32</v>
      </c>
      <c r="C53" s="9" t="s">
        <v>126</v>
      </c>
      <c r="D53" s="8" t="s">
        <v>120</v>
      </c>
      <c r="E53" s="8" t="s">
        <v>129</v>
      </c>
      <c r="F53" s="10">
        <v>91.21</v>
      </c>
      <c r="G53" s="11">
        <v>93.029999999999987</v>
      </c>
      <c r="H53" s="10">
        <v>-1.82</v>
      </c>
    </row>
    <row r="54" spans="1:8" ht="14.4" x14ac:dyDescent="0.25">
      <c r="A54" s="12">
        <v>42391</v>
      </c>
      <c r="B54" s="13" t="s">
        <v>15</v>
      </c>
      <c r="C54" s="14" t="s">
        <v>60</v>
      </c>
      <c r="D54" s="13" t="s">
        <v>118</v>
      </c>
      <c r="E54" s="13" t="s">
        <v>130</v>
      </c>
      <c r="F54" s="15">
        <v>28.24</v>
      </c>
      <c r="G54" s="16">
        <v>29.09</v>
      </c>
      <c r="H54" s="15">
        <v>-0.85</v>
      </c>
    </row>
    <row r="55" spans="1:8" ht="14.4" x14ac:dyDescent="0.25">
      <c r="A55" s="7">
        <v>42392</v>
      </c>
      <c r="B55" s="8" t="s">
        <v>1</v>
      </c>
      <c r="C55" s="9" t="s">
        <v>1</v>
      </c>
      <c r="D55" s="8" t="s">
        <v>118</v>
      </c>
      <c r="E55" s="8" t="s">
        <v>130</v>
      </c>
      <c r="F55" s="10">
        <v>584.79</v>
      </c>
      <c r="G55" s="11">
        <v>549.69999999999993</v>
      </c>
      <c r="H55" s="10">
        <v>35.090000000000003</v>
      </c>
    </row>
    <row r="56" spans="1:8" ht="14.4" x14ac:dyDescent="0.25">
      <c r="A56" s="12">
        <v>42392</v>
      </c>
      <c r="B56" s="13" t="s">
        <v>30</v>
      </c>
      <c r="C56" s="14" t="s">
        <v>88</v>
      </c>
      <c r="D56" s="13" t="s">
        <v>120</v>
      </c>
      <c r="E56" s="13" t="s">
        <v>130</v>
      </c>
      <c r="F56" s="15">
        <v>928.39</v>
      </c>
      <c r="G56" s="16">
        <v>974.81</v>
      </c>
      <c r="H56" s="15">
        <v>-46.42</v>
      </c>
    </row>
    <row r="57" spans="1:8" ht="14.4" x14ac:dyDescent="0.25">
      <c r="A57" s="7">
        <v>42393</v>
      </c>
      <c r="B57" s="8" t="s">
        <v>44</v>
      </c>
      <c r="C57" s="9" t="s">
        <v>104</v>
      </c>
      <c r="D57" s="8" t="s">
        <v>122</v>
      </c>
      <c r="E57" s="8" t="s">
        <v>128</v>
      </c>
      <c r="F57" s="10">
        <v>947.97</v>
      </c>
      <c r="G57" s="11">
        <v>947.97</v>
      </c>
      <c r="H57" s="10">
        <v>0</v>
      </c>
    </row>
    <row r="58" spans="1:8" ht="14.4" x14ac:dyDescent="0.25">
      <c r="A58" s="12">
        <v>42394</v>
      </c>
      <c r="B58" s="13" t="s">
        <v>48</v>
      </c>
      <c r="C58" s="14" t="s">
        <v>56</v>
      </c>
      <c r="D58" s="13" t="s">
        <v>122</v>
      </c>
      <c r="E58" s="13" t="s">
        <v>128</v>
      </c>
      <c r="F58" s="15">
        <v>808.77</v>
      </c>
      <c r="G58" s="16">
        <v>857.3</v>
      </c>
      <c r="H58" s="15">
        <v>-48.53</v>
      </c>
    </row>
    <row r="59" spans="1:8" ht="14.4" x14ac:dyDescent="0.25">
      <c r="A59" s="7">
        <v>42395</v>
      </c>
      <c r="B59" s="8" t="s">
        <v>28</v>
      </c>
      <c r="C59" s="9" t="s">
        <v>103</v>
      </c>
      <c r="D59" s="8" t="s">
        <v>120</v>
      </c>
      <c r="E59" s="8" t="s">
        <v>129</v>
      </c>
      <c r="F59" s="10">
        <v>112.07</v>
      </c>
      <c r="G59" s="11">
        <v>108.71</v>
      </c>
      <c r="H59" s="10">
        <v>3.36</v>
      </c>
    </row>
    <row r="60" spans="1:8" ht="14.4" x14ac:dyDescent="0.25">
      <c r="A60" s="12">
        <v>42396</v>
      </c>
      <c r="B60" s="13" t="s">
        <v>22</v>
      </c>
      <c r="C60" s="14" t="s">
        <v>77</v>
      </c>
      <c r="D60" s="13" t="s">
        <v>119</v>
      </c>
      <c r="E60" s="13" t="s">
        <v>129</v>
      </c>
      <c r="F60" s="15">
        <v>30.17</v>
      </c>
      <c r="G60" s="16">
        <v>31.680000000000003</v>
      </c>
      <c r="H60" s="15">
        <v>-1.51</v>
      </c>
    </row>
    <row r="61" spans="1:8" ht="14.4" x14ac:dyDescent="0.25">
      <c r="A61" s="7">
        <v>42396</v>
      </c>
      <c r="B61" s="8" t="s">
        <v>2</v>
      </c>
      <c r="C61" s="9" t="s">
        <v>108</v>
      </c>
      <c r="D61" s="8" t="s">
        <v>118</v>
      </c>
      <c r="E61" s="8" t="s">
        <v>130</v>
      </c>
      <c r="F61" s="10">
        <v>845.23</v>
      </c>
      <c r="G61" s="11">
        <v>895.94</v>
      </c>
      <c r="H61" s="10">
        <v>-50.71</v>
      </c>
    </row>
    <row r="62" spans="1:8" ht="14.4" x14ac:dyDescent="0.25">
      <c r="A62" s="12">
        <v>42397</v>
      </c>
      <c r="B62" s="13" t="s">
        <v>18</v>
      </c>
      <c r="C62" s="14" t="s">
        <v>64</v>
      </c>
      <c r="D62" s="13" t="s">
        <v>119</v>
      </c>
      <c r="E62" s="13" t="s">
        <v>129</v>
      </c>
      <c r="F62" s="15">
        <v>576.83000000000004</v>
      </c>
      <c r="G62" s="16">
        <v>594.13</v>
      </c>
      <c r="H62" s="15">
        <v>-17.3</v>
      </c>
    </row>
    <row r="63" spans="1:8" ht="14.4" x14ac:dyDescent="0.25">
      <c r="A63" s="7">
        <v>42397</v>
      </c>
      <c r="B63" s="8" t="s">
        <v>21</v>
      </c>
      <c r="C63" s="9" t="s">
        <v>79</v>
      </c>
      <c r="D63" s="8" t="s">
        <v>119</v>
      </c>
      <c r="E63" s="8" t="s">
        <v>128</v>
      </c>
      <c r="F63" s="10">
        <v>174.91</v>
      </c>
      <c r="G63" s="11">
        <v>181.91</v>
      </c>
      <c r="H63" s="10">
        <v>-7</v>
      </c>
    </row>
    <row r="64" spans="1:8" ht="14.4" x14ac:dyDescent="0.25">
      <c r="A64" s="12">
        <v>42397</v>
      </c>
      <c r="B64" s="13" t="s">
        <v>4</v>
      </c>
      <c r="C64" s="14" t="s">
        <v>70</v>
      </c>
      <c r="D64" s="13" t="s">
        <v>118</v>
      </c>
      <c r="E64" s="13" t="s">
        <v>128</v>
      </c>
      <c r="F64" s="15">
        <v>78.44</v>
      </c>
      <c r="G64" s="16">
        <v>82.36</v>
      </c>
      <c r="H64" s="15">
        <v>-3.92</v>
      </c>
    </row>
    <row r="65" spans="1:8" ht="14.4" x14ac:dyDescent="0.25">
      <c r="A65" s="7">
        <v>42397</v>
      </c>
      <c r="B65" s="8" t="s">
        <v>46</v>
      </c>
      <c r="C65" s="9" t="s">
        <v>100</v>
      </c>
      <c r="D65" s="8" t="s">
        <v>122</v>
      </c>
      <c r="E65" s="8" t="s">
        <v>128</v>
      </c>
      <c r="F65" s="10">
        <v>949.73</v>
      </c>
      <c r="G65" s="11">
        <v>911.74</v>
      </c>
      <c r="H65" s="10">
        <v>37.99</v>
      </c>
    </row>
    <row r="66" spans="1:8" ht="14.4" x14ac:dyDescent="0.25">
      <c r="A66" s="12">
        <v>42397</v>
      </c>
      <c r="B66" s="13" t="s">
        <v>31</v>
      </c>
      <c r="C66" s="14" t="s">
        <v>85</v>
      </c>
      <c r="D66" s="13" t="s">
        <v>120</v>
      </c>
      <c r="E66" s="13" t="s">
        <v>129</v>
      </c>
      <c r="F66" s="15">
        <v>185.9</v>
      </c>
      <c r="G66" s="16">
        <v>171.03</v>
      </c>
      <c r="H66" s="15">
        <v>14.87</v>
      </c>
    </row>
    <row r="67" spans="1:8" ht="14.4" x14ac:dyDescent="0.25">
      <c r="A67" s="7">
        <v>42397</v>
      </c>
      <c r="B67" s="8" t="s">
        <v>14</v>
      </c>
      <c r="C67" s="9" t="s">
        <v>83</v>
      </c>
      <c r="D67" s="8" t="s">
        <v>118</v>
      </c>
      <c r="E67" s="8" t="s">
        <v>128</v>
      </c>
      <c r="F67" s="10">
        <v>562.51</v>
      </c>
      <c r="G67" s="11">
        <v>596.26</v>
      </c>
      <c r="H67" s="10">
        <v>-33.75</v>
      </c>
    </row>
    <row r="68" spans="1:8" ht="14.4" x14ac:dyDescent="0.25">
      <c r="A68" s="12">
        <v>42401</v>
      </c>
      <c r="B68" s="13" t="s">
        <v>11</v>
      </c>
      <c r="C68" s="14" t="s">
        <v>91</v>
      </c>
      <c r="D68" s="13" t="s">
        <v>118</v>
      </c>
      <c r="E68" s="13" t="s">
        <v>130</v>
      </c>
      <c r="F68" s="15">
        <v>858.02</v>
      </c>
      <c r="G68" s="16">
        <v>780.8</v>
      </c>
      <c r="H68" s="15">
        <v>77.22</v>
      </c>
    </row>
    <row r="69" spans="1:8" ht="14.4" x14ac:dyDescent="0.25">
      <c r="A69" s="7">
        <v>42402</v>
      </c>
      <c r="B69" s="8" t="s">
        <v>48</v>
      </c>
      <c r="C69" s="9" t="s">
        <v>82</v>
      </c>
      <c r="D69" s="8" t="s">
        <v>122</v>
      </c>
      <c r="E69" s="8" t="s">
        <v>129</v>
      </c>
      <c r="F69" s="10">
        <v>614.99</v>
      </c>
      <c r="G69" s="11">
        <v>602.69000000000005</v>
      </c>
      <c r="H69" s="10">
        <v>12.3</v>
      </c>
    </row>
    <row r="70" spans="1:8" ht="14.4" x14ac:dyDescent="0.25">
      <c r="A70" s="12">
        <v>42403</v>
      </c>
      <c r="B70" s="13" t="s">
        <v>16</v>
      </c>
      <c r="C70" s="14" t="s">
        <v>61</v>
      </c>
      <c r="D70" s="13" t="s">
        <v>118</v>
      </c>
      <c r="E70" s="13" t="s">
        <v>129</v>
      </c>
      <c r="F70" s="15">
        <v>401.79</v>
      </c>
      <c r="G70" s="16">
        <v>401.79</v>
      </c>
      <c r="H70" s="15">
        <v>0</v>
      </c>
    </row>
    <row r="71" spans="1:8" ht="14.4" x14ac:dyDescent="0.25">
      <c r="A71" s="7">
        <v>42407</v>
      </c>
      <c r="B71" s="8" t="s">
        <v>47</v>
      </c>
      <c r="C71" s="9" t="s">
        <v>96</v>
      </c>
      <c r="D71" s="8" t="s">
        <v>122</v>
      </c>
      <c r="E71" s="8" t="s">
        <v>129</v>
      </c>
      <c r="F71" s="10">
        <v>796.88</v>
      </c>
      <c r="G71" s="11">
        <v>812.82</v>
      </c>
      <c r="H71" s="10">
        <v>-15.94</v>
      </c>
    </row>
    <row r="72" spans="1:8" ht="14.4" x14ac:dyDescent="0.25">
      <c r="A72" s="12">
        <v>42409</v>
      </c>
      <c r="B72" s="13" t="s">
        <v>48</v>
      </c>
      <c r="C72" s="14" t="s">
        <v>55</v>
      </c>
      <c r="D72" s="13" t="s">
        <v>122</v>
      </c>
      <c r="E72" s="13" t="s">
        <v>128</v>
      </c>
      <c r="F72" s="15">
        <v>73.569999999999993</v>
      </c>
      <c r="G72" s="16">
        <v>66.949999999999989</v>
      </c>
      <c r="H72" s="15">
        <v>6.62</v>
      </c>
    </row>
    <row r="73" spans="1:8" ht="14.4" x14ac:dyDescent="0.25">
      <c r="A73" s="7">
        <v>42411</v>
      </c>
      <c r="B73" s="8" t="s">
        <v>45</v>
      </c>
      <c r="C73" s="9" t="s">
        <v>101</v>
      </c>
      <c r="D73" s="8" t="s">
        <v>122</v>
      </c>
      <c r="E73" s="8" t="s">
        <v>130</v>
      </c>
      <c r="F73" s="10">
        <v>93.81</v>
      </c>
      <c r="G73" s="11">
        <v>96.62</v>
      </c>
      <c r="H73" s="10">
        <v>-2.81</v>
      </c>
    </row>
    <row r="74" spans="1:8" ht="14.4" x14ac:dyDescent="0.25">
      <c r="A74" s="12">
        <v>42412</v>
      </c>
      <c r="B74" s="13" t="s">
        <v>19</v>
      </c>
      <c r="C74" s="14" t="s">
        <v>113</v>
      </c>
      <c r="D74" s="13" t="s">
        <v>119</v>
      </c>
      <c r="E74" s="13" t="s">
        <v>130</v>
      </c>
      <c r="F74" s="15">
        <v>341.86</v>
      </c>
      <c r="G74" s="16">
        <v>328.19</v>
      </c>
      <c r="H74" s="15">
        <v>13.67</v>
      </c>
    </row>
    <row r="75" spans="1:8" ht="14.4" x14ac:dyDescent="0.25">
      <c r="A75" s="7">
        <v>42412</v>
      </c>
      <c r="B75" s="8" t="s">
        <v>4</v>
      </c>
      <c r="C75" s="9" t="s">
        <v>70</v>
      </c>
      <c r="D75" s="8" t="s">
        <v>118</v>
      </c>
      <c r="E75" s="8" t="s">
        <v>128</v>
      </c>
      <c r="F75" s="10">
        <v>836</v>
      </c>
      <c r="G75" s="11">
        <v>819.28</v>
      </c>
      <c r="H75" s="10">
        <v>16.72</v>
      </c>
    </row>
    <row r="76" spans="1:8" ht="14.4" x14ac:dyDescent="0.25">
      <c r="A76" s="12">
        <v>42412</v>
      </c>
      <c r="B76" s="13" t="s">
        <v>6</v>
      </c>
      <c r="C76" s="14" t="s">
        <v>81</v>
      </c>
      <c r="D76" s="13" t="s">
        <v>118</v>
      </c>
      <c r="E76" s="13" t="s">
        <v>130</v>
      </c>
      <c r="F76" s="15">
        <v>954.46</v>
      </c>
      <c r="G76" s="16">
        <v>973.55000000000007</v>
      </c>
      <c r="H76" s="15">
        <v>-19.09</v>
      </c>
    </row>
    <row r="77" spans="1:8" ht="14.4" x14ac:dyDescent="0.25">
      <c r="A77" s="7">
        <v>42413</v>
      </c>
      <c r="B77" s="8" t="s">
        <v>1</v>
      </c>
      <c r="C77" s="9" t="s">
        <v>1</v>
      </c>
      <c r="D77" s="8" t="s">
        <v>118</v>
      </c>
      <c r="E77" s="8" t="s">
        <v>130</v>
      </c>
      <c r="F77" s="10">
        <v>740.24</v>
      </c>
      <c r="G77" s="11">
        <v>740.24</v>
      </c>
      <c r="H77" s="10">
        <v>0</v>
      </c>
    </row>
    <row r="78" spans="1:8" ht="14.4" x14ac:dyDescent="0.25">
      <c r="A78" s="12">
        <v>42416</v>
      </c>
      <c r="B78" s="13" t="s">
        <v>12</v>
      </c>
      <c r="C78" s="14" t="s">
        <v>89</v>
      </c>
      <c r="D78" s="13" t="s">
        <v>118</v>
      </c>
      <c r="E78" s="13" t="s">
        <v>128</v>
      </c>
      <c r="F78" s="15">
        <v>374.57</v>
      </c>
      <c r="G78" s="16">
        <v>352.1</v>
      </c>
      <c r="H78" s="15">
        <v>22.47</v>
      </c>
    </row>
    <row r="79" spans="1:8" ht="14.4" x14ac:dyDescent="0.25">
      <c r="A79" s="7">
        <v>42417</v>
      </c>
      <c r="B79" s="8" t="s">
        <v>23</v>
      </c>
      <c r="C79" s="9" t="s">
        <v>109</v>
      </c>
      <c r="D79" s="8" t="s">
        <v>119</v>
      </c>
      <c r="E79" s="8" t="s">
        <v>130</v>
      </c>
      <c r="F79" s="10">
        <v>293.14</v>
      </c>
      <c r="G79" s="11">
        <v>263.83</v>
      </c>
      <c r="H79" s="10">
        <v>29.31</v>
      </c>
    </row>
    <row r="80" spans="1:8" ht="14.4" x14ac:dyDescent="0.25">
      <c r="A80" s="12">
        <v>42419</v>
      </c>
      <c r="B80" s="13" t="s">
        <v>18</v>
      </c>
      <c r="C80" s="14" t="s">
        <v>64</v>
      </c>
      <c r="D80" s="13" t="s">
        <v>119</v>
      </c>
      <c r="E80" s="13" t="s">
        <v>130</v>
      </c>
      <c r="F80" s="15">
        <v>293.91000000000003</v>
      </c>
      <c r="G80" s="16">
        <v>299.79000000000002</v>
      </c>
      <c r="H80" s="15">
        <v>-5.88</v>
      </c>
    </row>
    <row r="81" spans="1:8" ht="14.4" x14ac:dyDescent="0.25">
      <c r="A81" s="7">
        <v>42422</v>
      </c>
      <c r="B81" s="8" t="s">
        <v>48</v>
      </c>
      <c r="C81" s="9" t="s">
        <v>71</v>
      </c>
      <c r="D81" s="8" t="s">
        <v>122</v>
      </c>
      <c r="E81" s="8" t="s">
        <v>129</v>
      </c>
      <c r="F81" s="10">
        <v>91.77</v>
      </c>
      <c r="G81" s="11">
        <v>87.179999999999993</v>
      </c>
      <c r="H81" s="10">
        <v>4.59</v>
      </c>
    </row>
    <row r="82" spans="1:8" ht="14.4" x14ac:dyDescent="0.25">
      <c r="A82" s="12">
        <v>42422</v>
      </c>
      <c r="B82" s="13" t="s">
        <v>13</v>
      </c>
      <c r="C82" s="14" t="s">
        <v>73</v>
      </c>
      <c r="D82" s="13" t="s">
        <v>118</v>
      </c>
      <c r="E82" s="13" t="s">
        <v>128</v>
      </c>
      <c r="F82" s="15">
        <v>163.22999999999999</v>
      </c>
      <c r="G82" s="16">
        <v>146.91</v>
      </c>
      <c r="H82" s="15">
        <v>16.32</v>
      </c>
    </row>
    <row r="83" spans="1:8" ht="14.4" x14ac:dyDescent="0.25">
      <c r="A83" s="7">
        <v>42424</v>
      </c>
      <c r="B83" s="8" t="s">
        <v>33</v>
      </c>
      <c r="C83" s="9" t="s">
        <v>115</v>
      </c>
      <c r="D83" s="8" t="s">
        <v>121</v>
      </c>
      <c r="E83" s="8" t="s">
        <v>129</v>
      </c>
      <c r="F83" s="10">
        <v>117.65</v>
      </c>
      <c r="G83" s="11">
        <v>114.12</v>
      </c>
      <c r="H83" s="10">
        <v>3.53</v>
      </c>
    </row>
    <row r="84" spans="1:8" ht="14.4" x14ac:dyDescent="0.25">
      <c r="A84" s="12">
        <v>42425</v>
      </c>
      <c r="B84" s="13" t="s">
        <v>39</v>
      </c>
      <c r="C84" s="14" t="s">
        <v>75</v>
      </c>
      <c r="D84" s="13" t="s">
        <v>122</v>
      </c>
      <c r="E84" s="13" t="s">
        <v>130</v>
      </c>
      <c r="F84" s="15">
        <v>941.9</v>
      </c>
      <c r="G84" s="16">
        <v>989</v>
      </c>
      <c r="H84" s="15">
        <v>-47.1</v>
      </c>
    </row>
    <row r="85" spans="1:8" ht="14.4" x14ac:dyDescent="0.25">
      <c r="A85" s="7">
        <v>42426</v>
      </c>
      <c r="B85" s="8" t="s">
        <v>36</v>
      </c>
      <c r="C85" s="9" t="s">
        <v>59</v>
      </c>
      <c r="D85" s="8" t="s">
        <v>121</v>
      </c>
      <c r="E85" s="8" t="s">
        <v>128</v>
      </c>
      <c r="F85" s="10">
        <v>475.9</v>
      </c>
      <c r="G85" s="11">
        <v>452.09999999999997</v>
      </c>
      <c r="H85" s="10">
        <v>23.8</v>
      </c>
    </row>
    <row r="86" spans="1:8" ht="14.4" x14ac:dyDescent="0.25">
      <c r="A86" s="12">
        <v>42427</v>
      </c>
      <c r="B86" s="13" t="s">
        <v>22</v>
      </c>
      <c r="C86" s="14" t="s">
        <v>77</v>
      </c>
      <c r="D86" s="13" t="s">
        <v>119</v>
      </c>
      <c r="E86" s="13" t="s">
        <v>129</v>
      </c>
      <c r="F86" s="15">
        <v>72.89</v>
      </c>
      <c r="G86" s="16">
        <v>66.33</v>
      </c>
      <c r="H86" s="15">
        <v>6.56</v>
      </c>
    </row>
    <row r="87" spans="1:8" ht="14.4" x14ac:dyDescent="0.25">
      <c r="A87" s="7">
        <v>42427</v>
      </c>
      <c r="B87" s="8" t="s">
        <v>30</v>
      </c>
      <c r="C87" s="9" t="s">
        <v>88</v>
      </c>
      <c r="D87" s="8" t="s">
        <v>120</v>
      </c>
      <c r="E87" s="8" t="s">
        <v>129</v>
      </c>
      <c r="F87" s="10">
        <v>413.83</v>
      </c>
      <c r="G87" s="11">
        <v>446.94</v>
      </c>
      <c r="H87" s="10">
        <v>-33.11</v>
      </c>
    </row>
    <row r="88" spans="1:8" ht="14.4" x14ac:dyDescent="0.25">
      <c r="A88" s="12">
        <v>42428</v>
      </c>
      <c r="B88" s="13" t="s">
        <v>7</v>
      </c>
      <c r="C88" s="14" t="s">
        <v>99</v>
      </c>
      <c r="D88" s="13" t="s">
        <v>118</v>
      </c>
      <c r="E88" s="13" t="s">
        <v>130</v>
      </c>
      <c r="F88" s="15">
        <v>859.44</v>
      </c>
      <c r="G88" s="16">
        <v>790.68000000000006</v>
      </c>
      <c r="H88" s="15">
        <v>68.760000000000005</v>
      </c>
    </row>
    <row r="89" spans="1:8" ht="14.4" x14ac:dyDescent="0.25">
      <c r="A89" s="7">
        <v>42431</v>
      </c>
      <c r="B89" s="8" t="s">
        <v>25</v>
      </c>
      <c r="C89" s="9" t="s">
        <v>94</v>
      </c>
      <c r="D89" s="8" t="s">
        <v>119</v>
      </c>
      <c r="E89" s="8" t="s">
        <v>129</v>
      </c>
      <c r="F89" s="10">
        <v>330.17</v>
      </c>
      <c r="G89" s="11">
        <v>353.28000000000003</v>
      </c>
      <c r="H89" s="10">
        <v>-23.11</v>
      </c>
    </row>
    <row r="90" spans="1:8" ht="14.4" x14ac:dyDescent="0.25">
      <c r="A90" s="12">
        <v>42432</v>
      </c>
      <c r="B90" s="13" t="s">
        <v>50</v>
      </c>
      <c r="C90" s="14" t="s">
        <v>92</v>
      </c>
      <c r="D90" s="13" t="s">
        <v>122</v>
      </c>
      <c r="E90" s="13" t="s">
        <v>130</v>
      </c>
      <c r="F90" s="15">
        <v>400.61</v>
      </c>
      <c r="G90" s="16">
        <v>420.64</v>
      </c>
      <c r="H90" s="15">
        <v>-20.03</v>
      </c>
    </row>
    <row r="91" spans="1:8" ht="14.4" x14ac:dyDescent="0.25">
      <c r="A91" s="7">
        <v>42436</v>
      </c>
      <c r="B91" s="8" t="s">
        <v>49</v>
      </c>
      <c r="C91" s="9" t="s">
        <v>72</v>
      </c>
      <c r="D91" s="8" t="s">
        <v>122</v>
      </c>
      <c r="E91" s="8" t="s">
        <v>129</v>
      </c>
      <c r="F91" s="10">
        <v>134.83000000000001</v>
      </c>
      <c r="G91" s="11">
        <v>128.09</v>
      </c>
      <c r="H91" s="10">
        <v>6.74</v>
      </c>
    </row>
    <row r="92" spans="1:8" ht="14.4" x14ac:dyDescent="0.25">
      <c r="A92" s="12">
        <v>42437</v>
      </c>
      <c r="B92" s="13" t="s">
        <v>37</v>
      </c>
      <c r="C92" s="14" t="s">
        <v>87</v>
      </c>
      <c r="D92" s="13" t="s">
        <v>121</v>
      </c>
      <c r="E92" s="13" t="s">
        <v>129</v>
      </c>
      <c r="F92" s="15">
        <v>322.27999999999997</v>
      </c>
      <c r="G92" s="16">
        <v>331.95</v>
      </c>
      <c r="H92" s="15">
        <v>-9.67</v>
      </c>
    </row>
    <row r="93" spans="1:8" ht="14.4" x14ac:dyDescent="0.25">
      <c r="A93" s="7">
        <v>42439</v>
      </c>
      <c r="B93" s="8" t="s">
        <v>34</v>
      </c>
      <c r="C93" s="9" t="s">
        <v>105</v>
      </c>
      <c r="D93" s="8" t="s">
        <v>121</v>
      </c>
      <c r="E93" s="8" t="s">
        <v>130</v>
      </c>
      <c r="F93" s="10">
        <v>318.66000000000003</v>
      </c>
      <c r="G93" s="11">
        <v>293.17</v>
      </c>
      <c r="H93" s="10">
        <v>25.49</v>
      </c>
    </row>
    <row r="94" spans="1:8" ht="14.4" x14ac:dyDescent="0.25">
      <c r="A94" s="12">
        <v>42440</v>
      </c>
      <c r="B94" s="13" t="s">
        <v>5</v>
      </c>
      <c r="C94" s="14" t="s">
        <v>102</v>
      </c>
      <c r="D94" s="13" t="s">
        <v>118</v>
      </c>
      <c r="E94" s="13" t="s">
        <v>128</v>
      </c>
      <c r="F94" s="15">
        <v>309.23</v>
      </c>
      <c r="G94" s="16">
        <v>278.31</v>
      </c>
      <c r="H94" s="15">
        <v>30.92</v>
      </c>
    </row>
    <row r="95" spans="1:8" ht="14.4" x14ac:dyDescent="0.25">
      <c r="A95" s="7">
        <v>42441</v>
      </c>
      <c r="B95" s="8" t="s">
        <v>40</v>
      </c>
      <c r="C95" s="9" t="s">
        <v>111</v>
      </c>
      <c r="D95" s="8" t="s">
        <v>122</v>
      </c>
      <c r="E95" s="8" t="s">
        <v>129</v>
      </c>
      <c r="F95" s="10">
        <v>385.31</v>
      </c>
      <c r="G95" s="11">
        <v>381.46</v>
      </c>
      <c r="H95" s="10">
        <v>3.85</v>
      </c>
    </row>
    <row r="96" spans="1:8" ht="14.4" x14ac:dyDescent="0.25">
      <c r="A96" s="12">
        <v>42441</v>
      </c>
      <c r="B96" s="13" t="s">
        <v>15</v>
      </c>
      <c r="C96" s="14" t="s">
        <v>60</v>
      </c>
      <c r="D96" s="13" t="s">
        <v>118</v>
      </c>
      <c r="E96" s="13" t="s">
        <v>129</v>
      </c>
      <c r="F96" s="15">
        <v>748.72</v>
      </c>
      <c r="G96" s="16">
        <v>741.23</v>
      </c>
      <c r="H96" s="15">
        <v>7.49</v>
      </c>
    </row>
    <row r="97" spans="1:8" ht="14.4" x14ac:dyDescent="0.25">
      <c r="A97" s="7">
        <v>42442</v>
      </c>
      <c r="B97" s="8" t="s">
        <v>41</v>
      </c>
      <c r="C97" s="9" t="s">
        <v>67</v>
      </c>
      <c r="D97" s="8" t="s">
        <v>122</v>
      </c>
      <c r="E97" s="8" t="s">
        <v>130</v>
      </c>
      <c r="F97" s="10">
        <v>400.33</v>
      </c>
      <c r="G97" s="11">
        <v>372.31</v>
      </c>
      <c r="H97" s="10">
        <v>28.02</v>
      </c>
    </row>
    <row r="98" spans="1:8" ht="14.4" x14ac:dyDescent="0.25">
      <c r="A98" s="12">
        <v>42453</v>
      </c>
      <c r="B98" s="13" t="s">
        <v>3</v>
      </c>
      <c r="C98" s="14" t="s">
        <v>66</v>
      </c>
      <c r="D98" s="13" t="s">
        <v>118</v>
      </c>
      <c r="E98" s="13" t="s">
        <v>128</v>
      </c>
      <c r="F98" s="15">
        <v>302.99</v>
      </c>
      <c r="G98" s="16">
        <v>293.90000000000003</v>
      </c>
      <c r="H98" s="15">
        <v>9.09</v>
      </c>
    </row>
    <row r="99" spans="1:8" ht="14.4" x14ac:dyDescent="0.25">
      <c r="A99" s="7">
        <v>42454</v>
      </c>
      <c r="B99" s="8" t="s">
        <v>44</v>
      </c>
      <c r="C99" s="9" t="s">
        <v>104</v>
      </c>
      <c r="D99" s="8" t="s">
        <v>122</v>
      </c>
      <c r="E99" s="8" t="s">
        <v>128</v>
      </c>
      <c r="F99" s="10">
        <v>242.5</v>
      </c>
      <c r="G99" s="11">
        <v>218.25</v>
      </c>
      <c r="H99" s="10">
        <v>24.25</v>
      </c>
    </row>
    <row r="100" spans="1:8" ht="14.4" x14ac:dyDescent="0.25">
      <c r="A100" s="12">
        <v>42454</v>
      </c>
      <c r="B100" s="13" t="s">
        <v>8</v>
      </c>
      <c r="C100" s="14" t="s">
        <v>54</v>
      </c>
      <c r="D100" s="13" t="s">
        <v>118</v>
      </c>
      <c r="E100" s="13" t="s">
        <v>129</v>
      </c>
      <c r="F100" s="15">
        <v>806.47</v>
      </c>
      <c r="G100" s="16">
        <v>725.82</v>
      </c>
      <c r="H100" s="15">
        <v>80.650000000000006</v>
      </c>
    </row>
    <row r="101" spans="1:8" ht="14.4" x14ac:dyDescent="0.25">
      <c r="A101" s="7">
        <v>42454</v>
      </c>
      <c r="B101" s="8" t="s">
        <v>36</v>
      </c>
      <c r="C101" s="9" t="s">
        <v>57</v>
      </c>
      <c r="D101" s="8" t="s">
        <v>121</v>
      </c>
      <c r="E101" s="8" t="s">
        <v>128</v>
      </c>
      <c r="F101" s="10">
        <v>55.47</v>
      </c>
      <c r="G101" s="11">
        <v>52.14</v>
      </c>
      <c r="H101" s="10">
        <v>3.33</v>
      </c>
    </row>
    <row r="102" spans="1:8" ht="14.4" x14ac:dyDescent="0.25">
      <c r="A102" s="12">
        <v>42456</v>
      </c>
      <c r="B102" s="13" t="s">
        <v>43</v>
      </c>
      <c r="C102" s="14" t="s">
        <v>106</v>
      </c>
      <c r="D102" s="13" t="s">
        <v>122</v>
      </c>
      <c r="E102" s="13" t="s">
        <v>129</v>
      </c>
      <c r="F102" s="15">
        <v>623.03</v>
      </c>
      <c r="G102" s="16">
        <v>629.26</v>
      </c>
      <c r="H102" s="15">
        <v>-6.23</v>
      </c>
    </row>
    <row r="103" spans="1:8" ht="14.4" x14ac:dyDescent="0.25">
      <c r="A103" s="7">
        <v>42464</v>
      </c>
      <c r="B103" s="8" t="s">
        <v>18</v>
      </c>
      <c r="C103" s="9" t="s">
        <v>63</v>
      </c>
      <c r="D103" s="8" t="s">
        <v>119</v>
      </c>
      <c r="E103" s="8" t="s">
        <v>129</v>
      </c>
      <c r="F103" s="10">
        <v>400.94</v>
      </c>
      <c r="G103" s="11">
        <v>380.89</v>
      </c>
      <c r="H103" s="10">
        <v>20.05</v>
      </c>
    </row>
    <row r="104" spans="1:8" ht="14.4" x14ac:dyDescent="0.25">
      <c r="A104" s="12">
        <v>42474</v>
      </c>
      <c r="B104" s="13" t="s">
        <v>21</v>
      </c>
      <c r="C104" s="14" t="s">
        <v>79</v>
      </c>
      <c r="D104" s="13" t="s">
        <v>119</v>
      </c>
      <c r="E104" s="13" t="s">
        <v>130</v>
      </c>
      <c r="F104" s="15">
        <v>340.78</v>
      </c>
      <c r="G104" s="16">
        <v>354.40999999999997</v>
      </c>
      <c r="H104" s="15">
        <v>-13.63</v>
      </c>
    </row>
    <row r="105" spans="1:8" ht="14.4" x14ac:dyDescent="0.25">
      <c r="A105" s="7">
        <v>42479</v>
      </c>
      <c r="B105" s="8" t="s">
        <v>40</v>
      </c>
      <c r="C105" s="9" t="s">
        <v>65</v>
      </c>
      <c r="D105" s="8" t="s">
        <v>122</v>
      </c>
      <c r="E105" s="8" t="s">
        <v>128</v>
      </c>
      <c r="F105" s="10">
        <v>86.84</v>
      </c>
      <c r="G105" s="11">
        <v>92.05</v>
      </c>
      <c r="H105" s="10">
        <v>-5.21</v>
      </c>
    </row>
    <row r="106" spans="1:8" ht="14.4" x14ac:dyDescent="0.25">
      <c r="A106" s="12">
        <v>42483</v>
      </c>
      <c r="B106" s="13" t="s">
        <v>48</v>
      </c>
      <c r="C106" s="14" t="s">
        <v>56</v>
      </c>
      <c r="D106" s="13" t="s">
        <v>122</v>
      </c>
      <c r="E106" s="13" t="s">
        <v>128</v>
      </c>
      <c r="F106" s="15">
        <v>784.31</v>
      </c>
      <c r="G106" s="16">
        <v>729.41</v>
      </c>
      <c r="H106" s="15">
        <v>54.9</v>
      </c>
    </row>
    <row r="107" spans="1:8" ht="14.4" x14ac:dyDescent="0.25">
      <c r="A107" s="7">
        <v>42484</v>
      </c>
      <c r="B107" s="8" t="s">
        <v>36</v>
      </c>
      <c r="C107" s="9" t="s">
        <v>90</v>
      </c>
      <c r="D107" s="8" t="s">
        <v>121</v>
      </c>
      <c r="E107" s="8" t="s">
        <v>129</v>
      </c>
      <c r="F107" s="10">
        <v>193.96</v>
      </c>
      <c r="G107" s="11">
        <v>201.72</v>
      </c>
      <c r="H107" s="10">
        <v>-7.76</v>
      </c>
    </row>
    <row r="108" spans="1:8" ht="14.4" x14ac:dyDescent="0.25">
      <c r="A108" s="12">
        <v>42486</v>
      </c>
      <c r="B108" s="13" t="s">
        <v>10</v>
      </c>
      <c r="C108" s="14" t="s">
        <v>93</v>
      </c>
      <c r="D108" s="13" t="s">
        <v>118</v>
      </c>
      <c r="E108" s="13" t="s">
        <v>130</v>
      </c>
      <c r="F108" s="15">
        <v>133.74</v>
      </c>
      <c r="G108" s="16">
        <v>121.70000000000002</v>
      </c>
      <c r="H108" s="15">
        <v>12.04</v>
      </c>
    </row>
    <row r="109" spans="1:8" ht="14.4" x14ac:dyDescent="0.25">
      <c r="A109" s="7">
        <v>42487</v>
      </c>
      <c r="B109" s="8" t="s">
        <v>14</v>
      </c>
      <c r="C109" s="9" t="s">
        <v>83</v>
      </c>
      <c r="D109" s="8" t="s">
        <v>118</v>
      </c>
      <c r="E109" s="8" t="s">
        <v>128</v>
      </c>
      <c r="F109" s="10">
        <v>471.51</v>
      </c>
      <c r="G109" s="11">
        <v>433.78999999999996</v>
      </c>
      <c r="H109" s="10">
        <v>37.72</v>
      </c>
    </row>
    <row r="110" spans="1:8" ht="14.4" x14ac:dyDescent="0.25">
      <c r="A110" s="12">
        <v>42491</v>
      </c>
      <c r="B110" s="13" t="s">
        <v>0</v>
      </c>
      <c r="C110" s="14" t="s">
        <v>114</v>
      </c>
      <c r="D110" s="13" t="s">
        <v>118</v>
      </c>
      <c r="E110" s="13" t="s">
        <v>130</v>
      </c>
      <c r="F110" s="15">
        <v>553.66</v>
      </c>
      <c r="G110" s="16">
        <v>570.27</v>
      </c>
      <c r="H110" s="15">
        <v>-16.61</v>
      </c>
    </row>
    <row r="111" spans="1:8" ht="14.4" x14ac:dyDescent="0.25">
      <c r="A111" s="7">
        <v>42493</v>
      </c>
      <c r="B111" s="8" t="s">
        <v>50</v>
      </c>
      <c r="C111" s="9" t="s">
        <v>92</v>
      </c>
      <c r="D111" s="8" t="s">
        <v>122</v>
      </c>
      <c r="E111" s="8" t="s">
        <v>130</v>
      </c>
      <c r="F111" s="10">
        <v>465.79</v>
      </c>
      <c r="G111" s="11">
        <v>461.13</v>
      </c>
      <c r="H111" s="10">
        <v>4.66</v>
      </c>
    </row>
    <row r="112" spans="1:8" ht="14.4" x14ac:dyDescent="0.25">
      <c r="A112" s="12">
        <v>42494</v>
      </c>
      <c r="B112" s="13" t="s">
        <v>18</v>
      </c>
      <c r="C112" s="14" t="s">
        <v>63</v>
      </c>
      <c r="D112" s="13" t="s">
        <v>119</v>
      </c>
      <c r="E112" s="13" t="s">
        <v>129</v>
      </c>
      <c r="F112" s="15">
        <v>764.03</v>
      </c>
      <c r="G112" s="16">
        <v>756.39</v>
      </c>
      <c r="H112" s="15">
        <v>7.64</v>
      </c>
    </row>
    <row r="113" spans="1:8" ht="14.4" x14ac:dyDescent="0.25">
      <c r="A113" s="7">
        <v>42494</v>
      </c>
      <c r="B113" s="8" t="s">
        <v>34</v>
      </c>
      <c r="C113" s="9" t="s">
        <v>105</v>
      </c>
      <c r="D113" s="8" t="s">
        <v>121</v>
      </c>
      <c r="E113" s="8" t="s">
        <v>129</v>
      </c>
      <c r="F113" s="10">
        <v>930.77</v>
      </c>
      <c r="G113" s="11">
        <v>884.23</v>
      </c>
      <c r="H113" s="10">
        <v>46.54</v>
      </c>
    </row>
    <row r="114" spans="1:8" ht="14.4" x14ac:dyDescent="0.25">
      <c r="A114" s="12">
        <v>42497</v>
      </c>
      <c r="B114" s="13" t="s">
        <v>28</v>
      </c>
      <c r="C114" s="14" t="s">
        <v>103</v>
      </c>
      <c r="D114" s="13" t="s">
        <v>120</v>
      </c>
      <c r="E114" s="13" t="s">
        <v>128</v>
      </c>
      <c r="F114" s="15">
        <v>171.11</v>
      </c>
      <c r="G114" s="16">
        <v>164.27</v>
      </c>
      <c r="H114" s="15">
        <v>6.84</v>
      </c>
    </row>
    <row r="115" spans="1:8" ht="14.4" x14ac:dyDescent="0.25">
      <c r="A115" s="7">
        <v>42497</v>
      </c>
      <c r="B115" s="8" t="s">
        <v>47</v>
      </c>
      <c r="C115" s="9" t="s">
        <v>96</v>
      </c>
      <c r="D115" s="8" t="s">
        <v>122</v>
      </c>
      <c r="E115" s="8" t="s">
        <v>128</v>
      </c>
      <c r="F115" s="10">
        <v>945.62</v>
      </c>
      <c r="G115" s="11">
        <v>945.62</v>
      </c>
      <c r="H115" s="10">
        <v>0</v>
      </c>
    </row>
    <row r="116" spans="1:8" ht="14.4" x14ac:dyDescent="0.25">
      <c r="A116" s="12">
        <v>42498</v>
      </c>
      <c r="B116" s="13" t="s">
        <v>23</v>
      </c>
      <c r="C116" s="14" t="s">
        <v>109</v>
      </c>
      <c r="D116" s="13" t="s">
        <v>119</v>
      </c>
      <c r="E116" s="13" t="s">
        <v>129</v>
      </c>
      <c r="F116" s="15">
        <v>481.01</v>
      </c>
      <c r="G116" s="16">
        <v>490.63</v>
      </c>
      <c r="H116" s="15">
        <v>-9.6199999999999992</v>
      </c>
    </row>
    <row r="117" spans="1:8" ht="14.4" x14ac:dyDescent="0.25">
      <c r="A117" s="7">
        <v>42500</v>
      </c>
      <c r="B117" s="8" t="s">
        <v>51</v>
      </c>
      <c r="C117" s="9" t="s">
        <v>86</v>
      </c>
      <c r="D117" s="8" t="s">
        <v>122</v>
      </c>
      <c r="E117" s="8" t="s">
        <v>130</v>
      </c>
      <c r="F117" s="10">
        <v>128.80000000000001</v>
      </c>
      <c r="G117" s="11">
        <v>126.22000000000001</v>
      </c>
      <c r="H117" s="10">
        <v>2.58</v>
      </c>
    </row>
    <row r="118" spans="1:8" ht="14.4" x14ac:dyDescent="0.25">
      <c r="A118" s="12">
        <v>42501</v>
      </c>
      <c r="B118" s="13" t="s">
        <v>22</v>
      </c>
      <c r="C118" s="14" t="s">
        <v>78</v>
      </c>
      <c r="D118" s="13" t="s">
        <v>119</v>
      </c>
      <c r="E118" s="13" t="s">
        <v>128</v>
      </c>
      <c r="F118" s="15">
        <v>964.65</v>
      </c>
      <c r="G118" s="16">
        <v>1032.18</v>
      </c>
      <c r="H118" s="15">
        <v>-67.53</v>
      </c>
    </row>
    <row r="119" spans="1:8" ht="14.4" x14ac:dyDescent="0.25">
      <c r="A119" s="7">
        <v>42504</v>
      </c>
      <c r="B119" s="8" t="s">
        <v>42</v>
      </c>
      <c r="C119" s="9" t="s">
        <v>69</v>
      </c>
      <c r="D119" s="8" t="s">
        <v>122</v>
      </c>
      <c r="E119" s="8" t="s">
        <v>129</v>
      </c>
      <c r="F119" s="10">
        <v>416.71</v>
      </c>
      <c r="G119" s="11">
        <v>429.21</v>
      </c>
      <c r="H119" s="10">
        <v>-12.5</v>
      </c>
    </row>
    <row r="120" spans="1:8" ht="14.4" x14ac:dyDescent="0.25">
      <c r="A120" s="12">
        <v>42504</v>
      </c>
      <c r="B120" s="13" t="s">
        <v>36</v>
      </c>
      <c r="C120" s="14" t="s">
        <v>58</v>
      </c>
      <c r="D120" s="13" t="s">
        <v>121</v>
      </c>
      <c r="E120" s="13" t="s">
        <v>129</v>
      </c>
      <c r="F120" s="15">
        <v>396.32</v>
      </c>
      <c r="G120" s="16">
        <v>408.21</v>
      </c>
      <c r="H120" s="15">
        <v>-11.89</v>
      </c>
    </row>
    <row r="121" spans="1:8" ht="14.4" x14ac:dyDescent="0.25">
      <c r="A121" s="7">
        <v>42505</v>
      </c>
      <c r="B121" s="8" t="s">
        <v>38</v>
      </c>
      <c r="C121" s="9" t="s">
        <v>62</v>
      </c>
      <c r="D121" s="8" t="s">
        <v>122</v>
      </c>
      <c r="E121" s="8" t="s">
        <v>128</v>
      </c>
      <c r="F121" s="10">
        <v>583.79</v>
      </c>
      <c r="G121" s="11">
        <v>572.11</v>
      </c>
      <c r="H121" s="10">
        <v>11.68</v>
      </c>
    </row>
    <row r="122" spans="1:8" ht="14.4" x14ac:dyDescent="0.25">
      <c r="A122" s="12">
        <v>42505</v>
      </c>
      <c r="B122" s="13" t="s">
        <v>41</v>
      </c>
      <c r="C122" s="14" t="s">
        <v>68</v>
      </c>
      <c r="D122" s="13" t="s">
        <v>122</v>
      </c>
      <c r="E122" s="13" t="s">
        <v>130</v>
      </c>
      <c r="F122" s="15">
        <v>817.72</v>
      </c>
      <c r="G122" s="16">
        <v>809.54000000000008</v>
      </c>
      <c r="H122" s="15">
        <v>8.18</v>
      </c>
    </row>
    <row r="123" spans="1:8" ht="14.4" x14ac:dyDescent="0.25">
      <c r="A123" s="7">
        <v>42505</v>
      </c>
      <c r="B123" s="8" t="s">
        <v>46</v>
      </c>
      <c r="C123" s="9" t="s">
        <v>100</v>
      </c>
      <c r="D123" s="8" t="s">
        <v>122</v>
      </c>
      <c r="E123" s="8" t="s">
        <v>129</v>
      </c>
      <c r="F123" s="10">
        <v>650.78</v>
      </c>
      <c r="G123" s="11">
        <v>585.69999999999993</v>
      </c>
      <c r="H123" s="10">
        <v>65.08</v>
      </c>
    </row>
    <row r="124" spans="1:8" ht="14.4" x14ac:dyDescent="0.25">
      <c r="A124" s="12">
        <v>42506</v>
      </c>
      <c r="B124" s="13" t="s">
        <v>26</v>
      </c>
      <c r="C124" s="14" t="s">
        <v>117</v>
      </c>
      <c r="D124" s="13" t="s">
        <v>120</v>
      </c>
      <c r="E124" s="13" t="s">
        <v>128</v>
      </c>
      <c r="F124" s="15">
        <v>876.49</v>
      </c>
      <c r="G124" s="16">
        <v>902.78</v>
      </c>
      <c r="H124" s="15">
        <v>-26.29</v>
      </c>
    </row>
    <row r="125" spans="1:8" ht="14.4" x14ac:dyDescent="0.25">
      <c r="A125" s="7">
        <v>42508</v>
      </c>
      <c r="B125" s="8" t="s">
        <v>51</v>
      </c>
      <c r="C125" s="9" t="s">
        <v>86</v>
      </c>
      <c r="D125" s="8" t="s">
        <v>122</v>
      </c>
      <c r="E125" s="8" t="s">
        <v>128</v>
      </c>
      <c r="F125" s="10">
        <v>440.08</v>
      </c>
      <c r="G125" s="11">
        <v>457.68</v>
      </c>
      <c r="H125" s="10">
        <v>-17.600000000000001</v>
      </c>
    </row>
    <row r="126" spans="1:8" ht="14.4" x14ac:dyDescent="0.25">
      <c r="A126" s="12">
        <v>42509</v>
      </c>
      <c r="B126" s="13" t="s">
        <v>27</v>
      </c>
      <c r="C126" s="14" t="s">
        <v>110</v>
      </c>
      <c r="D126" s="13" t="s">
        <v>120</v>
      </c>
      <c r="E126" s="13" t="s">
        <v>130</v>
      </c>
      <c r="F126" s="15">
        <v>399.7</v>
      </c>
      <c r="G126" s="16">
        <v>375.71999999999997</v>
      </c>
      <c r="H126" s="15">
        <v>23.98</v>
      </c>
    </row>
    <row r="127" spans="1:8" ht="14.4" x14ac:dyDescent="0.25">
      <c r="A127" s="7">
        <v>42509</v>
      </c>
      <c r="B127" s="8" t="s">
        <v>6</v>
      </c>
      <c r="C127" s="9" t="s">
        <v>80</v>
      </c>
      <c r="D127" s="8" t="s">
        <v>118</v>
      </c>
      <c r="E127" s="8" t="s">
        <v>129</v>
      </c>
      <c r="F127" s="10">
        <v>316.12</v>
      </c>
      <c r="G127" s="11">
        <v>322.44</v>
      </c>
      <c r="H127" s="10">
        <v>-6.32</v>
      </c>
    </row>
    <row r="128" spans="1:8" ht="14.4" x14ac:dyDescent="0.25">
      <c r="A128" s="12">
        <v>42514</v>
      </c>
      <c r="B128" s="13" t="s">
        <v>32</v>
      </c>
      <c r="C128" s="14" t="s">
        <v>126</v>
      </c>
      <c r="D128" s="13" t="s">
        <v>120</v>
      </c>
      <c r="E128" s="13" t="s">
        <v>128</v>
      </c>
      <c r="F128" s="15">
        <v>158.62</v>
      </c>
      <c r="G128" s="16">
        <v>150.69</v>
      </c>
      <c r="H128" s="15">
        <v>7.93</v>
      </c>
    </row>
    <row r="129" spans="1:8" ht="14.4" x14ac:dyDescent="0.25">
      <c r="A129" s="7">
        <v>42515</v>
      </c>
      <c r="B129" s="8" t="s">
        <v>22</v>
      </c>
      <c r="C129" s="9" t="s">
        <v>77</v>
      </c>
      <c r="D129" s="8" t="s">
        <v>119</v>
      </c>
      <c r="E129" s="8" t="s">
        <v>130</v>
      </c>
      <c r="F129" s="10">
        <v>42.9</v>
      </c>
      <c r="G129" s="11">
        <v>39.9</v>
      </c>
      <c r="H129" s="10">
        <v>3</v>
      </c>
    </row>
    <row r="130" spans="1:8" ht="14.4" x14ac:dyDescent="0.25">
      <c r="A130" s="12">
        <v>42516</v>
      </c>
      <c r="B130" s="13" t="s">
        <v>42</v>
      </c>
      <c r="C130" s="14" t="s">
        <v>69</v>
      </c>
      <c r="D130" s="13" t="s">
        <v>122</v>
      </c>
      <c r="E130" s="13" t="s">
        <v>130</v>
      </c>
      <c r="F130" s="15">
        <v>404.93</v>
      </c>
      <c r="G130" s="16">
        <v>417.08</v>
      </c>
      <c r="H130" s="15">
        <v>-12.15</v>
      </c>
    </row>
    <row r="131" spans="1:8" ht="14.4" x14ac:dyDescent="0.25">
      <c r="A131" s="7">
        <v>42516</v>
      </c>
      <c r="B131" s="8" t="s">
        <v>25</v>
      </c>
      <c r="C131" s="9" t="s">
        <v>94</v>
      </c>
      <c r="D131" s="8" t="s">
        <v>119</v>
      </c>
      <c r="E131" s="8" t="s">
        <v>130</v>
      </c>
      <c r="F131" s="10">
        <v>681.82</v>
      </c>
      <c r="G131" s="11">
        <v>654.55000000000007</v>
      </c>
      <c r="H131" s="10">
        <v>27.27</v>
      </c>
    </row>
    <row r="132" spans="1:8" ht="14.4" x14ac:dyDescent="0.25">
      <c r="A132" s="12">
        <v>42517</v>
      </c>
      <c r="B132" s="13" t="s">
        <v>27</v>
      </c>
      <c r="C132" s="14" t="s">
        <v>110</v>
      </c>
      <c r="D132" s="13" t="s">
        <v>120</v>
      </c>
      <c r="E132" s="13" t="s">
        <v>130</v>
      </c>
      <c r="F132" s="15">
        <v>110.53</v>
      </c>
      <c r="G132" s="16">
        <v>117.16</v>
      </c>
      <c r="H132" s="15">
        <v>-6.63</v>
      </c>
    </row>
    <row r="133" spans="1:8" ht="14.4" x14ac:dyDescent="0.25">
      <c r="A133" s="7">
        <v>42517</v>
      </c>
      <c r="B133" s="8" t="s">
        <v>35</v>
      </c>
      <c r="C133" s="9" t="s">
        <v>97</v>
      </c>
      <c r="D133" s="8" t="s">
        <v>121</v>
      </c>
      <c r="E133" s="8" t="s">
        <v>129</v>
      </c>
      <c r="F133" s="10">
        <v>978.37</v>
      </c>
      <c r="G133" s="11">
        <v>939.24</v>
      </c>
      <c r="H133" s="10">
        <v>39.130000000000003</v>
      </c>
    </row>
    <row r="134" spans="1:8" ht="14.4" x14ac:dyDescent="0.25">
      <c r="A134" s="12">
        <v>42517</v>
      </c>
      <c r="B134" s="13" t="s">
        <v>36</v>
      </c>
      <c r="C134" s="14" t="s">
        <v>57</v>
      </c>
      <c r="D134" s="13" t="s">
        <v>121</v>
      </c>
      <c r="E134" s="13" t="s">
        <v>130</v>
      </c>
      <c r="F134" s="15">
        <v>243.11</v>
      </c>
      <c r="G134" s="16">
        <v>243.11</v>
      </c>
      <c r="H134" s="15">
        <v>0</v>
      </c>
    </row>
    <row r="135" spans="1:8" ht="14.4" x14ac:dyDescent="0.25">
      <c r="A135" s="7">
        <v>42517</v>
      </c>
      <c r="B135" s="8" t="s">
        <v>30</v>
      </c>
      <c r="C135" s="9" t="s">
        <v>88</v>
      </c>
      <c r="D135" s="8" t="s">
        <v>120</v>
      </c>
      <c r="E135" s="8" t="s">
        <v>128</v>
      </c>
      <c r="F135" s="10">
        <v>816.28</v>
      </c>
      <c r="G135" s="11">
        <v>775.47</v>
      </c>
      <c r="H135" s="10">
        <v>40.81</v>
      </c>
    </row>
    <row r="136" spans="1:8" ht="14.4" x14ac:dyDescent="0.25">
      <c r="A136" s="12">
        <v>42518</v>
      </c>
      <c r="B136" s="13" t="s">
        <v>48</v>
      </c>
      <c r="C136" s="14" t="s">
        <v>56</v>
      </c>
      <c r="D136" s="13" t="s">
        <v>122</v>
      </c>
      <c r="E136" s="13" t="s">
        <v>128</v>
      </c>
      <c r="F136" s="15">
        <v>872.24</v>
      </c>
      <c r="G136" s="16">
        <v>872.24</v>
      </c>
      <c r="H136" s="15">
        <v>0</v>
      </c>
    </row>
    <row r="137" spans="1:8" ht="14.4" x14ac:dyDescent="0.25">
      <c r="A137" s="7">
        <v>42522</v>
      </c>
      <c r="B137" s="8" t="s">
        <v>2</v>
      </c>
      <c r="C137" s="9" t="s">
        <v>108</v>
      </c>
      <c r="D137" s="8" t="s">
        <v>118</v>
      </c>
      <c r="E137" s="8" t="s">
        <v>129</v>
      </c>
      <c r="F137" s="10">
        <v>891.31</v>
      </c>
      <c r="G137" s="11">
        <v>864.56999999999994</v>
      </c>
      <c r="H137" s="10">
        <v>26.74</v>
      </c>
    </row>
    <row r="138" spans="1:8" ht="14.4" x14ac:dyDescent="0.25">
      <c r="A138" s="12">
        <v>42522</v>
      </c>
      <c r="B138" s="13" t="s">
        <v>29</v>
      </c>
      <c r="C138" s="14" t="s">
        <v>98</v>
      </c>
      <c r="D138" s="13" t="s">
        <v>120</v>
      </c>
      <c r="E138" s="13" t="s">
        <v>130</v>
      </c>
      <c r="F138" s="15">
        <v>219.21</v>
      </c>
      <c r="G138" s="16">
        <v>236.75</v>
      </c>
      <c r="H138" s="15">
        <v>-17.54</v>
      </c>
    </row>
    <row r="139" spans="1:8" ht="14.4" x14ac:dyDescent="0.25">
      <c r="A139" s="7">
        <v>42523</v>
      </c>
      <c r="B139" s="8" t="s">
        <v>31</v>
      </c>
      <c r="C139" s="9" t="s">
        <v>85</v>
      </c>
      <c r="D139" s="8" t="s">
        <v>120</v>
      </c>
      <c r="E139" s="8" t="s">
        <v>128</v>
      </c>
      <c r="F139" s="10">
        <v>195.28</v>
      </c>
      <c r="G139" s="11">
        <v>191.37</v>
      </c>
      <c r="H139" s="10">
        <v>3.91</v>
      </c>
    </row>
    <row r="140" spans="1:8" ht="14.4" x14ac:dyDescent="0.25">
      <c r="A140" s="12">
        <v>42523</v>
      </c>
      <c r="B140" s="13" t="s">
        <v>31</v>
      </c>
      <c r="C140" s="14" t="s">
        <v>85</v>
      </c>
      <c r="D140" s="13" t="s">
        <v>120</v>
      </c>
      <c r="E140" s="13" t="s">
        <v>129</v>
      </c>
      <c r="F140" s="15">
        <v>808.1</v>
      </c>
      <c r="G140" s="16">
        <v>824.26</v>
      </c>
      <c r="H140" s="15">
        <v>-16.16</v>
      </c>
    </row>
    <row r="141" spans="1:8" ht="14.4" x14ac:dyDescent="0.25">
      <c r="A141" s="7">
        <v>42529</v>
      </c>
      <c r="B141" s="8" t="s">
        <v>4</v>
      </c>
      <c r="C141" s="9" t="s">
        <v>70</v>
      </c>
      <c r="D141" s="8" t="s">
        <v>118</v>
      </c>
      <c r="E141" s="8" t="s">
        <v>130</v>
      </c>
      <c r="F141" s="10">
        <v>613.64</v>
      </c>
      <c r="G141" s="11">
        <v>644.31999999999994</v>
      </c>
      <c r="H141" s="10">
        <v>-30.68</v>
      </c>
    </row>
    <row r="142" spans="1:8" ht="14.4" x14ac:dyDescent="0.25">
      <c r="A142" s="12">
        <v>42530</v>
      </c>
      <c r="B142" s="13" t="s">
        <v>16</v>
      </c>
      <c r="C142" s="14" t="s">
        <v>61</v>
      </c>
      <c r="D142" s="13" t="s">
        <v>118</v>
      </c>
      <c r="E142" s="13" t="s">
        <v>130</v>
      </c>
      <c r="F142" s="15">
        <v>179.71</v>
      </c>
      <c r="G142" s="16">
        <v>170.72</v>
      </c>
      <c r="H142" s="15">
        <v>8.99</v>
      </c>
    </row>
    <row r="143" spans="1:8" ht="14.4" x14ac:dyDescent="0.25">
      <c r="A143" s="7">
        <v>42534</v>
      </c>
      <c r="B143" s="8" t="s">
        <v>20</v>
      </c>
      <c r="C143" s="9" t="s">
        <v>112</v>
      </c>
      <c r="D143" s="8" t="s">
        <v>119</v>
      </c>
      <c r="E143" s="8" t="s">
        <v>128</v>
      </c>
      <c r="F143" s="10">
        <v>400.93</v>
      </c>
      <c r="G143" s="11">
        <v>364.85</v>
      </c>
      <c r="H143" s="10">
        <v>36.08</v>
      </c>
    </row>
    <row r="144" spans="1:8" ht="14.4" x14ac:dyDescent="0.25">
      <c r="A144" s="12">
        <v>42535</v>
      </c>
      <c r="B144" s="13" t="s">
        <v>46</v>
      </c>
      <c r="C144" s="14" t="s">
        <v>100</v>
      </c>
      <c r="D144" s="13" t="s">
        <v>122</v>
      </c>
      <c r="E144" s="13" t="s">
        <v>129</v>
      </c>
      <c r="F144" s="15">
        <v>783.76</v>
      </c>
      <c r="G144" s="16">
        <v>728.9</v>
      </c>
      <c r="H144" s="15">
        <v>54.86</v>
      </c>
    </row>
    <row r="145" spans="1:8" ht="14.4" x14ac:dyDescent="0.25">
      <c r="A145" s="7">
        <v>42535</v>
      </c>
      <c r="B145" s="8" t="s">
        <v>37</v>
      </c>
      <c r="C145" s="9" t="s">
        <v>87</v>
      </c>
      <c r="D145" s="8" t="s">
        <v>121</v>
      </c>
      <c r="E145" s="8" t="s">
        <v>128</v>
      </c>
      <c r="F145" s="10">
        <v>196.19</v>
      </c>
      <c r="G145" s="11">
        <v>211.89</v>
      </c>
      <c r="H145" s="10">
        <v>-15.7</v>
      </c>
    </row>
    <row r="146" spans="1:8" ht="14.4" x14ac:dyDescent="0.25">
      <c r="A146" s="12">
        <v>42536</v>
      </c>
      <c r="B146" s="13" t="s">
        <v>9</v>
      </c>
      <c r="C146" s="14" t="s">
        <v>95</v>
      </c>
      <c r="D146" s="13" t="s">
        <v>118</v>
      </c>
      <c r="E146" s="13" t="s">
        <v>130</v>
      </c>
      <c r="F146" s="15">
        <v>586.73</v>
      </c>
      <c r="G146" s="16">
        <v>545.66</v>
      </c>
      <c r="H146" s="15">
        <v>41.07</v>
      </c>
    </row>
    <row r="147" spans="1:8" ht="14.4" x14ac:dyDescent="0.25">
      <c r="A147" s="7">
        <v>42537</v>
      </c>
      <c r="B147" s="8" t="s">
        <v>38</v>
      </c>
      <c r="C147" s="9" t="s">
        <v>116</v>
      </c>
      <c r="D147" s="8" t="s">
        <v>122</v>
      </c>
      <c r="E147" s="8" t="s">
        <v>130</v>
      </c>
      <c r="F147" s="10">
        <v>934.94</v>
      </c>
      <c r="G147" s="11">
        <v>1009.74</v>
      </c>
      <c r="H147" s="10">
        <v>-74.8</v>
      </c>
    </row>
    <row r="148" spans="1:8" ht="14.4" x14ac:dyDescent="0.25">
      <c r="A148" s="12">
        <v>42537</v>
      </c>
      <c r="B148" s="13" t="s">
        <v>22</v>
      </c>
      <c r="C148" s="14" t="s">
        <v>78</v>
      </c>
      <c r="D148" s="13" t="s">
        <v>119</v>
      </c>
      <c r="E148" s="13" t="s">
        <v>129</v>
      </c>
      <c r="F148" s="15">
        <v>973.37</v>
      </c>
      <c r="G148" s="16">
        <v>963.64</v>
      </c>
      <c r="H148" s="15">
        <v>9.73</v>
      </c>
    </row>
    <row r="149" spans="1:8" ht="14.4" x14ac:dyDescent="0.25">
      <c r="A149" s="7">
        <v>42538</v>
      </c>
      <c r="B149" s="8" t="s">
        <v>0</v>
      </c>
      <c r="C149" s="9" t="s">
        <v>114</v>
      </c>
      <c r="D149" s="8" t="s">
        <v>118</v>
      </c>
      <c r="E149" s="8" t="s">
        <v>130</v>
      </c>
      <c r="F149" s="10">
        <v>491.07</v>
      </c>
      <c r="G149" s="11">
        <v>495.98</v>
      </c>
      <c r="H149" s="10">
        <v>-4.91</v>
      </c>
    </row>
    <row r="150" spans="1:8" ht="14.4" x14ac:dyDescent="0.25">
      <c r="A150" s="12">
        <v>42538</v>
      </c>
      <c r="B150" s="13" t="s">
        <v>24</v>
      </c>
      <c r="C150" s="14" t="s">
        <v>107</v>
      </c>
      <c r="D150" s="13" t="s">
        <v>119</v>
      </c>
      <c r="E150" s="13" t="s">
        <v>128</v>
      </c>
      <c r="F150" s="15">
        <v>963.17</v>
      </c>
      <c r="G150" s="16">
        <v>1040.22</v>
      </c>
      <c r="H150" s="15">
        <v>-77.05</v>
      </c>
    </row>
    <row r="151" spans="1:8" ht="14.4" x14ac:dyDescent="0.25">
      <c r="A151" s="7">
        <v>42538</v>
      </c>
      <c r="B151" s="8" t="s">
        <v>29</v>
      </c>
      <c r="C151" s="9" t="s">
        <v>98</v>
      </c>
      <c r="D151" s="8" t="s">
        <v>120</v>
      </c>
      <c r="E151" s="8" t="s">
        <v>130</v>
      </c>
      <c r="F151" s="10">
        <v>135.96</v>
      </c>
      <c r="G151" s="11">
        <v>133.24</v>
      </c>
      <c r="H151" s="10">
        <v>2.72</v>
      </c>
    </row>
    <row r="152" spans="1:8" ht="14.4" x14ac:dyDescent="0.25">
      <c r="A152" s="12">
        <v>42542</v>
      </c>
      <c r="B152" s="13" t="s">
        <v>17</v>
      </c>
      <c r="C152" s="14" t="s">
        <v>74</v>
      </c>
      <c r="D152" s="13" t="s">
        <v>119</v>
      </c>
      <c r="E152" s="13" t="s">
        <v>130</v>
      </c>
      <c r="F152" s="15">
        <v>398.18</v>
      </c>
      <c r="G152" s="16">
        <v>418.09000000000003</v>
      </c>
      <c r="H152" s="15">
        <v>-19.91</v>
      </c>
    </row>
    <row r="153" spans="1:8" ht="14.4" x14ac:dyDescent="0.25">
      <c r="A153" s="7">
        <v>42544</v>
      </c>
      <c r="B153" s="8" t="s">
        <v>22</v>
      </c>
      <c r="C153" s="9" t="s">
        <v>76</v>
      </c>
      <c r="D153" s="8" t="s">
        <v>119</v>
      </c>
      <c r="E153" s="8" t="s">
        <v>129</v>
      </c>
      <c r="F153" s="10">
        <v>305.95</v>
      </c>
      <c r="G153" s="11">
        <v>293.70999999999998</v>
      </c>
      <c r="H153" s="10">
        <v>12.24</v>
      </c>
    </row>
    <row r="154" spans="1:8" ht="14.4" x14ac:dyDescent="0.25">
      <c r="A154" s="12">
        <v>42545</v>
      </c>
      <c r="B154" s="13" t="s">
        <v>38</v>
      </c>
      <c r="C154" s="14" t="s">
        <v>116</v>
      </c>
      <c r="D154" s="13" t="s">
        <v>122</v>
      </c>
      <c r="E154" s="13" t="s">
        <v>129</v>
      </c>
      <c r="F154" s="15">
        <v>913.53</v>
      </c>
      <c r="G154" s="16">
        <v>931.8</v>
      </c>
      <c r="H154" s="15">
        <v>-18.27</v>
      </c>
    </row>
    <row r="155" spans="1:8" ht="14.4" x14ac:dyDescent="0.25">
      <c r="A155" s="7">
        <v>42545</v>
      </c>
      <c r="B155" s="8" t="s">
        <v>43</v>
      </c>
      <c r="C155" s="9" t="s">
        <v>106</v>
      </c>
      <c r="D155" s="8" t="s">
        <v>122</v>
      </c>
      <c r="E155" s="8" t="s">
        <v>128</v>
      </c>
      <c r="F155" s="10">
        <v>53.89</v>
      </c>
      <c r="G155" s="11">
        <v>49.58</v>
      </c>
      <c r="H155" s="10">
        <v>4.3099999999999996</v>
      </c>
    </row>
    <row r="156" spans="1:8" ht="14.4" x14ac:dyDescent="0.25">
      <c r="A156" s="12">
        <v>42549</v>
      </c>
      <c r="B156" s="13" t="s">
        <v>24</v>
      </c>
      <c r="C156" s="14" t="s">
        <v>107</v>
      </c>
      <c r="D156" s="13" t="s">
        <v>119</v>
      </c>
      <c r="E156" s="13" t="s">
        <v>129</v>
      </c>
      <c r="F156" s="15">
        <v>299.72000000000003</v>
      </c>
      <c r="G156" s="16">
        <v>323.70000000000005</v>
      </c>
      <c r="H156" s="15">
        <v>-23.98</v>
      </c>
    </row>
    <row r="157" spans="1:8" ht="14.4" x14ac:dyDescent="0.25">
      <c r="A157" s="7">
        <v>42553</v>
      </c>
      <c r="B157" s="8" t="s">
        <v>11</v>
      </c>
      <c r="C157" s="9" t="s">
        <v>91</v>
      </c>
      <c r="D157" s="8" t="s">
        <v>118</v>
      </c>
      <c r="E157" s="8" t="s">
        <v>129</v>
      </c>
      <c r="F157" s="10">
        <v>262.20999999999998</v>
      </c>
      <c r="G157" s="11">
        <v>235.98999999999998</v>
      </c>
      <c r="H157" s="10">
        <v>26.22</v>
      </c>
    </row>
    <row r="158" spans="1:8" ht="14.4" x14ac:dyDescent="0.25">
      <c r="A158" s="12">
        <v>42555</v>
      </c>
      <c r="B158" s="13" t="s">
        <v>41</v>
      </c>
      <c r="C158" s="14" t="s">
        <v>67</v>
      </c>
      <c r="D158" s="13" t="s">
        <v>122</v>
      </c>
      <c r="E158" s="13" t="s">
        <v>129</v>
      </c>
      <c r="F158" s="15">
        <v>614.39</v>
      </c>
      <c r="G158" s="16">
        <v>602.1</v>
      </c>
      <c r="H158" s="15">
        <v>12.29</v>
      </c>
    </row>
    <row r="159" spans="1:8" ht="14.4" x14ac:dyDescent="0.25">
      <c r="A159" s="7">
        <v>42557</v>
      </c>
      <c r="B159" s="8" t="s">
        <v>1</v>
      </c>
      <c r="C159" s="9" t="s">
        <v>1</v>
      </c>
      <c r="D159" s="8" t="s">
        <v>118</v>
      </c>
      <c r="E159" s="8" t="s">
        <v>129</v>
      </c>
      <c r="F159" s="10">
        <v>38.26</v>
      </c>
      <c r="G159" s="11">
        <v>39.03</v>
      </c>
      <c r="H159" s="10">
        <v>-0.77</v>
      </c>
    </row>
    <row r="160" spans="1:8" ht="14.4" x14ac:dyDescent="0.25">
      <c r="A160" s="12">
        <v>42560</v>
      </c>
      <c r="B160" s="13" t="s">
        <v>5</v>
      </c>
      <c r="C160" s="14" t="s">
        <v>102</v>
      </c>
      <c r="D160" s="13" t="s">
        <v>118</v>
      </c>
      <c r="E160" s="13" t="s">
        <v>129</v>
      </c>
      <c r="F160" s="15">
        <v>600.21</v>
      </c>
      <c r="G160" s="16">
        <v>606.21</v>
      </c>
      <c r="H160" s="15">
        <v>-6</v>
      </c>
    </row>
    <row r="161" spans="1:8" ht="14.4" x14ac:dyDescent="0.25">
      <c r="A161" s="7">
        <v>42562</v>
      </c>
      <c r="B161" s="8" t="s">
        <v>38</v>
      </c>
      <c r="C161" s="9" t="s">
        <v>62</v>
      </c>
      <c r="D161" s="8" t="s">
        <v>122</v>
      </c>
      <c r="E161" s="8" t="s">
        <v>128</v>
      </c>
      <c r="F161" s="10">
        <v>199.99</v>
      </c>
      <c r="G161" s="11">
        <v>201.99</v>
      </c>
      <c r="H161" s="10">
        <v>-2</v>
      </c>
    </row>
    <row r="162" spans="1:8" ht="14.4" x14ac:dyDescent="0.25">
      <c r="A162" s="12">
        <v>42564</v>
      </c>
      <c r="B162" s="13" t="s">
        <v>40</v>
      </c>
      <c r="C162" s="14" t="s">
        <v>111</v>
      </c>
      <c r="D162" s="13" t="s">
        <v>122</v>
      </c>
      <c r="E162" s="13" t="s">
        <v>130</v>
      </c>
      <c r="F162" s="15">
        <v>773.74</v>
      </c>
      <c r="G162" s="16">
        <v>812.43000000000006</v>
      </c>
      <c r="H162" s="15">
        <v>-38.69</v>
      </c>
    </row>
    <row r="163" spans="1:8" ht="14.4" x14ac:dyDescent="0.25">
      <c r="A163" s="7">
        <v>42565</v>
      </c>
      <c r="B163" s="8" t="s">
        <v>26</v>
      </c>
      <c r="C163" s="9" t="s">
        <v>117</v>
      </c>
      <c r="D163" s="8" t="s">
        <v>120</v>
      </c>
      <c r="E163" s="8" t="s">
        <v>130</v>
      </c>
      <c r="F163" s="10">
        <v>245.2</v>
      </c>
      <c r="G163" s="11">
        <v>250.1</v>
      </c>
      <c r="H163" s="10">
        <v>-4.9000000000000004</v>
      </c>
    </row>
    <row r="164" spans="1:8" ht="14.4" x14ac:dyDescent="0.25">
      <c r="A164" s="12">
        <v>42565</v>
      </c>
      <c r="B164" s="13" t="s">
        <v>22</v>
      </c>
      <c r="C164" s="14" t="s">
        <v>76</v>
      </c>
      <c r="D164" s="13" t="s">
        <v>119</v>
      </c>
      <c r="E164" s="13" t="s">
        <v>129</v>
      </c>
      <c r="F164" s="15">
        <v>787.35</v>
      </c>
      <c r="G164" s="16">
        <v>787.35</v>
      </c>
      <c r="H164" s="15">
        <v>0</v>
      </c>
    </row>
    <row r="165" spans="1:8" ht="14.4" x14ac:dyDescent="0.25">
      <c r="A165" s="7">
        <v>42565</v>
      </c>
      <c r="B165" s="8" t="s">
        <v>48</v>
      </c>
      <c r="C165" s="9" t="s">
        <v>71</v>
      </c>
      <c r="D165" s="8" t="s">
        <v>122</v>
      </c>
      <c r="E165" s="8" t="s">
        <v>130</v>
      </c>
      <c r="F165" s="10">
        <v>171.36</v>
      </c>
      <c r="G165" s="11">
        <v>171.36</v>
      </c>
      <c r="H165" s="10">
        <v>0</v>
      </c>
    </row>
    <row r="166" spans="1:8" ht="14.4" x14ac:dyDescent="0.25">
      <c r="A166" s="12">
        <v>42566</v>
      </c>
      <c r="B166" s="13" t="s">
        <v>36</v>
      </c>
      <c r="C166" s="14" t="s">
        <v>90</v>
      </c>
      <c r="D166" s="13" t="s">
        <v>121</v>
      </c>
      <c r="E166" s="13" t="s">
        <v>130</v>
      </c>
      <c r="F166" s="15">
        <v>826.64</v>
      </c>
      <c r="G166" s="16">
        <v>743.98</v>
      </c>
      <c r="H166" s="15">
        <v>82.66</v>
      </c>
    </row>
    <row r="167" spans="1:8" ht="14.4" x14ac:dyDescent="0.25">
      <c r="A167" s="7">
        <v>42568</v>
      </c>
      <c r="B167" s="8" t="s">
        <v>41</v>
      </c>
      <c r="C167" s="9" t="s">
        <v>68</v>
      </c>
      <c r="D167" s="8" t="s">
        <v>122</v>
      </c>
      <c r="E167" s="8" t="s">
        <v>128</v>
      </c>
      <c r="F167" s="10">
        <v>188.56</v>
      </c>
      <c r="G167" s="11">
        <v>184.79</v>
      </c>
      <c r="H167" s="10">
        <v>3.77</v>
      </c>
    </row>
    <row r="168" spans="1:8" ht="14.4" x14ac:dyDescent="0.25">
      <c r="A168" s="12">
        <v>42569</v>
      </c>
      <c r="B168" s="13" t="s">
        <v>7</v>
      </c>
      <c r="C168" s="14" t="s">
        <v>99</v>
      </c>
      <c r="D168" s="13" t="s">
        <v>118</v>
      </c>
      <c r="E168" s="13" t="s">
        <v>129</v>
      </c>
      <c r="F168" s="15">
        <v>361.28</v>
      </c>
      <c r="G168" s="16">
        <v>357.66999999999996</v>
      </c>
      <c r="H168" s="15">
        <v>3.61</v>
      </c>
    </row>
    <row r="169" spans="1:8" ht="14.4" x14ac:dyDescent="0.25">
      <c r="A169" s="7">
        <v>42569</v>
      </c>
      <c r="B169" s="8" t="s">
        <v>12</v>
      </c>
      <c r="C169" s="9" t="s">
        <v>89</v>
      </c>
      <c r="D169" s="8" t="s">
        <v>118</v>
      </c>
      <c r="E169" s="8" t="s">
        <v>130</v>
      </c>
      <c r="F169" s="10">
        <v>760.52</v>
      </c>
      <c r="G169" s="11">
        <v>798.55</v>
      </c>
      <c r="H169" s="10">
        <v>-38.03</v>
      </c>
    </row>
    <row r="170" spans="1:8" ht="14.4" x14ac:dyDescent="0.25">
      <c r="A170" s="12">
        <v>42575</v>
      </c>
      <c r="B170" s="13" t="s">
        <v>30</v>
      </c>
      <c r="C170" s="14" t="s">
        <v>88</v>
      </c>
      <c r="D170" s="13" t="s">
        <v>120</v>
      </c>
      <c r="E170" s="13" t="s">
        <v>130</v>
      </c>
      <c r="F170" s="15">
        <v>201.34</v>
      </c>
      <c r="G170" s="16">
        <v>199.33</v>
      </c>
      <c r="H170" s="15">
        <v>2.0099999999999998</v>
      </c>
    </row>
    <row r="171" spans="1:8" ht="14.4" x14ac:dyDescent="0.25">
      <c r="A171" s="7">
        <v>42576</v>
      </c>
      <c r="B171" s="8" t="s">
        <v>40</v>
      </c>
      <c r="C171" s="9" t="s">
        <v>65</v>
      </c>
      <c r="D171" s="8" t="s">
        <v>122</v>
      </c>
      <c r="E171" s="8" t="s">
        <v>130</v>
      </c>
      <c r="F171" s="10">
        <v>277.27</v>
      </c>
      <c r="G171" s="11">
        <v>252.32</v>
      </c>
      <c r="H171" s="10">
        <v>24.95</v>
      </c>
    </row>
    <row r="172" spans="1:8" ht="14.4" x14ac:dyDescent="0.25">
      <c r="A172" s="12">
        <v>42583</v>
      </c>
      <c r="B172" s="13" t="s">
        <v>18</v>
      </c>
      <c r="C172" s="14" t="s">
        <v>63</v>
      </c>
      <c r="D172" s="13" t="s">
        <v>119</v>
      </c>
      <c r="E172" s="13" t="s">
        <v>129</v>
      </c>
      <c r="F172" s="15">
        <v>759.59</v>
      </c>
      <c r="G172" s="16">
        <v>691.23</v>
      </c>
      <c r="H172" s="15">
        <v>68.36</v>
      </c>
    </row>
    <row r="173" spans="1:8" ht="14.4" x14ac:dyDescent="0.25">
      <c r="A173" s="7">
        <v>42589</v>
      </c>
      <c r="B173" s="8" t="s">
        <v>33</v>
      </c>
      <c r="C173" s="9" t="s">
        <v>115</v>
      </c>
      <c r="D173" s="8" t="s">
        <v>121</v>
      </c>
      <c r="E173" s="8" t="s">
        <v>128</v>
      </c>
      <c r="F173" s="10">
        <v>731.77</v>
      </c>
      <c r="G173" s="11">
        <v>790.31</v>
      </c>
      <c r="H173" s="10">
        <v>-58.54</v>
      </c>
    </row>
    <row r="174" spans="1:8" ht="14.4" x14ac:dyDescent="0.25">
      <c r="A174" s="12">
        <v>42589</v>
      </c>
      <c r="B174" s="13" t="s">
        <v>32</v>
      </c>
      <c r="C174" s="14" t="s">
        <v>126</v>
      </c>
      <c r="D174" s="13" t="s">
        <v>120</v>
      </c>
      <c r="E174" s="13" t="s">
        <v>130</v>
      </c>
      <c r="F174" s="15">
        <v>561.07000000000005</v>
      </c>
      <c r="G174" s="16">
        <v>533.0200000000001</v>
      </c>
      <c r="H174" s="15">
        <v>28.05</v>
      </c>
    </row>
    <row r="175" spans="1:8" ht="14.4" x14ac:dyDescent="0.25">
      <c r="A175" s="7">
        <v>42589</v>
      </c>
      <c r="B175" s="8" t="s">
        <v>15</v>
      </c>
      <c r="C175" s="9" t="s">
        <v>60</v>
      </c>
      <c r="D175" s="8" t="s">
        <v>118</v>
      </c>
      <c r="E175" s="8" t="s">
        <v>130</v>
      </c>
      <c r="F175" s="10">
        <v>55.79</v>
      </c>
      <c r="G175" s="11">
        <v>58.019999999999996</v>
      </c>
      <c r="H175" s="10">
        <v>-2.23</v>
      </c>
    </row>
    <row r="176" spans="1:8" ht="14.4" x14ac:dyDescent="0.25">
      <c r="A176" s="12">
        <v>42591</v>
      </c>
      <c r="B176" s="13" t="s">
        <v>40</v>
      </c>
      <c r="C176" s="14" t="s">
        <v>111</v>
      </c>
      <c r="D176" s="13" t="s">
        <v>122</v>
      </c>
      <c r="E176" s="13" t="s">
        <v>128</v>
      </c>
      <c r="F176" s="15">
        <v>678.51</v>
      </c>
      <c r="G176" s="16">
        <v>705.65</v>
      </c>
      <c r="H176" s="15">
        <v>-27.14</v>
      </c>
    </row>
    <row r="177" spans="1:8" ht="14.4" x14ac:dyDescent="0.25">
      <c r="A177" s="7">
        <v>42591</v>
      </c>
      <c r="B177" s="8" t="s">
        <v>23</v>
      </c>
      <c r="C177" s="9" t="s">
        <v>109</v>
      </c>
      <c r="D177" s="8" t="s">
        <v>119</v>
      </c>
      <c r="E177" s="8" t="s">
        <v>129</v>
      </c>
      <c r="F177" s="10">
        <v>289.07</v>
      </c>
      <c r="G177" s="11">
        <v>309.3</v>
      </c>
      <c r="H177" s="10">
        <v>-20.23</v>
      </c>
    </row>
    <row r="178" spans="1:8" ht="14.4" x14ac:dyDescent="0.25">
      <c r="A178" s="12">
        <v>42593</v>
      </c>
      <c r="B178" s="13" t="s">
        <v>33</v>
      </c>
      <c r="C178" s="14" t="s">
        <v>115</v>
      </c>
      <c r="D178" s="13" t="s">
        <v>121</v>
      </c>
      <c r="E178" s="13" t="s">
        <v>129</v>
      </c>
      <c r="F178" s="15">
        <v>423.13</v>
      </c>
      <c r="G178" s="16">
        <v>389.28</v>
      </c>
      <c r="H178" s="15">
        <v>33.85</v>
      </c>
    </row>
    <row r="179" spans="1:8" ht="14.4" x14ac:dyDescent="0.25">
      <c r="A179" s="7">
        <v>42593</v>
      </c>
      <c r="B179" s="8" t="s">
        <v>9</v>
      </c>
      <c r="C179" s="9" t="s">
        <v>95</v>
      </c>
      <c r="D179" s="8" t="s">
        <v>118</v>
      </c>
      <c r="E179" s="8" t="s">
        <v>129</v>
      </c>
      <c r="F179" s="10">
        <v>895.24</v>
      </c>
      <c r="G179" s="11">
        <v>966.86</v>
      </c>
      <c r="H179" s="10">
        <v>-71.62</v>
      </c>
    </row>
    <row r="180" spans="1:8" ht="14.4" x14ac:dyDescent="0.25">
      <c r="A180" s="12">
        <v>42593</v>
      </c>
      <c r="B180" s="13" t="s">
        <v>13</v>
      </c>
      <c r="C180" s="14" t="s">
        <v>73</v>
      </c>
      <c r="D180" s="13" t="s">
        <v>118</v>
      </c>
      <c r="E180" s="13" t="s">
        <v>128</v>
      </c>
      <c r="F180" s="15">
        <v>918.7</v>
      </c>
      <c r="G180" s="16">
        <v>909.51</v>
      </c>
      <c r="H180" s="15">
        <v>9.19</v>
      </c>
    </row>
    <row r="181" spans="1:8" ht="14.4" x14ac:dyDescent="0.25">
      <c r="A181" s="7">
        <v>42594</v>
      </c>
      <c r="B181" s="8" t="s">
        <v>30</v>
      </c>
      <c r="C181" s="9" t="s">
        <v>88</v>
      </c>
      <c r="D181" s="8" t="s">
        <v>120</v>
      </c>
      <c r="E181" s="8" t="s">
        <v>130</v>
      </c>
      <c r="F181" s="10">
        <v>568.71</v>
      </c>
      <c r="G181" s="11">
        <v>540.27</v>
      </c>
      <c r="H181" s="10">
        <v>28.44</v>
      </c>
    </row>
    <row r="182" spans="1:8" ht="14.4" x14ac:dyDescent="0.25">
      <c r="A182" s="12">
        <v>42597</v>
      </c>
      <c r="B182" s="13" t="s">
        <v>44</v>
      </c>
      <c r="C182" s="14" t="s">
        <v>104</v>
      </c>
      <c r="D182" s="13" t="s">
        <v>122</v>
      </c>
      <c r="E182" s="13" t="s">
        <v>129</v>
      </c>
      <c r="F182" s="15">
        <v>239.28</v>
      </c>
      <c r="G182" s="16">
        <v>244.07</v>
      </c>
      <c r="H182" s="15">
        <v>-4.79</v>
      </c>
    </row>
    <row r="183" spans="1:8" ht="14.4" x14ac:dyDescent="0.25">
      <c r="A183" s="7">
        <v>42597</v>
      </c>
      <c r="B183" s="8" t="s">
        <v>47</v>
      </c>
      <c r="C183" s="9" t="s">
        <v>96</v>
      </c>
      <c r="D183" s="8" t="s">
        <v>122</v>
      </c>
      <c r="E183" s="8" t="s">
        <v>130</v>
      </c>
      <c r="F183" s="10">
        <v>812.17</v>
      </c>
      <c r="G183" s="11">
        <v>877.14</v>
      </c>
      <c r="H183" s="10">
        <v>-64.97</v>
      </c>
    </row>
    <row r="184" spans="1:8" ht="14.4" x14ac:dyDescent="0.25">
      <c r="A184" s="12">
        <v>42597</v>
      </c>
      <c r="B184" s="13" t="s">
        <v>48</v>
      </c>
      <c r="C184" s="14" t="s">
        <v>55</v>
      </c>
      <c r="D184" s="13" t="s">
        <v>122</v>
      </c>
      <c r="E184" s="13" t="s">
        <v>130</v>
      </c>
      <c r="F184" s="15">
        <v>583.45000000000005</v>
      </c>
      <c r="G184" s="16">
        <v>560.11</v>
      </c>
      <c r="H184" s="15">
        <v>23.34</v>
      </c>
    </row>
    <row r="185" spans="1:8" ht="14.4" x14ac:dyDescent="0.25">
      <c r="A185" s="7">
        <v>42599</v>
      </c>
      <c r="B185" s="8" t="s">
        <v>38</v>
      </c>
      <c r="C185" s="9" t="s">
        <v>62</v>
      </c>
      <c r="D185" s="8" t="s">
        <v>122</v>
      </c>
      <c r="E185" s="8" t="s">
        <v>128</v>
      </c>
      <c r="F185" s="10">
        <v>457.95</v>
      </c>
      <c r="G185" s="11">
        <v>494.59</v>
      </c>
      <c r="H185" s="10">
        <v>-36.64</v>
      </c>
    </row>
    <row r="186" spans="1:8" ht="14.4" x14ac:dyDescent="0.25">
      <c r="A186" s="12">
        <v>42601</v>
      </c>
      <c r="B186" s="13" t="s">
        <v>21</v>
      </c>
      <c r="C186" s="14" t="s">
        <v>79</v>
      </c>
      <c r="D186" s="13" t="s">
        <v>119</v>
      </c>
      <c r="E186" s="13" t="s">
        <v>128</v>
      </c>
      <c r="F186" s="15">
        <v>987.23</v>
      </c>
      <c r="G186" s="16">
        <v>997.1</v>
      </c>
      <c r="H186" s="15">
        <v>-9.8699999999999992</v>
      </c>
    </row>
    <row r="187" spans="1:8" ht="14.4" x14ac:dyDescent="0.25">
      <c r="A187" s="7">
        <v>42602</v>
      </c>
      <c r="B187" s="8" t="s">
        <v>34</v>
      </c>
      <c r="C187" s="9" t="s">
        <v>105</v>
      </c>
      <c r="D187" s="8" t="s">
        <v>121</v>
      </c>
      <c r="E187" s="8" t="s">
        <v>128</v>
      </c>
      <c r="F187" s="10">
        <v>526.92999999999995</v>
      </c>
      <c r="G187" s="11">
        <v>553.28</v>
      </c>
      <c r="H187" s="10">
        <v>-26.35</v>
      </c>
    </row>
    <row r="188" spans="1:8" ht="14.4" x14ac:dyDescent="0.25">
      <c r="A188" s="12">
        <v>42604</v>
      </c>
      <c r="B188" s="13" t="s">
        <v>19</v>
      </c>
      <c r="C188" s="14" t="s">
        <v>113</v>
      </c>
      <c r="D188" s="13" t="s">
        <v>119</v>
      </c>
      <c r="E188" s="13" t="s">
        <v>128</v>
      </c>
      <c r="F188" s="15">
        <v>386.36</v>
      </c>
      <c r="G188" s="16">
        <v>417.27000000000004</v>
      </c>
      <c r="H188" s="15">
        <v>-30.91</v>
      </c>
    </row>
    <row r="189" spans="1:8" ht="14.4" x14ac:dyDescent="0.25">
      <c r="A189" s="7">
        <v>42604</v>
      </c>
      <c r="B189" s="8" t="s">
        <v>8</v>
      </c>
      <c r="C189" s="9" t="s">
        <v>54</v>
      </c>
      <c r="D189" s="8" t="s">
        <v>118</v>
      </c>
      <c r="E189" s="8" t="s">
        <v>130</v>
      </c>
      <c r="F189" s="10">
        <v>562.83000000000004</v>
      </c>
      <c r="G189" s="11">
        <v>557.20000000000005</v>
      </c>
      <c r="H189" s="10">
        <v>5.63</v>
      </c>
    </row>
    <row r="190" spans="1:8" ht="14.4" x14ac:dyDescent="0.25">
      <c r="A190" s="12">
        <v>42605</v>
      </c>
      <c r="B190" s="13" t="s">
        <v>6</v>
      </c>
      <c r="C190" s="14" t="s">
        <v>80</v>
      </c>
      <c r="D190" s="13" t="s">
        <v>118</v>
      </c>
      <c r="E190" s="13" t="s">
        <v>129</v>
      </c>
      <c r="F190" s="15">
        <v>524.58000000000004</v>
      </c>
      <c r="G190" s="16">
        <v>514.09</v>
      </c>
      <c r="H190" s="15">
        <v>10.49</v>
      </c>
    </row>
    <row r="191" spans="1:8" ht="14.4" x14ac:dyDescent="0.25">
      <c r="A191" s="7">
        <v>42605</v>
      </c>
      <c r="B191" s="8" t="s">
        <v>48</v>
      </c>
      <c r="C191" s="9" t="s">
        <v>55</v>
      </c>
      <c r="D191" s="8" t="s">
        <v>122</v>
      </c>
      <c r="E191" s="8" t="s">
        <v>129</v>
      </c>
      <c r="F191" s="10">
        <v>634.54</v>
      </c>
      <c r="G191" s="11">
        <v>609.16</v>
      </c>
      <c r="H191" s="10">
        <v>25.38</v>
      </c>
    </row>
    <row r="192" spans="1:8" ht="14.4" x14ac:dyDescent="0.25">
      <c r="A192" s="12">
        <v>42606</v>
      </c>
      <c r="B192" s="13" t="s">
        <v>2</v>
      </c>
      <c r="C192" s="14" t="s">
        <v>108</v>
      </c>
      <c r="D192" s="13" t="s">
        <v>118</v>
      </c>
      <c r="E192" s="13" t="s">
        <v>129</v>
      </c>
      <c r="F192" s="15">
        <v>856.67</v>
      </c>
      <c r="G192" s="16">
        <v>916.64</v>
      </c>
      <c r="H192" s="15">
        <v>-59.97</v>
      </c>
    </row>
    <row r="193" spans="1:8" ht="14.4" x14ac:dyDescent="0.25">
      <c r="A193" s="7">
        <v>42607</v>
      </c>
      <c r="B193" s="8" t="s">
        <v>46</v>
      </c>
      <c r="C193" s="9" t="s">
        <v>100</v>
      </c>
      <c r="D193" s="8" t="s">
        <v>122</v>
      </c>
      <c r="E193" s="8" t="s">
        <v>130</v>
      </c>
      <c r="F193" s="10">
        <v>871.54</v>
      </c>
      <c r="G193" s="11">
        <v>888.96999999999991</v>
      </c>
      <c r="H193" s="10">
        <v>-17.43</v>
      </c>
    </row>
    <row r="194" spans="1:8" ht="14.4" x14ac:dyDescent="0.25">
      <c r="A194" s="12">
        <v>42614</v>
      </c>
      <c r="B194" s="13" t="s">
        <v>36</v>
      </c>
      <c r="C194" s="14" t="s">
        <v>59</v>
      </c>
      <c r="D194" s="13" t="s">
        <v>121</v>
      </c>
      <c r="E194" s="13" t="s">
        <v>130</v>
      </c>
      <c r="F194" s="15">
        <v>892.7</v>
      </c>
      <c r="G194" s="16">
        <v>874.85</v>
      </c>
      <c r="H194" s="15">
        <v>17.850000000000001</v>
      </c>
    </row>
    <row r="195" spans="1:8" ht="14.4" x14ac:dyDescent="0.25">
      <c r="A195" s="7">
        <v>42615</v>
      </c>
      <c r="B195" s="8" t="s">
        <v>48</v>
      </c>
      <c r="C195" s="9" t="s">
        <v>56</v>
      </c>
      <c r="D195" s="8" t="s">
        <v>122</v>
      </c>
      <c r="E195" s="8" t="s">
        <v>129</v>
      </c>
      <c r="F195" s="10">
        <v>992.34</v>
      </c>
      <c r="G195" s="11">
        <v>962.57</v>
      </c>
      <c r="H195" s="10">
        <v>29.77</v>
      </c>
    </row>
    <row r="196" spans="1:8" ht="14.4" x14ac:dyDescent="0.25">
      <c r="A196" s="12">
        <v>42617</v>
      </c>
      <c r="B196" s="13" t="s">
        <v>14</v>
      </c>
      <c r="C196" s="14" t="s">
        <v>83</v>
      </c>
      <c r="D196" s="13" t="s">
        <v>118</v>
      </c>
      <c r="E196" s="13" t="s">
        <v>128</v>
      </c>
      <c r="F196" s="15">
        <v>202.36</v>
      </c>
      <c r="G196" s="16">
        <v>208.43</v>
      </c>
      <c r="H196" s="15">
        <v>-6.07</v>
      </c>
    </row>
    <row r="197" spans="1:8" ht="14.4" x14ac:dyDescent="0.25">
      <c r="A197" s="7">
        <v>42618</v>
      </c>
      <c r="B197" s="8" t="s">
        <v>39</v>
      </c>
      <c r="C197" s="9" t="s">
        <v>75</v>
      </c>
      <c r="D197" s="8" t="s">
        <v>122</v>
      </c>
      <c r="E197" s="8" t="s">
        <v>129</v>
      </c>
      <c r="F197" s="10">
        <v>524.67999999999995</v>
      </c>
      <c r="G197" s="11">
        <v>550.91</v>
      </c>
      <c r="H197" s="10">
        <v>-26.23</v>
      </c>
    </row>
    <row r="198" spans="1:8" ht="14.4" x14ac:dyDescent="0.25">
      <c r="A198" s="12">
        <v>42618</v>
      </c>
      <c r="B198" s="13" t="s">
        <v>3</v>
      </c>
      <c r="C198" s="14" t="s">
        <v>66</v>
      </c>
      <c r="D198" s="13" t="s">
        <v>118</v>
      </c>
      <c r="E198" s="13" t="s">
        <v>129</v>
      </c>
      <c r="F198" s="15">
        <v>872.97</v>
      </c>
      <c r="G198" s="16">
        <v>872.97</v>
      </c>
      <c r="H198" s="15">
        <v>0</v>
      </c>
    </row>
    <row r="199" spans="1:8" ht="14.4" x14ac:dyDescent="0.25">
      <c r="A199" s="7">
        <v>42618</v>
      </c>
      <c r="B199" s="8" t="s">
        <v>35</v>
      </c>
      <c r="C199" s="9" t="s">
        <v>97</v>
      </c>
      <c r="D199" s="8" t="s">
        <v>121</v>
      </c>
      <c r="E199" s="8" t="s">
        <v>128</v>
      </c>
      <c r="F199" s="10">
        <v>547.71</v>
      </c>
      <c r="G199" s="11">
        <v>586.05000000000007</v>
      </c>
      <c r="H199" s="10">
        <v>-38.340000000000003</v>
      </c>
    </row>
    <row r="200" spans="1:8" ht="14.4" x14ac:dyDescent="0.25">
      <c r="A200" s="12">
        <v>42619</v>
      </c>
      <c r="B200" s="13" t="s">
        <v>36</v>
      </c>
      <c r="C200" s="14" t="s">
        <v>58</v>
      </c>
      <c r="D200" s="13" t="s">
        <v>121</v>
      </c>
      <c r="E200" s="13" t="s">
        <v>129</v>
      </c>
      <c r="F200" s="15">
        <v>710.53</v>
      </c>
      <c r="G200" s="16">
        <v>724.74</v>
      </c>
      <c r="H200" s="15">
        <v>-14.21</v>
      </c>
    </row>
    <row r="201" spans="1:8" ht="14.4" x14ac:dyDescent="0.25">
      <c r="A201" s="7">
        <v>42622</v>
      </c>
      <c r="B201" s="8" t="s">
        <v>40</v>
      </c>
      <c r="C201" s="9" t="s">
        <v>65</v>
      </c>
      <c r="D201" s="8" t="s">
        <v>122</v>
      </c>
      <c r="E201" s="8" t="s">
        <v>128</v>
      </c>
      <c r="F201" s="10">
        <v>950.34</v>
      </c>
      <c r="G201" s="11">
        <v>893.32</v>
      </c>
      <c r="H201" s="10">
        <v>57.02</v>
      </c>
    </row>
    <row r="202" spans="1:8" ht="14.4" x14ac:dyDescent="0.25">
      <c r="A202" s="12">
        <v>42622</v>
      </c>
      <c r="B202" s="13" t="s">
        <v>45</v>
      </c>
      <c r="C202" s="14" t="s">
        <v>101</v>
      </c>
      <c r="D202" s="13" t="s">
        <v>122</v>
      </c>
      <c r="E202" s="13" t="s">
        <v>128</v>
      </c>
      <c r="F202" s="15">
        <v>21.08</v>
      </c>
      <c r="G202" s="16">
        <v>22.34</v>
      </c>
      <c r="H202" s="15">
        <v>-1.26</v>
      </c>
    </row>
    <row r="203" spans="1:8" ht="14.4" x14ac:dyDescent="0.25">
      <c r="A203" s="7">
        <v>42623</v>
      </c>
      <c r="B203" s="8" t="s">
        <v>17</v>
      </c>
      <c r="C203" s="9" t="s">
        <v>74</v>
      </c>
      <c r="D203" s="8" t="s">
        <v>119</v>
      </c>
      <c r="E203" s="8" t="s">
        <v>128</v>
      </c>
      <c r="F203" s="10">
        <v>366.34</v>
      </c>
      <c r="G203" s="11">
        <v>366.34</v>
      </c>
      <c r="H203" s="10">
        <v>0</v>
      </c>
    </row>
    <row r="204" spans="1:8" ht="14.4" x14ac:dyDescent="0.25">
      <c r="A204" s="12">
        <v>42623</v>
      </c>
      <c r="B204" s="13" t="s">
        <v>22</v>
      </c>
      <c r="C204" s="14" t="s">
        <v>76</v>
      </c>
      <c r="D204" s="13" t="s">
        <v>119</v>
      </c>
      <c r="E204" s="13" t="s">
        <v>128</v>
      </c>
      <c r="F204" s="15">
        <v>164.79</v>
      </c>
      <c r="G204" s="16">
        <v>164.79</v>
      </c>
      <c r="H204" s="15">
        <v>0</v>
      </c>
    </row>
    <row r="205" spans="1:8" ht="14.4" x14ac:dyDescent="0.25">
      <c r="A205" s="7">
        <v>42623</v>
      </c>
      <c r="B205" s="8" t="s">
        <v>6</v>
      </c>
      <c r="C205" s="9" t="s">
        <v>81</v>
      </c>
      <c r="D205" s="8" t="s">
        <v>118</v>
      </c>
      <c r="E205" s="8" t="s">
        <v>128</v>
      </c>
      <c r="F205" s="10">
        <v>459.39</v>
      </c>
      <c r="G205" s="11">
        <v>441.01</v>
      </c>
      <c r="H205" s="10">
        <v>18.38</v>
      </c>
    </row>
    <row r="206" spans="1:8" ht="14.4" x14ac:dyDescent="0.25">
      <c r="A206" s="12">
        <v>42623</v>
      </c>
      <c r="B206" s="13" t="s">
        <v>49</v>
      </c>
      <c r="C206" s="14" t="s">
        <v>72</v>
      </c>
      <c r="D206" s="13" t="s">
        <v>122</v>
      </c>
      <c r="E206" s="13" t="s">
        <v>129</v>
      </c>
      <c r="F206" s="15">
        <v>332.63</v>
      </c>
      <c r="G206" s="16">
        <v>319.32</v>
      </c>
      <c r="H206" s="15">
        <v>13.31</v>
      </c>
    </row>
    <row r="207" spans="1:8" ht="14.4" x14ac:dyDescent="0.25">
      <c r="A207" s="7">
        <v>42625</v>
      </c>
      <c r="B207" s="8" t="s">
        <v>9</v>
      </c>
      <c r="C207" s="9" t="s">
        <v>95</v>
      </c>
      <c r="D207" s="8" t="s">
        <v>118</v>
      </c>
      <c r="E207" s="8" t="s">
        <v>130</v>
      </c>
      <c r="F207" s="10">
        <v>428.17</v>
      </c>
      <c r="G207" s="11">
        <v>411.04</v>
      </c>
      <c r="H207" s="10">
        <v>17.13</v>
      </c>
    </row>
    <row r="208" spans="1:8" ht="14.4" x14ac:dyDescent="0.25">
      <c r="A208" s="12">
        <v>42626</v>
      </c>
      <c r="B208" s="13" t="s">
        <v>20</v>
      </c>
      <c r="C208" s="14" t="s">
        <v>112</v>
      </c>
      <c r="D208" s="13" t="s">
        <v>119</v>
      </c>
      <c r="E208" s="13" t="s">
        <v>129</v>
      </c>
      <c r="F208" s="15">
        <v>0.89</v>
      </c>
      <c r="G208" s="16">
        <v>0.86</v>
      </c>
      <c r="H208" s="15">
        <v>0.03</v>
      </c>
    </row>
    <row r="209" spans="1:8" ht="14.4" x14ac:dyDescent="0.25">
      <c r="A209" s="7">
        <v>42629</v>
      </c>
      <c r="B209" s="8" t="s">
        <v>28</v>
      </c>
      <c r="C209" s="9" t="s">
        <v>103</v>
      </c>
      <c r="D209" s="8" t="s">
        <v>120</v>
      </c>
      <c r="E209" s="8" t="s">
        <v>128</v>
      </c>
      <c r="F209" s="10">
        <v>344.48</v>
      </c>
      <c r="G209" s="11">
        <v>334.15000000000003</v>
      </c>
      <c r="H209" s="10">
        <v>10.33</v>
      </c>
    </row>
    <row r="210" spans="1:8" ht="14.4" x14ac:dyDescent="0.25">
      <c r="A210" s="12">
        <v>42631</v>
      </c>
      <c r="B210" s="13" t="s">
        <v>32</v>
      </c>
      <c r="C210" s="14" t="s">
        <v>126</v>
      </c>
      <c r="D210" s="13" t="s">
        <v>120</v>
      </c>
      <c r="E210" s="13" t="s">
        <v>128</v>
      </c>
      <c r="F210" s="15">
        <v>309.77999999999997</v>
      </c>
      <c r="G210" s="16">
        <v>300.48999999999995</v>
      </c>
      <c r="H210" s="15">
        <v>9.2899999999999991</v>
      </c>
    </row>
    <row r="211" spans="1:8" ht="14.4" x14ac:dyDescent="0.25">
      <c r="A211" s="7">
        <v>42632</v>
      </c>
      <c r="B211" s="8" t="s">
        <v>22</v>
      </c>
      <c r="C211" s="9" t="s">
        <v>77</v>
      </c>
      <c r="D211" s="8" t="s">
        <v>119</v>
      </c>
      <c r="E211" s="8" t="s">
        <v>128</v>
      </c>
      <c r="F211" s="10">
        <v>877.54</v>
      </c>
      <c r="G211" s="11">
        <v>798.56</v>
      </c>
      <c r="H211" s="10">
        <v>78.98</v>
      </c>
    </row>
    <row r="212" spans="1:8" ht="14.4" x14ac:dyDescent="0.25">
      <c r="A212" s="12">
        <v>42633</v>
      </c>
      <c r="B212" s="13" t="s">
        <v>41</v>
      </c>
      <c r="C212" s="14" t="s">
        <v>67</v>
      </c>
      <c r="D212" s="13" t="s">
        <v>122</v>
      </c>
      <c r="E212" s="13" t="s">
        <v>128</v>
      </c>
      <c r="F212" s="15">
        <v>729.41</v>
      </c>
      <c r="G212" s="16">
        <v>685.65</v>
      </c>
      <c r="H212" s="15">
        <v>43.76</v>
      </c>
    </row>
    <row r="213" spans="1:8" ht="14.4" x14ac:dyDescent="0.25">
      <c r="A213" s="7">
        <v>42633</v>
      </c>
      <c r="B213" s="8" t="s">
        <v>49</v>
      </c>
      <c r="C213" s="9" t="s">
        <v>72</v>
      </c>
      <c r="D213" s="8" t="s">
        <v>122</v>
      </c>
      <c r="E213" s="8" t="s">
        <v>129</v>
      </c>
      <c r="F213" s="10">
        <v>139.1</v>
      </c>
      <c r="G213" s="11">
        <v>129.35999999999999</v>
      </c>
      <c r="H213" s="10">
        <v>9.74</v>
      </c>
    </row>
    <row r="214" spans="1:8" ht="14.4" x14ac:dyDescent="0.25">
      <c r="A214" s="12">
        <v>42634</v>
      </c>
      <c r="B214" s="13" t="s">
        <v>39</v>
      </c>
      <c r="C214" s="14" t="s">
        <v>75</v>
      </c>
      <c r="D214" s="13" t="s">
        <v>122</v>
      </c>
      <c r="E214" s="13" t="s">
        <v>128</v>
      </c>
      <c r="F214" s="15">
        <v>117.52</v>
      </c>
      <c r="G214" s="16">
        <v>109.28999999999999</v>
      </c>
      <c r="H214" s="15">
        <v>8.23</v>
      </c>
    </row>
    <row r="215" spans="1:8" ht="14.4" x14ac:dyDescent="0.25">
      <c r="A215" s="7">
        <v>42634</v>
      </c>
      <c r="B215" s="8" t="s">
        <v>36</v>
      </c>
      <c r="C215" s="9" t="s">
        <v>59</v>
      </c>
      <c r="D215" s="8" t="s">
        <v>121</v>
      </c>
      <c r="E215" s="8" t="s">
        <v>130</v>
      </c>
      <c r="F215" s="10">
        <v>139.31</v>
      </c>
      <c r="G215" s="11">
        <v>125.38</v>
      </c>
      <c r="H215" s="10">
        <v>13.93</v>
      </c>
    </row>
    <row r="216" spans="1:8" ht="14.4" x14ac:dyDescent="0.25">
      <c r="A216" s="12">
        <v>42635</v>
      </c>
      <c r="B216" s="13" t="s">
        <v>18</v>
      </c>
      <c r="C216" s="14" t="s">
        <v>64</v>
      </c>
      <c r="D216" s="13" t="s">
        <v>119</v>
      </c>
      <c r="E216" s="13" t="s">
        <v>128</v>
      </c>
      <c r="F216" s="15">
        <v>537.87</v>
      </c>
      <c r="G216" s="16">
        <v>510.98</v>
      </c>
      <c r="H216" s="15">
        <v>26.89</v>
      </c>
    </row>
    <row r="217" spans="1:8" ht="14.4" x14ac:dyDescent="0.25">
      <c r="A217" s="7">
        <v>42635</v>
      </c>
      <c r="B217" s="8" t="s">
        <v>48</v>
      </c>
      <c r="C217" s="9" t="s">
        <v>82</v>
      </c>
      <c r="D217" s="8" t="s">
        <v>122</v>
      </c>
      <c r="E217" s="8" t="s">
        <v>128</v>
      </c>
      <c r="F217" s="10">
        <v>137.79</v>
      </c>
      <c r="G217" s="11">
        <v>125.38999999999999</v>
      </c>
      <c r="H217" s="10">
        <v>12.4</v>
      </c>
    </row>
    <row r="218" spans="1:8" ht="14.4" x14ac:dyDescent="0.25">
      <c r="A218" s="12">
        <v>42635</v>
      </c>
      <c r="B218" s="13" t="s">
        <v>10</v>
      </c>
      <c r="C218" s="14" t="s">
        <v>93</v>
      </c>
      <c r="D218" s="13" t="s">
        <v>118</v>
      </c>
      <c r="E218" s="13" t="s">
        <v>129</v>
      </c>
      <c r="F218" s="15">
        <v>334.36</v>
      </c>
      <c r="G218" s="16">
        <v>300.92</v>
      </c>
      <c r="H218" s="15">
        <v>33.44</v>
      </c>
    </row>
    <row r="219" spans="1:8" ht="14.4" x14ac:dyDescent="0.25">
      <c r="A219" s="7">
        <v>42635</v>
      </c>
      <c r="B219" s="8" t="s">
        <v>30</v>
      </c>
      <c r="C219" s="9" t="s">
        <v>88</v>
      </c>
      <c r="D219" s="8" t="s">
        <v>120</v>
      </c>
      <c r="E219" s="8" t="s">
        <v>129</v>
      </c>
      <c r="F219" s="10">
        <v>626.58000000000004</v>
      </c>
      <c r="G219" s="11">
        <v>614.05000000000007</v>
      </c>
      <c r="H219" s="10">
        <v>12.53</v>
      </c>
    </row>
    <row r="220" spans="1:8" ht="14.4" x14ac:dyDescent="0.25">
      <c r="A220" s="12">
        <v>42639</v>
      </c>
      <c r="B220" s="13" t="s">
        <v>20</v>
      </c>
      <c r="C220" s="14" t="s">
        <v>112</v>
      </c>
      <c r="D220" s="13" t="s">
        <v>119</v>
      </c>
      <c r="E220" s="13" t="s">
        <v>128</v>
      </c>
      <c r="F220" s="15">
        <v>44.5</v>
      </c>
      <c r="G220" s="16">
        <v>41.38</v>
      </c>
      <c r="H220" s="15">
        <v>3.12</v>
      </c>
    </row>
    <row r="221" spans="1:8" ht="14.4" x14ac:dyDescent="0.25">
      <c r="A221" s="7">
        <v>42640</v>
      </c>
      <c r="B221" s="8" t="s">
        <v>45</v>
      </c>
      <c r="C221" s="9" t="s">
        <v>101</v>
      </c>
      <c r="D221" s="8" t="s">
        <v>122</v>
      </c>
      <c r="E221" s="8" t="s">
        <v>129</v>
      </c>
      <c r="F221" s="10">
        <v>598.54999999999995</v>
      </c>
      <c r="G221" s="11">
        <v>592.55999999999995</v>
      </c>
      <c r="H221" s="10">
        <v>5.99</v>
      </c>
    </row>
    <row r="222" spans="1:8" ht="14.4" x14ac:dyDescent="0.25">
      <c r="A222" s="12">
        <v>42641</v>
      </c>
      <c r="B222" s="13" t="s">
        <v>24</v>
      </c>
      <c r="C222" s="14" t="s">
        <v>107</v>
      </c>
      <c r="D222" s="13" t="s">
        <v>119</v>
      </c>
      <c r="E222" s="13" t="s">
        <v>130</v>
      </c>
      <c r="F222" s="15">
        <v>157.86000000000001</v>
      </c>
      <c r="G222" s="16">
        <v>165.75</v>
      </c>
      <c r="H222" s="15">
        <v>-7.89</v>
      </c>
    </row>
    <row r="223" spans="1:8" ht="14.4" x14ac:dyDescent="0.25">
      <c r="A223" s="7">
        <v>42641</v>
      </c>
      <c r="B223" s="8" t="s">
        <v>42</v>
      </c>
      <c r="C223" s="9" t="s">
        <v>69</v>
      </c>
      <c r="D223" s="8" t="s">
        <v>122</v>
      </c>
      <c r="E223" s="8" t="s">
        <v>130</v>
      </c>
      <c r="F223" s="10">
        <v>255.31</v>
      </c>
      <c r="G223" s="11">
        <v>268.08</v>
      </c>
      <c r="H223" s="10">
        <v>-12.77</v>
      </c>
    </row>
    <row r="224" spans="1:8" ht="14.4" x14ac:dyDescent="0.25">
      <c r="A224" s="12">
        <v>42644</v>
      </c>
      <c r="B224" s="13" t="s">
        <v>7</v>
      </c>
      <c r="C224" s="14" t="s">
        <v>99</v>
      </c>
      <c r="D224" s="13" t="s">
        <v>118</v>
      </c>
      <c r="E224" s="13" t="s">
        <v>129</v>
      </c>
      <c r="F224" s="15">
        <v>148.56</v>
      </c>
      <c r="G224" s="16">
        <v>138.16</v>
      </c>
      <c r="H224" s="15">
        <v>10.4</v>
      </c>
    </row>
    <row r="225" spans="1:8" ht="14.4" x14ac:dyDescent="0.25">
      <c r="A225" s="7">
        <v>42644</v>
      </c>
      <c r="B225" s="8" t="s">
        <v>50</v>
      </c>
      <c r="C225" s="9" t="s">
        <v>92</v>
      </c>
      <c r="D225" s="8" t="s">
        <v>122</v>
      </c>
      <c r="E225" s="8" t="s">
        <v>130</v>
      </c>
      <c r="F225" s="10">
        <v>427.16</v>
      </c>
      <c r="G225" s="11">
        <v>427.16</v>
      </c>
      <c r="H225" s="10">
        <v>0</v>
      </c>
    </row>
    <row r="226" spans="1:8" ht="14.4" x14ac:dyDescent="0.25">
      <c r="A226" s="12">
        <v>42650</v>
      </c>
      <c r="B226" s="13" t="s">
        <v>48</v>
      </c>
      <c r="C226" s="14" t="s">
        <v>82</v>
      </c>
      <c r="D226" s="13" t="s">
        <v>122</v>
      </c>
      <c r="E226" s="13" t="s">
        <v>130</v>
      </c>
      <c r="F226" s="15">
        <v>705.15</v>
      </c>
      <c r="G226" s="16">
        <v>655.79</v>
      </c>
      <c r="H226" s="15">
        <v>49.36</v>
      </c>
    </row>
    <row r="227" spans="1:8" ht="14.4" x14ac:dyDescent="0.25">
      <c r="A227" s="7">
        <v>42651</v>
      </c>
      <c r="B227" s="8" t="s">
        <v>0</v>
      </c>
      <c r="C227" s="9" t="s">
        <v>114</v>
      </c>
      <c r="D227" s="8" t="s">
        <v>118</v>
      </c>
      <c r="E227" s="8" t="s">
        <v>129</v>
      </c>
      <c r="F227" s="10">
        <v>181.34</v>
      </c>
      <c r="G227" s="11">
        <v>194.03</v>
      </c>
      <c r="H227" s="10">
        <v>-12.69</v>
      </c>
    </row>
    <row r="228" spans="1:8" ht="14.4" x14ac:dyDescent="0.25">
      <c r="A228" s="12">
        <v>42651</v>
      </c>
      <c r="B228" s="13" t="s">
        <v>15</v>
      </c>
      <c r="C228" s="14" t="s">
        <v>60</v>
      </c>
      <c r="D228" s="13" t="s">
        <v>118</v>
      </c>
      <c r="E228" s="13" t="s">
        <v>129</v>
      </c>
      <c r="F228" s="15">
        <v>791.05</v>
      </c>
      <c r="G228" s="16">
        <v>838.51</v>
      </c>
      <c r="H228" s="15">
        <v>-47.46</v>
      </c>
    </row>
    <row r="229" spans="1:8" ht="14.4" x14ac:dyDescent="0.25">
      <c r="A229" s="7">
        <v>42654</v>
      </c>
      <c r="B229" s="8" t="s">
        <v>26</v>
      </c>
      <c r="C229" s="9" t="s">
        <v>117</v>
      </c>
      <c r="D229" s="8" t="s">
        <v>120</v>
      </c>
      <c r="E229" s="8" t="s">
        <v>128</v>
      </c>
      <c r="F229" s="10">
        <v>651.66</v>
      </c>
      <c r="G229" s="11">
        <v>684.24</v>
      </c>
      <c r="H229" s="10">
        <v>-32.58</v>
      </c>
    </row>
    <row r="230" spans="1:8" ht="14.4" x14ac:dyDescent="0.25">
      <c r="A230" s="12">
        <v>42654</v>
      </c>
      <c r="B230" s="13" t="s">
        <v>11</v>
      </c>
      <c r="C230" s="14" t="s">
        <v>91</v>
      </c>
      <c r="D230" s="13" t="s">
        <v>118</v>
      </c>
      <c r="E230" s="13" t="s">
        <v>129</v>
      </c>
      <c r="F230" s="15">
        <v>116.04</v>
      </c>
      <c r="G230" s="16">
        <v>104.44000000000001</v>
      </c>
      <c r="H230" s="15">
        <v>11.6</v>
      </c>
    </row>
    <row r="231" spans="1:8" ht="14.4" x14ac:dyDescent="0.25">
      <c r="A231" s="7">
        <v>42656</v>
      </c>
      <c r="B231" s="8" t="s">
        <v>36</v>
      </c>
      <c r="C231" s="9" t="s">
        <v>58</v>
      </c>
      <c r="D231" s="8" t="s">
        <v>121</v>
      </c>
      <c r="E231" s="8" t="s">
        <v>129</v>
      </c>
      <c r="F231" s="10">
        <v>993.94</v>
      </c>
      <c r="G231" s="11">
        <v>1043.6400000000001</v>
      </c>
      <c r="H231" s="10">
        <v>-49.7</v>
      </c>
    </row>
    <row r="232" spans="1:8" ht="14.4" x14ac:dyDescent="0.25">
      <c r="A232" s="12">
        <v>42656</v>
      </c>
      <c r="B232" s="13" t="s">
        <v>51</v>
      </c>
      <c r="C232" s="14" t="s">
        <v>86</v>
      </c>
      <c r="D232" s="13" t="s">
        <v>122</v>
      </c>
      <c r="E232" s="13" t="s">
        <v>130</v>
      </c>
      <c r="F232" s="15">
        <v>346.36</v>
      </c>
      <c r="G232" s="16">
        <v>370.61</v>
      </c>
      <c r="H232" s="15">
        <v>-24.25</v>
      </c>
    </row>
    <row r="233" spans="1:8" ht="14.4" x14ac:dyDescent="0.25">
      <c r="A233" s="7">
        <v>42657</v>
      </c>
      <c r="B233" s="8" t="s">
        <v>2</v>
      </c>
      <c r="C233" s="9" t="s">
        <v>108</v>
      </c>
      <c r="D233" s="8" t="s">
        <v>118</v>
      </c>
      <c r="E233" s="8" t="s">
        <v>128</v>
      </c>
      <c r="F233" s="10">
        <v>310.64</v>
      </c>
      <c r="G233" s="11">
        <v>307.52999999999997</v>
      </c>
      <c r="H233" s="10">
        <v>3.11</v>
      </c>
    </row>
    <row r="234" spans="1:8" ht="14.4" x14ac:dyDescent="0.25">
      <c r="A234" s="12">
        <v>42660</v>
      </c>
      <c r="B234" s="13" t="s">
        <v>8</v>
      </c>
      <c r="C234" s="14" t="s">
        <v>54</v>
      </c>
      <c r="D234" s="13" t="s">
        <v>118</v>
      </c>
      <c r="E234" s="13" t="s">
        <v>130</v>
      </c>
      <c r="F234" s="15">
        <v>159.81</v>
      </c>
      <c r="G234" s="16">
        <v>171</v>
      </c>
      <c r="H234" s="15">
        <v>-11.19</v>
      </c>
    </row>
    <row r="235" spans="1:8" ht="14.4" x14ac:dyDescent="0.25">
      <c r="A235" s="7">
        <v>42662</v>
      </c>
      <c r="B235" s="8" t="s">
        <v>19</v>
      </c>
      <c r="C235" s="9" t="s">
        <v>113</v>
      </c>
      <c r="D235" s="8" t="s">
        <v>119</v>
      </c>
      <c r="E235" s="8" t="s">
        <v>128</v>
      </c>
      <c r="F235" s="10">
        <v>687.01</v>
      </c>
      <c r="G235" s="11">
        <v>700.75</v>
      </c>
      <c r="H235" s="10">
        <v>-13.74</v>
      </c>
    </row>
    <row r="236" spans="1:8" ht="14.4" x14ac:dyDescent="0.25">
      <c r="A236" s="12">
        <v>42662</v>
      </c>
      <c r="B236" s="13" t="s">
        <v>37</v>
      </c>
      <c r="C236" s="14" t="s">
        <v>87</v>
      </c>
      <c r="D236" s="13" t="s">
        <v>121</v>
      </c>
      <c r="E236" s="13" t="s">
        <v>128</v>
      </c>
      <c r="F236" s="15">
        <v>801.25</v>
      </c>
      <c r="G236" s="16">
        <v>841.31</v>
      </c>
      <c r="H236" s="15">
        <v>-40.06</v>
      </c>
    </row>
    <row r="237" spans="1:8" ht="14.4" x14ac:dyDescent="0.25">
      <c r="A237" s="7">
        <v>42670</v>
      </c>
      <c r="B237" s="8" t="s">
        <v>31</v>
      </c>
      <c r="C237" s="9" t="s">
        <v>85</v>
      </c>
      <c r="D237" s="8" t="s">
        <v>120</v>
      </c>
      <c r="E237" s="8" t="s">
        <v>128</v>
      </c>
      <c r="F237" s="10">
        <v>665.22</v>
      </c>
      <c r="G237" s="11">
        <v>631.96</v>
      </c>
      <c r="H237" s="10">
        <v>33.26</v>
      </c>
    </row>
    <row r="238" spans="1:8" ht="14.4" x14ac:dyDescent="0.25">
      <c r="A238" s="12">
        <v>42671</v>
      </c>
      <c r="B238" s="13" t="s">
        <v>25</v>
      </c>
      <c r="C238" s="14" t="s">
        <v>94</v>
      </c>
      <c r="D238" s="13" t="s">
        <v>119</v>
      </c>
      <c r="E238" s="13" t="s">
        <v>128</v>
      </c>
      <c r="F238" s="15">
        <v>120.74</v>
      </c>
      <c r="G238" s="16">
        <v>117.11999999999999</v>
      </c>
      <c r="H238" s="15">
        <v>3.62</v>
      </c>
    </row>
    <row r="239" spans="1:8" ht="14.4" x14ac:dyDescent="0.25">
      <c r="A239" s="7">
        <v>42671</v>
      </c>
      <c r="B239" s="8" t="s">
        <v>12</v>
      </c>
      <c r="C239" s="9" t="s">
        <v>89</v>
      </c>
      <c r="D239" s="8" t="s">
        <v>118</v>
      </c>
      <c r="E239" s="8" t="s">
        <v>130</v>
      </c>
      <c r="F239" s="10">
        <v>579.24</v>
      </c>
      <c r="G239" s="11">
        <v>538.69000000000005</v>
      </c>
      <c r="H239" s="10">
        <v>40.549999999999997</v>
      </c>
    </row>
    <row r="240" spans="1:8" ht="14.4" x14ac:dyDescent="0.25">
      <c r="A240" s="12">
        <v>42681</v>
      </c>
      <c r="B240" s="13" t="s">
        <v>36</v>
      </c>
      <c r="C240" s="14" t="s">
        <v>90</v>
      </c>
      <c r="D240" s="13" t="s">
        <v>121</v>
      </c>
      <c r="E240" s="13" t="s">
        <v>129</v>
      </c>
      <c r="F240" s="15">
        <v>421.23</v>
      </c>
      <c r="G240" s="16">
        <v>417.02000000000004</v>
      </c>
      <c r="H240" s="15">
        <v>4.21</v>
      </c>
    </row>
    <row r="241" spans="1:8" ht="14.4" x14ac:dyDescent="0.25">
      <c r="A241" s="7">
        <v>42688</v>
      </c>
      <c r="B241" s="8" t="s">
        <v>48</v>
      </c>
      <c r="C241" s="9" t="s">
        <v>71</v>
      </c>
      <c r="D241" s="8" t="s">
        <v>122</v>
      </c>
      <c r="E241" s="8" t="s">
        <v>128</v>
      </c>
      <c r="F241" s="10">
        <v>119.23</v>
      </c>
      <c r="G241" s="11">
        <v>127.58</v>
      </c>
      <c r="H241" s="10">
        <v>-8.35</v>
      </c>
    </row>
    <row r="242" spans="1:8" ht="14.4" x14ac:dyDescent="0.25">
      <c r="A242" s="12">
        <v>42690</v>
      </c>
      <c r="B242" s="13" t="s">
        <v>27</v>
      </c>
      <c r="C242" s="14" t="s">
        <v>110</v>
      </c>
      <c r="D242" s="13" t="s">
        <v>120</v>
      </c>
      <c r="E242" s="13" t="s">
        <v>129</v>
      </c>
      <c r="F242" s="15">
        <v>506.78</v>
      </c>
      <c r="G242" s="16">
        <v>516.91999999999996</v>
      </c>
      <c r="H242" s="15">
        <v>-10.14</v>
      </c>
    </row>
    <row r="243" spans="1:8" ht="14.4" x14ac:dyDescent="0.25">
      <c r="A243" s="7">
        <v>42692</v>
      </c>
      <c r="B243" s="8" t="s">
        <v>6</v>
      </c>
      <c r="C243" s="9" t="s">
        <v>81</v>
      </c>
      <c r="D243" s="8" t="s">
        <v>118</v>
      </c>
      <c r="E243" s="8" t="s">
        <v>128</v>
      </c>
      <c r="F243" s="10">
        <v>695.82</v>
      </c>
      <c r="G243" s="11">
        <v>633.20000000000005</v>
      </c>
      <c r="H243" s="10">
        <v>62.62</v>
      </c>
    </row>
    <row r="244" spans="1:8" ht="14.4" x14ac:dyDescent="0.25">
      <c r="A244" s="12">
        <v>42693</v>
      </c>
      <c r="B244" s="13" t="s">
        <v>28</v>
      </c>
      <c r="C244" s="14" t="s">
        <v>103</v>
      </c>
      <c r="D244" s="13" t="s">
        <v>120</v>
      </c>
      <c r="E244" s="13" t="s">
        <v>129</v>
      </c>
      <c r="F244" s="15">
        <v>106.59</v>
      </c>
      <c r="G244" s="16">
        <v>112.99000000000001</v>
      </c>
      <c r="H244" s="15">
        <v>-6.4</v>
      </c>
    </row>
    <row r="245" spans="1:8" ht="14.4" x14ac:dyDescent="0.25">
      <c r="A245" s="7">
        <v>42694</v>
      </c>
      <c r="B245" s="8" t="s">
        <v>17</v>
      </c>
      <c r="C245" s="9" t="s">
        <v>74</v>
      </c>
      <c r="D245" s="8" t="s">
        <v>119</v>
      </c>
      <c r="E245" s="8" t="s">
        <v>129</v>
      </c>
      <c r="F245" s="10">
        <v>878.19</v>
      </c>
      <c r="G245" s="11">
        <v>816.72</v>
      </c>
      <c r="H245" s="10">
        <v>61.47</v>
      </c>
    </row>
    <row r="246" spans="1:8" ht="14.4" x14ac:dyDescent="0.25">
      <c r="A246" s="12">
        <v>42694</v>
      </c>
      <c r="B246" s="13" t="s">
        <v>3</v>
      </c>
      <c r="C246" s="14" t="s">
        <v>66</v>
      </c>
      <c r="D246" s="13" t="s">
        <v>118</v>
      </c>
      <c r="E246" s="13" t="s">
        <v>129</v>
      </c>
      <c r="F246" s="15">
        <v>649.91999999999996</v>
      </c>
      <c r="G246" s="16">
        <v>656.42</v>
      </c>
      <c r="H246" s="15">
        <v>-6.5</v>
      </c>
    </row>
    <row r="247" spans="1:8" ht="14.4" x14ac:dyDescent="0.25">
      <c r="A247" s="7">
        <v>42695</v>
      </c>
      <c r="B247" s="8" t="s">
        <v>10</v>
      </c>
      <c r="C247" s="9" t="s">
        <v>93</v>
      </c>
      <c r="D247" s="8" t="s">
        <v>118</v>
      </c>
      <c r="E247" s="8" t="s">
        <v>129</v>
      </c>
      <c r="F247" s="10">
        <v>20.98</v>
      </c>
      <c r="G247" s="11">
        <v>20.77</v>
      </c>
      <c r="H247" s="10">
        <v>0.21</v>
      </c>
    </row>
    <row r="248" spans="1:8" ht="14.4" x14ac:dyDescent="0.25">
      <c r="A248" s="12">
        <v>42696</v>
      </c>
      <c r="B248" s="13" t="s">
        <v>36</v>
      </c>
      <c r="C248" s="14" t="s">
        <v>57</v>
      </c>
      <c r="D248" s="13" t="s">
        <v>121</v>
      </c>
      <c r="E248" s="13" t="s">
        <v>129</v>
      </c>
      <c r="F248" s="15">
        <v>850.02</v>
      </c>
      <c r="G248" s="16">
        <v>901.02</v>
      </c>
      <c r="H248" s="15">
        <v>-51</v>
      </c>
    </row>
    <row r="249" spans="1:8" ht="14.4" x14ac:dyDescent="0.25">
      <c r="A249" s="7">
        <v>42702</v>
      </c>
      <c r="B249" s="8" t="s">
        <v>1</v>
      </c>
      <c r="C249" s="9" t="s">
        <v>1</v>
      </c>
      <c r="D249" s="8" t="s">
        <v>118</v>
      </c>
      <c r="E249" s="8" t="s">
        <v>129</v>
      </c>
      <c r="F249" s="10">
        <v>338.99</v>
      </c>
      <c r="G249" s="11">
        <v>345.77</v>
      </c>
      <c r="H249" s="10">
        <v>-6.78</v>
      </c>
    </row>
    <row r="250" spans="1:8" ht="14.4" x14ac:dyDescent="0.25">
      <c r="A250" s="12">
        <v>42707</v>
      </c>
      <c r="B250" s="13" t="s">
        <v>38</v>
      </c>
      <c r="C250" s="14" t="s">
        <v>116</v>
      </c>
      <c r="D250" s="13" t="s">
        <v>122</v>
      </c>
      <c r="E250" s="13" t="s">
        <v>128</v>
      </c>
      <c r="F250" s="15">
        <v>830.33</v>
      </c>
      <c r="G250" s="16">
        <v>838.63</v>
      </c>
      <c r="H250" s="15">
        <v>-8.3000000000000007</v>
      </c>
    </row>
    <row r="251" spans="1:8" ht="14.4" x14ac:dyDescent="0.25">
      <c r="A251" s="7">
        <v>42708</v>
      </c>
      <c r="B251" s="8" t="s">
        <v>18</v>
      </c>
      <c r="C251" s="9" t="s">
        <v>64</v>
      </c>
      <c r="D251" s="8" t="s">
        <v>119</v>
      </c>
      <c r="E251" s="8" t="s">
        <v>130</v>
      </c>
      <c r="F251" s="10">
        <v>403.75</v>
      </c>
      <c r="G251" s="11">
        <v>415.86</v>
      </c>
      <c r="H251" s="10">
        <v>-12.11</v>
      </c>
    </row>
    <row r="252" spans="1:8" ht="14.4" x14ac:dyDescent="0.25">
      <c r="A252" s="12">
        <v>42708</v>
      </c>
      <c r="B252" s="13" t="s">
        <v>30</v>
      </c>
      <c r="C252" s="14" t="s">
        <v>88</v>
      </c>
      <c r="D252" s="13" t="s">
        <v>120</v>
      </c>
      <c r="E252" s="13" t="s">
        <v>130</v>
      </c>
      <c r="F252" s="15">
        <v>679.3</v>
      </c>
      <c r="G252" s="16">
        <v>631.75</v>
      </c>
      <c r="H252" s="15">
        <v>47.55</v>
      </c>
    </row>
    <row r="253" spans="1:8" ht="14.4" x14ac:dyDescent="0.25">
      <c r="A253" s="7">
        <v>42708</v>
      </c>
      <c r="B253" s="8" t="s">
        <v>13</v>
      </c>
      <c r="C253" s="9" t="s">
        <v>73</v>
      </c>
      <c r="D253" s="8" t="s">
        <v>118</v>
      </c>
      <c r="E253" s="8" t="s">
        <v>130</v>
      </c>
      <c r="F253" s="10">
        <v>680.17</v>
      </c>
      <c r="G253" s="11">
        <v>612.15</v>
      </c>
      <c r="H253" s="10">
        <v>68.02</v>
      </c>
    </row>
    <row r="254" spans="1:8" ht="14.4" x14ac:dyDescent="0.25">
      <c r="A254" s="12">
        <v>42709</v>
      </c>
      <c r="B254" s="13" t="s">
        <v>29</v>
      </c>
      <c r="C254" s="14" t="s">
        <v>98</v>
      </c>
      <c r="D254" s="13" t="s">
        <v>120</v>
      </c>
      <c r="E254" s="13" t="s">
        <v>129</v>
      </c>
      <c r="F254" s="15">
        <v>184.49</v>
      </c>
      <c r="G254" s="16">
        <v>191.87</v>
      </c>
      <c r="H254" s="15">
        <v>-7.38</v>
      </c>
    </row>
    <row r="255" spans="1:8" ht="14.4" x14ac:dyDescent="0.25">
      <c r="A255" s="7">
        <v>42711</v>
      </c>
      <c r="B255" s="8" t="s">
        <v>22</v>
      </c>
      <c r="C255" s="9" t="s">
        <v>78</v>
      </c>
      <c r="D255" s="8" t="s">
        <v>119</v>
      </c>
      <c r="E255" s="8" t="s">
        <v>130</v>
      </c>
      <c r="F255" s="10">
        <v>481.62</v>
      </c>
      <c r="G255" s="11">
        <v>467.17</v>
      </c>
      <c r="H255" s="10">
        <v>14.45</v>
      </c>
    </row>
    <row r="256" spans="1:8" ht="14.4" x14ac:dyDescent="0.25">
      <c r="A256" s="12">
        <v>42711</v>
      </c>
      <c r="B256" s="13" t="s">
        <v>35</v>
      </c>
      <c r="C256" s="14" t="s">
        <v>97</v>
      </c>
      <c r="D256" s="13" t="s">
        <v>121</v>
      </c>
      <c r="E256" s="13" t="s">
        <v>130</v>
      </c>
      <c r="F256" s="15">
        <v>951.26</v>
      </c>
      <c r="G256" s="16">
        <v>856.13</v>
      </c>
      <c r="H256" s="15">
        <v>95.13</v>
      </c>
    </row>
    <row r="257" spans="1:8" ht="14.4" x14ac:dyDescent="0.25">
      <c r="A257" s="7">
        <v>42712</v>
      </c>
      <c r="B257" s="8" t="s">
        <v>21</v>
      </c>
      <c r="C257" s="9" t="s">
        <v>79</v>
      </c>
      <c r="D257" s="8" t="s">
        <v>119</v>
      </c>
      <c r="E257" s="8" t="s">
        <v>129</v>
      </c>
      <c r="F257" s="10">
        <v>535.14</v>
      </c>
      <c r="G257" s="11">
        <v>561.9</v>
      </c>
      <c r="H257" s="10">
        <v>-26.76</v>
      </c>
    </row>
    <row r="258" spans="1:8" ht="14.4" x14ac:dyDescent="0.25">
      <c r="A258" s="12">
        <v>42715</v>
      </c>
      <c r="B258" s="13" t="s">
        <v>43</v>
      </c>
      <c r="C258" s="14" t="s">
        <v>106</v>
      </c>
      <c r="D258" s="13" t="s">
        <v>122</v>
      </c>
      <c r="E258" s="13" t="s">
        <v>129</v>
      </c>
      <c r="F258" s="15">
        <v>428.02</v>
      </c>
      <c r="G258" s="16">
        <v>389.5</v>
      </c>
      <c r="H258" s="15">
        <v>38.520000000000003</v>
      </c>
    </row>
    <row r="259" spans="1:8" ht="14.4" x14ac:dyDescent="0.25">
      <c r="A259" s="7">
        <v>42715</v>
      </c>
      <c r="B259" s="8" t="s">
        <v>5</v>
      </c>
      <c r="C259" s="9" t="s">
        <v>102</v>
      </c>
      <c r="D259" s="8" t="s">
        <v>118</v>
      </c>
      <c r="E259" s="8" t="s">
        <v>128</v>
      </c>
      <c r="F259" s="10">
        <v>32.729999999999997</v>
      </c>
      <c r="G259" s="11">
        <v>33.379999999999995</v>
      </c>
      <c r="H259" s="10">
        <v>-0.65</v>
      </c>
    </row>
    <row r="260" spans="1:8" ht="14.4" x14ac:dyDescent="0.25">
      <c r="A260" s="12">
        <v>42720</v>
      </c>
      <c r="B260" s="13" t="s">
        <v>41</v>
      </c>
      <c r="C260" s="14" t="s">
        <v>68</v>
      </c>
      <c r="D260" s="13" t="s">
        <v>122</v>
      </c>
      <c r="E260" s="13" t="s">
        <v>130</v>
      </c>
      <c r="F260" s="15">
        <v>432.32</v>
      </c>
      <c r="G260" s="16">
        <v>415.03</v>
      </c>
      <c r="H260" s="15">
        <v>17.29</v>
      </c>
    </row>
    <row r="261" spans="1:8" ht="14.4" x14ac:dyDescent="0.25">
      <c r="A261" s="7">
        <v>42724</v>
      </c>
      <c r="B261" s="8" t="s">
        <v>16</v>
      </c>
      <c r="C261" s="9" t="s">
        <v>61</v>
      </c>
      <c r="D261" s="8" t="s">
        <v>118</v>
      </c>
      <c r="E261" s="8" t="s">
        <v>128</v>
      </c>
      <c r="F261" s="10">
        <v>394.28</v>
      </c>
      <c r="G261" s="11">
        <v>417.94</v>
      </c>
      <c r="H261" s="10">
        <v>-23.66</v>
      </c>
    </row>
    <row r="262" spans="1:8" ht="14.4" x14ac:dyDescent="0.25">
      <c r="A262" s="12">
        <v>42725</v>
      </c>
      <c r="B262" s="13" t="s">
        <v>6</v>
      </c>
      <c r="C262" s="14" t="s">
        <v>80</v>
      </c>
      <c r="D262" s="13" t="s">
        <v>118</v>
      </c>
      <c r="E262" s="13" t="s">
        <v>128</v>
      </c>
      <c r="F262" s="15">
        <v>333.07</v>
      </c>
      <c r="G262" s="16">
        <v>349.71999999999997</v>
      </c>
      <c r="H262" s="15">
        <v>-16.649999999999999</v>
      </c>
    </row>
    <row r="263" spans="1:8" ht="14.4" x14ac:dyDescent="0.25">
      <c r="A263" s="7">
        <v>42726</v>
      </c>
      <c r="B263" s="8" t="s">
        <v>44</v>
      </c>
      <c r="C263" s="9" t="s">
        <v>104</v>
      </c>
      <c r="D263" s="8" t="s">
        <v>122</v>
      </c>
      <c r="E263" s="8" t="s">
        <v>128</v>
      </c>
      <c r="F263" s="10">
        <v>133.26</v>
      </c>
      <c r="G263" s="11">
        <v>141.26</v>
      </c>
      <c r="H263" s="10">
        <v>-8</v>
      </c>
    </row>
    <row r="264" spans="1:8" ht="14.4" x14ac:dyDescent="0.25">
      <c r="A264" s="12">
        <v>42732</v>
      </c>
      <c r="B264" s="13" t="s">
        <v>4</v>
      </c>
      <c r="C264" s="14" t="s">
        <v>70</v>
      </c>
      <c r="D264" s="13" t="s">
        <v>118</v>
      </c>
      <c r="E264" s="13" t="s">
        <v>130</v>
      </c>
      <c r="F264" s="15">
        <v>737.57</v>
      </c>
      <c r="G264" s="16">
        <v>700.69</v>
      </c>
      <c r="H264" s="15">
        <v>36.880000000000003</v>
      </c>
    </row>
    <row r="265" spans="1:8" ht="14.4" x14ac:dyDescent="0.25">
      <c r="A265" s="18">
        <v>42732</v>
      </c>
      <c r="B265" s="3" t="s">
        <v>14</v>
      </c>
      <c r="C265" s="19" t="s">
        <v>83</v>
      </c>
      <c r="D265" s="3" t="s">
        <v>118</v>
      </c>
      <c r="E265" s="3" t="s">
        <v>128</v>
      </c>
      <c r="F265" s="20">
        <v>859.82</v>
      </c>
      <c r="G265" s="21">
        <v>920.01</v>
      </c>
      <c r="H265" s="20">
        <v>-60.19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SalespersonData</vt:lpstr>
      <vt:lpstr>SalesData1</vt:lpstr>
      <vt:lpstr>SalesData1_pivot</vt:lpstr>
      <vt:lpstr>SalesData 2</vt:lpstr>
      <vt:lpstr>SalesData2_pivot</vt:lpstr>
      <vt:lpstr>SalesData_2016</vt:lpstr>
      <vt:lpstr>closeaverage</vt:lpstr>
      <vt:lpstr>contractaverage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Young</dc:creator>
  <cp:lastModifiedBy>晴 萧</cp:lastModifiedBy>
  <dcterms:created xsi:type="dcterms:W3CDTF">2017-03-03T14:14:10Z</dcterms:created>
  <dcterms:modified xsi:type="dcterms:W3CDTF">2023-10-08T11:48:59Z</dcterms:modified>
</cp:coreProperties>
</file>