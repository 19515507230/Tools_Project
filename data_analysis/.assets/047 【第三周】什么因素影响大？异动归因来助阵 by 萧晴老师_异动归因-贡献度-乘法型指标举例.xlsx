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AWEI\Desktop\指标异动分析\"/>
    </mc:Choice>
  </mc:AlternateContent>
  <xr:revisionPtr revIDLastSave="0" documentId="13_ncr:1_{37ECDC1E-8E8A-45F3-B2DF-57F2E6A5327D}" xr6:coauthVersionLast="47" xr6:coauthVersionMax="47" xr10:uidLastSave="{00000000-0000-0000-0000-000000000000}"/>
  <bookViews>
    <workbookView xWindow="-108" yWindow="-108" windowWidth="23256" windowHeight="12456" xr2:uid="{95DE09DA-64E0-4A05-AE79-29B1A9A66A94}"/>
  </bookViews>
  <sheets>
    <sheet name="公式版" sheetId="3" r:id="rId1"/>
    <sheet name="Sheet1" sheetId="1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3" l="1"/>
  <c r="C18" i="3"/>
  <c r="F9" i="3"/>
  <c r="F12" i="3" s="1"/>
  <c r="F8" i="3"/>
  <c r="D12" i="3"/>
  <c r="E12" i="3"/>
  <c r="C12" i="3"/>
  <c r="E9" i="3"/>
  <c r="E8" i="3"/>
  <c r="D9" i="3"/>
  <c r="D8" i="3"/>
  <c r="C9" i="3"/>
  <c r="C8" i="3"/>
  <c r="E15" i="1"/>
  <c r="D15" i="1"/>
  <c r="C15" i="1"/>
  <c r="E15" i="3" l="1"/>
  <c r="D15" i="3"/>
</calcChain>
</file>

<file path=xl/sharedStrings.xml><?xml version="1.0" encoding="utf-8"?>
<sst xmlns="http://schemas.openxmlformats.org/spreadsheetml/2006/main" count="50" uniqueCount="23">
  <si>
    <t>周期</t>
    <phoneticPr fontId="2" type="noConversion"/>
  </si>
  <si>
    <t>基期</t>
    <phoneticPr fontId="2" type="noConversion"/>
  </si>
  <si>
    <t>现期</t>
    <phoneticPr fontId="2" type="noConversion"/>
  </si>
  <si>
    <t>取对数</t>
    <phoneticPr fontId="2" type="noConversion"/>
  </si>
  <si>
    <t>绝对DIFF</t>
    <phoneticPr fontId="2" type="noConversion"/>
  </si>
  <si>
    <t>贡献度</t>
    <phoneticPr fontId="2" type="noConversion"/>
  </si>
  <si>
    <t>贡献度求和</t>
    <phoneticPr fontId="2" type="noConversion"/>
  </si>
  <si>
    <t>DAU</t>
    <phoneticPr fontId="2" type="noConversion"/>
  </si>
  <si>
    <t>log(DAU)</t>
    <phoneticPr fontId="2" type="noConversion"/>
  </si>
  <si>
    <t>DAU变动=4.08-4.00</t>
    <phoneticPr fontId="2" type="noConversion"/>
  </si>
  <si>
    <t>付费转化率</t>
    <phoneticPr fontId="2" type="noConversion"/>
  </si>
  <si>
    <t>人均付费</t>
    <phoneticPr fontId="2" type="noConversion"/>
  </si>
  <si>
    <t>GMV</t>
    <phoneticPr fontId="2" type="noConversion"/>
  </si>
  <si>
    <t>log(付费转化率)</t>
    <phoneticPr fontId="2" type="noConversion"/>
  </si>
  <si>
    <t>log(人均付费）</t>
    <phoneticPr fontId="2" type="noConversion"/>
  </si>
  <si>
    <t>log(GMV)</t>
    <phoneticPr fontId="2" type="noConversion"/>
  </si>
  <si>
    <t>人均付费变动=1.54-1.48</t>
    <phoneticPr fontId="2" type="noConversion"/>
  </si>
  <si>
    <t>GMV变动=5.15-5.09</t>
    <phoneticPr fontId="2" type="noConversion"/>
  </si>
  <si>
    <t xml:space="preserve">DAU变动/GMV变动 </t>
    <phoneticPr fontId="2" type="noConversion"/>
  </si>
  <si>
    <t>付费转化率变动/GMV变动</t>
    <phoneticPr fontId="2" type="noConversion"/>
  </si>
  <si>
    <t xml:space="preserve">人均付费变动/GMV变动 </t>
    <phoneticPr fontId="2" type="noConversion"/>
  </si>
  <si>
    <t>DAU贡献度+付费转化率贡献度+人均付费贡献度</t>
    <phoneticPr fontId="2" type="noConversion"/>
  </si>
  <si>
    <t>付费转化率变动=-0.47+0.39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</si>
</sst>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99" formatCode="0.000_ "/>
  </numFmts>
  <fonts count="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9" fontId="0" fillId="5" borderId="0" xfId="1" applyFont="1" applyFill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99" fontId="0" fillId="4" borderId="0" xfId="0" applyNumberFormat="1" applyFill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50840-A05B-4067-A8C1-52018C198D64}">
  <dimension ref="B3:F18"/>
  <sheetViews>
    <sheetView showGridLines="0" tabSelected="1" workbookViewId="0">
      <selection activeCell="D23" sqref="D23"/>
    </sheetView>
  </sheetViews>
  <sheetFormatPr defaultRowHeight="13.8" x14ac:dyDescent="0.25"/>
  <cols>
    <col min="2" max="2" width="14.6640625" customWidth="1"/>
    <col min="3" max="3" width="18.77734375" customWidth="1"/>
    <col min="4" max="4" width="25.88671875" customWidth="1"/>
    <col min="5" max="5" width="22.21875" customWidth="1"/>
    <col min="6" max="6" width="18.44140625" customWidth="1"/>
  </cols>
  <sheetData>
    <row r="3" spans="2:6" x14ac:dyDescent="0.25">
      <c r="B3" s="1" t="s">
        <v>0</v>
      </c>
      <c r="C3" s="5" t="s">
        <v>7</v>
      </c>
      <c r="D3" s="5" t="s">
        <v>10</v>
      </c>
      <c r="E3" s="5" t="s">
        <v>11</v>
      </c>
      <c r="F3" s="5" t="s">
        <v>12</v>
      </c>
    </row>
    <row r="4" spans="2:6" x14ac:dyDescent="0.25">
      <c r="B4" t="s">
        <v>1</v>
      </c>
      <c r="C4" s="6">
        <v>10000</v>
      </c>
      <c r="D4" s="7">
        <v>0.41</v>
      </c>
      <c r="E4" s="6">
        <v>30</v>
      </c>
      <c r="F4" s="6">
        <v>123000</v>
      </c>
    </row>
    <row r="5" spans="2:6" x14ac:dyDescent="0.25">
      <c r="B5" t="s">
        <v>2</v>
      </c>
      <c r="C5" s="6">
        <v>12000</v>
      </c>
      <c r="D5" s="7">
        <v>0.34</v>
      </c>
      <c r="E5" s="6">
        <v>35</v>
      </c>
      <c r="F5" s="6">
        <v>142800</v>
      </c>
    </row>
    <row r="6" spans="2:6" x14ac:dyDescent="0.25">
      <c r="C6" s="6"/>
      <c r="D6" s="6"/>
      <c r="E6" s="6"/>
      <c r="F6" s="6"/>
    </row>
    <row r="7" spans="2:6" x14ac:dyDescent="0.25">
      <c r="B7" s="2" t="s">
        <v>3</v>
      </c>
      <c r="C7" s="8" t="s">
        <v>8</v>
      </c>
      <c r="D7" s="8" t="s">
        <v>13</v>
      </c>
      <c r="E7" s="8" t="s">
        <v>14</v>
      </c>
      <c r="F7" s="8" t="s">
        <v>15</v>
      </c>
    </row>
    <row r="8" spans="2:6" x14ac:dyDescent="0.25">
      <c r="B8" t="s">
        <v>1</v>
      </c>
      <c r="C8" s="13">
        <f>LOG(C4)</f>
        <v>4</v>
      </c>
      <c r="D8" s="13">
        <f>LOG(D4)</f>
        <v>-0.38721614328026455</v>
      </c>
      <c r="E8" s="13">
        <f>LOG(E4)</f>
        <v>1.4771212547196624</v>
      </c>
      <c r="F8" s="13">
        <f>LOG(F4)</f>
        <v>5.0899051114393981</v>
      </c>
    </row>
    <row r="9" spans="2:6" x14ac:dyDescent="0.25">
      <c r="B9" t="s">
        <v>2</v>
      </c>
      <c r="C9" s="13">
        <f>LOG(C5)</f>
        <v>4.0791812460476251</v>
      </c>
      <c r="D9" s="13">
        <f>LOG(D5)</f>
        <v>-0.46852108295774486</v>
      </c>
      <c r="E9" s="13">
        <f>LOG(E5)</f>
        <v>1.5440680443502757</v>
      </c>
      <c r="F9" s="13">
        <f>LOG(F5)</f>
        <v>5.1547282074401553</v>
      </c>
    </row>
    <row r="10" spans="2:6" x14ac:dyDescent="0.25">
      <c r="C10" s="6"/>
      <c r="D10" s="6"/>
      <c r="E10" s="6"/>
      <c r="F10" s="6"/>
    </row>
    <row r="11" spans="2:6" x14ac:dyDescent="0.25">
      <c r="B11" s="3" t="s">
        <v>4</v>
      </c>
      <c r="C11" s="9" t="s">
        <v>9</v>
      </c>
      <c r="D11" s="9" t="s">
        <v>22</v>
      </c>
      <c r="E11" s="9" t="s">
        <v>16</v>
      </c>
      <c r="F11" s="9" t="s">
        <v>17</v>
      </c>
    </row>
    <row r="12" spans="2:6" x14ac:dyDescent="0.25">
      <c r="B12" s="3"/>
      <c r="C12" s="14">
        <f>C9-C8</f>
        <v>7.9181246047625109E-2</v>
      </c>
      <c r="D12" s="14">
        <f t="shared" ref="D12:F12" si="0">D9-D8</f>
        <v>-8.1304939677480315E-2</v>
      </c>
      <c r="E12" s="14">
        <f t="shared" si="0"/>
        <v>6.694678963061329E-2</v>
      </c>
      <c r="F12" s="14">
        <f t="shared" si="0"/>
        <v>6.4823096000757197E-2</v>
      </c>
    </row>
    <row r="14" spans="2:6" x14ac:dyDescent="0.25">
      <c r="B14" s="4" t="s">
        <v>5</v>
      </c>
      <c r="C14" s="10" t="s">
        <v>18</v>
      </c>
      <c r="D14" s="10" t="s">
        <v>19</v>
      </c>
      <c r="E14" s="10" t="s">
        <v>20</v>
      </c>
    </row>
    <row r="15" spans="2:6" x14ac:dyDescent="0.25">
      <c r="B15" s="4"/>
      <c r="C15" s="11">
        <f>C12/$F$12</f>
        <v>1.2214974435454331</v>
      </c>
      <c r="D15" s="11">
        <f>D12/$F$12</f>
        <v>-1.2542588165880042</v>
      </c>
      <c r="E15" s="11">
        <f>E12/$F$12</f>
        <v>1.0327613730425849</v>
      </c>
    </row>
    <row r="17" spans="2:4" x14ac:dyDescent="0.25">
      <c r="B17" t="s">
        <v>6</v>
      </c>
      <c r="C17" t="s">
        <v>21</v>
      </c>
    </row>
    <row r="18" spans="2:4" x14ac:dyDescent="0.25">
      <c r="C18" s="12">
        <f>C15+D15+E15</f>
        <v>1.0000000000000138</v>
      </c>
      <c r="D18" s="12"/>
    </row>
  </sheetData>
  <mergeCells count="1">
    <mergeCell ref="C18:D18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0DAA1-A3AA-4DA1-906E-5DCA329DED4A}">
  <dimension ref="B3:F18"/>
  <sheetViews>
    <sheetView showGridLines="0" workbookViewId="0">
      <selection activeCell="F6" sqref="F6"/>
    </sheetView>
  </sheetViews>
  <sheetFormatPr defaultRowHeight="13.8" x14ac:dyDescent="0.25"/>
  <cols>
    <col min="2" max="2" width="14.6640625" customWidth="1"/>
    <col min="3" max="3" width="18.77734375" customWidth="1"/>
    <col min="4" max="4" width="25.88671875" customWidth="1"/>
    <col min="5" max="5" width="22.21875" customWidth="1"/>
    <col min="6" max="6" width="18.44140625" customWidth="1"/>
  </cols>
  <sheetData>
    <row r="3" spans="2:6" x14ac:dyDescent="0.25">
      <c r="B3" s="1" t="s">
        <v>0</v>
      </c>
      <c r="C3" s="5" t="s">
        <v>7</v>
      </c>
      <c r="D3" s="5" t="s">
        <v>10</v>
      </c>
      <c r="E3" s="5" t="s">
        <v>11</v>
      </c>
      <c r="F3" s="5" t="s">
        <v>12</v>
      </c>
    </row>
    <row r="4" spans="2:6" x14ac:dyDescent="0.25">
      <c r="B4" t="s">
        <v>1</v>
      </c>
      <c r="C4" s="6">
        <v>10000</v>
      </c>
      <c r="D4" s="7">
        <v>0.41</v>
      </c>
      <c r="E4" s="6">
        <v>30</v>
      </c>
      <c r="F4" s="6">
        <v>123000</v>
      </c>
    </row>
    <row r="5" spans="2:6" x14ac:dyDescent="0.25">
      <c r="B5" t="s">
        <v>2</v>
      </c>
      <c r="C5" s="6">
        <v>12000</v>
      </c>
      <c r="D5" s="7">
        <v>0.34</v>
      </c>
      <c r="E5" s="6">
        <v>35</v>
      </c>
      <c r="F5" s="6">
        <v>142800</v>
      </c>
    </row>
    <row r="6" spans="2:6" x14ac:dyDescent="0.25">
      <c r="C6" s="6"/>
      <c r="D6" s="6"/>
      <c r="E6" s="6"/>
      <c r="F6" s="6"/>
    </row>
    <row r="7" spans="2:6" x14ac:dyDescent="0.25">
      <c r="B7" s="2" t="s">
        <v>3</v>
      </c>
      <c r="C7" s="8" t="s">
        <v>8</v>
      </c>
      <c r="D7" s="8" t="s">
        <v>13</v>
      </c>
      <c r="E7" s="8" t="s">
        <v>14</v>
      </c>
      <c r="F7" s="8" t="s">
        <v>15</v>
      </c>
    </row>
    <row r="8" spans="2:6" x14ac:dyDescent="0.25">
      <c r="B8" t="s">
        <v>1</v>
      </c>
      <c r="C8" s="6">
        <v>4</v>
      </c>
      <c r="D8" s="6">
        <v>-0.39</v>
      </c>
      <c r="E8" s="6">
        <v>1.48</v>
      </c>
      <c r="F8" s="6">
        <v>5.09</v>
      </c>
    </row>
    <row r="9" spans="2:6" x14ac:dyDescent="0.25">
      <c r="B9" t="s">
        <v>2</v>
      </c>
      <c r="C9" s="6">
        <v>4.08</v>
      </c>
      <c r="D9" s="6">
        <v>-0.47</v>
      </c>
      <c r="E9" s="6">
        <v>1.54</v>
      </c>
      <c r="F9" s="6">
        <v>5.15</v>
      </c>
    </row>
    <row r="10" spans="2:6" x14ac:dyDescent="0.25">
      <c r="C10" s="6"/>
      <c r="D10" s="6"/>
      <c r="E10" s="6"/>
      <c r="F10" s="6"/>
    </row>
    <row r="11" spans="2:6" x14ac:dyDescent="0.25">
      <c r="B11" s="3" t="s">
        <v>4</v>
      </c>
      <c r="C11" s="9" t="s">
        <v>9</v>
      </c>
      <c r="D11" s="9" t="s">
        <v>22</v>
      </c>
      <c r="E11" s="9" t="s">
        <v>16</v>
      </c>
      <c r="F11" s="9" t="s">
        <v>17</v>
      </c>
    </row>
    <row r="12" spans="2:6" x14ac:dyDescent="0.25">
      <c r="B12" s="3"/>
      <c r="C12" s="9">
        <v>7.9000000000000001E-2</v>
      </c>
      <c r="D12" s="9">
        <v>-8.1000000000000003E-2</v>
      </c>
      <c r="E12" s="9">
        <v>6.7000000000000004E-2</v>
      </c>
      <c r="F12" s="9">
        <v>6.5000000000000002E-2</v>
      </c>
    </row>
    <row r="14" spans="2:6" x14ac:dyDescent="0.25">
      <c r="B14" s="4" t="s">
        <v>5</v>
      </c>
      <c r="C14" s="10" t="s">
        <v>18</v>
      </c>
      <c r="D14" s="10" t="s">
        <v>19</v>
      </c>
      <c r="E14" s="10" t="s">
        <v>20</v>
      </c>
    </row>
    <row r="15" spans="2:6" x14ac:dyDescent="0.25">
      <c r="B15" s="4"/>
      <c r="C15" s="11">
        <f>C12/$F$12</f>
        <v>1.2153846153846153</v>
      </c>
      <c r="D15" s="11">
        <f>D12/$F$12</f>
        <v>-1.2461538461538462</v>
      </c>
      <c r="E15" s="11">
        <f>E12/$F$12</f>
        <v>1.0307692307692309</v>
      </c>
    </row>
    <row r="17" spans="2:4" x14ac:dyDescent="0.25">
      <c r="B17" t="s">
        <v>6</v>
      </c>
      <c r="C17" t="s">
        <v>21</v>
      </c>
    </row>
    <row r="18" spans="2:4" x14ac:dyDescent="0.25">
      <c r="C18" s="12">
        <v>1</v>
      </c>
      <c r="D18" s="12"/>
    </row>
  </sheetData>
  <mergeCells count="1">
    <mergeCell ref="C18:D1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公式版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HUAWEI</cp:lastModifiedBy>
  <dcterms:created xsi:type="dcterms:W3CDTF">2024-04-21T14:42:33Z</dcterms:created>
  <dcterms:modified xsi:type="dcterms:W3CDTF">2024-04-22T12:42:13Z</dcterms:modified>
</cp:coreProperties>
</file>