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宝哥\excel课件准备\"/>
    </mc:Choice>
  </mc:AlternateContent>
  <xr:revisionPtr revIDLastSave="0" documentId="13_ncr:1_{AF06422D-C640-4BD0-A94B-44FC931BFF0D}" xr6:coauthVersionLast="47" xr6:coauthVersionMax="47" xr10:uidLastSave="{00000000-0000-0000-0000-000000000000}"/>
  <bookViews>
    <workbookView xWindow="2652" yWindow="2652" windowWidth="17280" windowHeight="8880" xr2:uid="{D5E41BFB-EBD3-40DA-AE77-BF817D78520B}"/>
  </bookViews>
  <sheets>
    <sheet name="地址引用" sheetId="1" r:id="rId1"/>
    <sheet name="SUBTOTAL" sheetId="2" r:id="rId2"/>
    <sheet name="查找与引用函数" sheetId="6" r:id="rId3"/>
    <sheet name="数据描述与周末与否" sheetId="7" r:id="rId4"/>
    <sheet name="文本函数" sheetId="4" r:id="rId5"/>
    <sheet name="逻辑函数" sheetId="5" r:id="rId6"/>
    <sheet name="图表的设计与美化" sheetId="8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B4" i="1"/>
  <c r="B5" i="1"/>
  <c r="B6" i="1"/>
  <c r="B7" i="1"/>
  <c r="B8" i="1"/>
  <c r="B9" i="1"/>
  <c r="B56" i="8"/>
  <c r="B37" i="8"/>
  <c r="B38" i="8"/>
  <c r="B13" i="7"/>
  <c r="B14" i="7" s="1"/>
  <c r="B15" i="7"/>
  <c r="G2" i="4"/>
  <c r="F2" i="4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H2" i="5"/>
  <c r="G2" i="5"/>
  <c r="C21" i="7"/>
  <c r="C16" i="7"/>
  <c r="C12" i="2"/>
  <c r="D9" i="6"/>
  <c r="D8" i="6"/>
  <c r="D7" i="6"/>
  <c r="D11" i="6"/>
  <c r="D10" i="6"/>
  <c r="D3" i="1"/>
  <c r="C4" i="1"/>
  <c r="C5" i="1"/>
  <c r="C6" i="1"/>
  <c r="C7" i="1"/>
  <c r="C8" i="1"/>
  <c r="C9" i="1"/>
  <c r="F2" i="5"/>
  <c r="E2" i="5"/>
  <c r="K77" i="8"/>
  <c r="D59" i="8"/>
  <c r="B59" i="8"/>
  <c r="D58" i="8"/>
  <c r="B58" i="8"/>
  <c r="D57" i="8"/>
  <c r="B57" i="8"/>
  <c r="D56" i="8"/>
  <c r="C39" i="8"/>
  <c r="B39" i="8"/>
  <c r="B28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A29" i="5"/>
  <c r="A30" i="5" s="1"/>
  <c r="A31" i="5" s="1"/>
  <c r="A32" i="5" s="1"/>
  <c r="A33" i="5" s="1"/>
  <c r="A34" i="5" s="1"/>
  <c r="A23" i="5"/>
  <c r="A24" i="5" s="1"/>
  <c r="A25" i="5" s="1"/>
  <c r="A26" i="5" s="1"/>
  <c r="A27" i="5" s="1"/>
  <c r="A18" i="5"/>
  <c r="A19" i="5" s="1"/>
  <c r="A20" i="5" s="1"/>
  <c r="A21" i="5" s="1"/>
  <c r="A16" i="5"/>
  <c r="A12" i="5"/>
  <c r="A13" i="5" s="1"/>
  <c r="A14" i="5" s="1"/>
  <c r="A3" i="5"/>
  <c r="A4" i="5" s="1"/>
  <c r="A5" i="5" s="1"/>
  <c r="A6" i="5" s="1"/>
  <c r="A7" i="5" s="1"/>
  <c r="A8" i="5" s="1"/>
  <c r="A9" i="5" s="1"/>
  <c r="A10" i="5" s="1"/>
  <c r="C18" i="7"/>
  <c r="F13" i="7"/>
  <c r="F14" i="7" s="1"/>
  <c r="E13" i="7"/>
  <c r="E14" i="7" s="1"/>
  <c r="D13" i="7"/>
  <c r="D14" i="7" s="1"/>
  <c r="C13" i="7"/>
  <c r="C14" i="7" s="1"/>
  <c r="C20" i="7"/>
  <c r="C19" i="7"/>
  <c r="C17" i="7"/>
  <c r="M14" i="7"/>
  <c r="M13" i="7"/>
  <c r="L13" i="7"/>
  <c r="L14" i="7" s="1"/>
  <c r="K13" i="7"/>
  <c r="K14" i="7" s="1"/>
  <c r="J13" i="7"/>
  <c r="J14" i="7" s="1"/>
  <c r="I13" i="7"/>
  <c r="I14" i="7" s="1"/>
  <c r="H13" i="7"/>
  <c r="H14" i="7" s="1"/>
  <c r="G13" i="7"/>
  <c r="G14" i="7" s="1"/>
  <c r="C14" i="2"/>
  <c r="C13" i="2"/>
  <c r="C3" i="1"/>
  <c r="B3" i="1"/>
</calcChain>
</file>

<file path=xl/sharedStrings.xml><?xml version="1.0" encoding="utf-8"?>
<sst xmlns="http://schemas.openxmlformats.org/spreadsheetml/2006/main" count="19427" uniqueCount="13279">
  <si>
    <t>数据列</t>
    <phoneticPr fontId="1" type="noConversion"/>
  </si>
  <si>
    <t>相对引用</t>
    <phoneticPr fontId="1" type="noConversion"/>
  </si>
  <si>
    <t>混合引用</t>
    <phoneticPr fontId="1" type="noConversion"/>
  </si>
  <si>
    <t>绝对引用</t>
    <phoneticPr fontId="1" type="noConversion"/>
  </si>
  <si>
    <t>=SUM($A$3:A9）</t>
    <phoneticPr fontId="1" type="noConversion"/>
  </si>
  <si>
    <t>=SUM($A$3:$A$9）</t>
    <phoneticPr fontId="1" type="noConversion"/>
  </si>
  <si>
    <t>序号</t>
    <phoneticPr fontId="1" type="noConversion"/>
  </si>
  <si>
    <t>产品</t>
    <phoneticPr fontId="1" type="noConversion"/>
  </si>
  <si>
    <t>主机</t>
    <phoneticPr fontId="1" type="noConversion"/>
  </si>
  <si>
    <t>显示器</t>
    <phoneticPr fontId="1" type="noConversion"/>
  </si>
  <si>
    <t>笔记本</t>
    <phoneticPr fontId="1" type="noConversion"/>
  </si>
  <si>
    <t>鼠标</t>
    <phoneticPr fontId="1" type="noConversion"/>
  </si>
  <si>
    <t>键盘</t>
    <phoneticPr fontId="1" type="noConversion"/>
  </si>
  <si>
    <t>音响</t>
    <phoneticPr fontId="1" type="noConversion"/>
  </si>
  <si>
    <t>耳机</t>
    <phoneticPr fontId="1" type="noConversion"/>
  </si>
  <si>
    <t>鼠标垫</t>
    <phoneticPr fontId="1" type="noConversion"/>
  </si>
  <si>
    <t>网线</t>
    <phoneticPr fontId="1" type="noConversion"/>
  </si>
  <si>
    <t>防窥膜</t>
    <phoneticPr fontId="1" type="noConversion"/>
  </si>
  <si>
    <t>销量</t>
    <phoneticPr fontId="1" type="noConversion"/>
  </si>
  <si>
    <t>sum函数</t>
    <phoneticPr fontId="1" type="noConversion"/>
  </si>
  <si>
    <t>代码9</t>
    <phoneticPr fontId="1" type="noConversion"/>
  </si>
  <si>
    <t>代码109</t>
    <phoneticPr fontId="1" type="noConversion"/>
  </si>
  <si>
    <t>SUM(C2:C11)</t>
    <phoneticPr fontId="1" type="noConversion"/>
  </si>
  <si>
    <t>SUBTOTAL(9,C2:C11)</t>
    <phoneticPr fontId="1" type="noConversion"/>
  </si>
  <si>
    <t>SUBTOTAL(109,C2:C11)</t>
    <phoneticPr fontId="1" type="noConversion"/>
  </si>
  <si>
    <t>函数</t>
    <phoneticPr fontId="1" type="noConversion"/>
  </si>
  <si>
    <t>VLOOKUP</t>
    <phoneticPr fontId="1" type="noConversion"/>
  </si>
  <si>
    <t>HLOOKUP</t>
    <phoneticPr fontId="1" type="noConversion"/>
  </si>
  <si>
    <t>MATCH</t>
    <phoneticPr fontId="1" type="noConversion"/>
  </si>
  <si>
    <t>INDEX</t>
    <phoneticPr fontId="1" type="noConversion"/>
  </si>
  <si>
    <t>列1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</si>
  <si>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</si>
  <si>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</si>
  <si>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</si>
  <si>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</si>
  <si>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</si>
  <si>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</si>
  <si>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</si>
  <si>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</si>
  <si>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</si>
  <si>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</si>
  <si>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</si>
  <si>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</si>
  <si>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</si>
  <si>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</si>
  <si>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</si>
  <si>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</si>
  <si>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</si>
  <si>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</si>
  <si>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</si>
  <si>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</si>
  <si>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</si>
  <si>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</si>
  <si>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</si>
  <si>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</si>
  <si>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</si>
  <si>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</si>
  <si>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</si>
  <si>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</si>
  <si>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</si>
  <si>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</si>
  <si>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</si>
  <si>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</si>
  <si>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</si>
  <si>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</si>
  <si>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</si>
  <si>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</si>
  <si>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</si>
  <si>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</si>
  <si>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</si>
  <si>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</si>
  <si>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机票总量</t>
  </si>
  <si>
    <t>国际机票</t>
  </si>
  <si>
    <t>国际机票产品</t>
  </si>
  <si>
    <t>国内机票产品</t>
  </si>
  <si>
    <t>机票DID</t>
  </si>
  <si>
    <t>机票DID紧急</t>
  </si>
  <si>
    <t>机票vip</t>
  </si>
  <si>
    <t>机票操作</t>
  </si>
  <si>
    <t>机票紧急</t>
  </si>
  <si>
    <t>机票特攻</t>
  </si>
  <si>
    <t>机票咨询</t>
  </si>
  <si>
    <t>均值</t>
    <phoneticPr fontId="4" type="noConversion"/>
  </si>
  <si>
    <t>中位数</t>
    <phoneticPr fontId="4" type="noConversion"/>
  </si>
  <si>
    <t>众数</t>
    <phoneticPr fontId="4" type="noConversion"/>
  </si>
  <si>
    <t>方差</t>
    <phoneticPr fontId="4" type="noConversion"/>
  </si>
  <si>
    <t>标准差</t>
    <phoneticPr fontId="4" type="noConversion"/>
  </si>
  <si>
    <t>总量和国内的相关系数</t>
    <phoneticPr fontId="4" type="noConversion"/>
  </si>
  <si>
    <t>星期几</t>
    <phoneticPr fontId="1" type="noConversion"/>
  </si>
  <si>
    <t>v_date</t>
  </si>
  <si>
    <t>issue_no</t>
  </si>
  <si>
    <t>order_no</t>
  </si>
  <si>
    <t>restart_time</t>
  </si>
  <si>
    <t>problem_config_no_3</t>
  </si>
  <si>
    <t>NP20160118084430200768</t>
  </si>
  <si>
    <t>jcz160113161705918</t>
  </si>
  <si>
    <t>p_3_082</t>
  </si>
  <si>
    <t>NC20160204020400531213</t>
  </si>
  <si>
    <t>ibi160204005355629</t>
  </si>
  <si>
    <t>p_3_111</t>
  </si>
  <si>
    <t>NP20160229174837179726</t>
  </si>
  <si>
    <t>ftc150812142614461e8023</t>
  </si>
  <si>
    <t>ip_3_038</t>
  </si>
  <si>
    <t>NP20160308214625845129</t>
  </si>
  <si>
    <t>hna160308202157497</t>
  </si>
  <si>
    <t>p_3_017</t>
  </si>
  <si>
    <t>NP20160309114239191309</t>
  </si>
  <si>
    <t>hmk160309112655531</t>
  </si>
  <si>
    <t>p_3_026</t>
  </si>
  <si>
    <t>NP20160310200848274919</t>
  </si>
  <si>
    <t>GD2016031020085129</t>
  </si>
  <si>
    <t>sp_3_009</t>
  </si>
  <si>
    <t>NC20160313092413065756</t>
  </si>
  <si>
    <t>yxu160313014803016e9a8a</t>
  </si>
  <si>
    <t>ip_3_064</t>
  </si>
  <si>
    <t>NP20160313111326889531</t>
  </si>
  <si>
    <t>cxf151021153340986</t>
  </si>
  <si>
    <t>p_3_057</t>
  </si>
  <si>
    <t>NP20160313220522830033</t>
  </si>
  <si>
    <t>wxl160313105323370</t>
  </si>
  <si>
    <t>NC20160822133832231883</t>
  </si>
  <si>
    <t>330897473791</t>
  </si>
  <si>
    <t>bp_3_001</t>
  </si>
  <si>
    <t>NP20170207161053733380</t>
  </si>
  <si>
    <t>331056887442</t>
  </si>
  <si>
    <t>bp_3_046</t>
  </si>
  <si>
    <t>NG20170209114507372642</t>
  </si>
  <si>
    <t>331041927589</t>
  </si>
  <si>
    <t>NP20150528014739554376</t>
  </si>
  <si>
    <t>asd150527170450184</t>
  </si>
  <si>
    <t>p_3_119</t>
  </si>
  <si>
    <t>NP20150605124554939086</t>
  </si>
  <si>
    <t>flc1503172216564566d370</t>
  </si>
  <si>
    <t>ip_3_005</t>
  </si>
  <si>
    <t>NP20150605124637197612</t>
  </si>
  <si>
    <t>hbh150317215047507782fb</t>
  </si>
  <si>
    <t>NP20150629112019859575</t>
  </si>
  <si>
    <t>zlo150629110630228</t>
  </si>
  <si>
    <t>p_3_010</t>
  </si>
  <si>
    <t>NC20150714083236214298</t>
  </si>
  <si>
    <t>asd150714082342124</t>
  </si>
  <si>
    <t>NC20150903204946288007</t>
  </si>
  <si>
    <t>yzl150903200001865</t>
  </si>
  <si>
    <t>p_3_020</t>
  </si>
  <si>
    <t>NP20150924123027322606</t>
  </si>
  <si>
    <t>dai150505151314348c960e</t>
  </si>
  <si>
    <t>ip_3_060</t>
  </si>
  <si>
    <t>NP20150925140333696553</t>
  </si>
  <si>
    <t>ttv1503131245443977e473</t>
  </si>
  <si>
    <t>ip_3_050</t>
  </si>
  <si>
    <t>NP20151017191832349774</t>
  </si>
  <si>
    <t>byx150917184659925</t>
  </si>
  <si>
    <t>p_3_001</t>
  </si>
  <si>
    <t>NP20151027084429271519</t>
  </si>
  <si>
    <t>ysh151025130209485</t>
  </si>
  <si>
    <t>p_3_025</t>
  </si>
  <si>
    <t>NP20151028204004704759</t>
  </si>
  <si>
    <t>xhp151027205012798</t>
  </si>
  <si>
    <t>NP20151029144707675479</t>
  </si>
  <si>
    <t>lgj151029112104230eb931</t>
  </si>
  <si>
    <t>ip_3_090</t>
  </si>
  <si>
    <t>NP20151029145311272774</t>
  </si>
  <si>
    <t>lgj151029113402507e590b</t>
  </si>
  <si>
    <t>NP20151029151558642708</t>
  </si>
  <si>
    <t>lgj151029112538400e98a6</t>
  </si>
  <si>
    <t>ip_3_001</t>
  </si>
  <si>
    <t>NP20151108132728509739</t>
  </si>
  <si>
    <t>0041215640</t>
  </si>
  <si>
    <t>fp_3_003</t>
  </si>
  <si>
    <t>NP20151119144046648280</t>
  </si>
  <si>
    <t>pyi151030145746933e3095</t>
  </si>
  <si>
    <t>ip_3_006</t>
  </si>
  <si>
    <t>NP20151206121837076963</t>
  </si>
  <si>
    <t>qni151204164718444e79f5</t>
  </si>
  <si>
    <t>NP20151206122243935993</t>
  </si>
  <si>
    <t>qni151204165324331e7a02</t>
  </si>
  <si>
    <t>NP20151209174238856962</t>
  </si>
  <si>
    <t>xyx151205021813054</t>
  </si>
  <si>
    <t>p_3_005</t>
  </si>
  <si>
    <t>NP20151213095306721529</t>
  </si>
  <si>
    <t>qni151208134617372eb965</t>
  </si>
  <si>
    <t>NP20151214111730334098</t>
  </si>
  <si>
    <t>qni151213235946879e7315</t>
  </si>
  <si>
    <t>NT20151216060002414845</t>
  </si>
  <si>
    <t>mmc151215125706845</t>
  </si>
  <si>
    <t>p_3_040</t>
  </si>
  <si>
    <t>NP20151216165922213118</t>
  </si>
  <si>
    <t>jgy151020153955975e3903</t>
  </si>
  <si>
    <t>NP20151217143002605376</t>
  </si>
  <si>
    <t>mmc151217112507062</t>
  </si>
  <si>
    <t>p_3_033</t>
  </si>
  <si>
    <t>NP20151218163717877266</t>
  </si>
  <si>
    <t>wyj151208125209496</t>
  </si>
  <si>
    <t>p_3_081</t>
  </si>
  <si>
    <t>NP20151225172928914158</t>
  </si>
  <si>
    <t>xqg151216143643912</t>
  </si>
  <si>
    <t>NP20151227123402610006</t>
  </si>
  <si>
    <t>330659957820</t>
  </si>
  <si>
    <t>ap_3_072</t>
  </si>
  <si>
    <t>NP20151228135715094074</t>
  </si>
  <si>
    <t>tpw151123114209721</t>
  </si>
  <si>
    <t>NP20151230211546360374</t>
  </si>
  <si>
    <t>0043765696</t>
  </si>
  <si>
    <t>fp_3_005</t>
  </si>
  <si>
    <t>NP20151231153815156339</t>
  </si>
  <si>
    <t>330660654298</t>
  </si>
  <si>
    <t>ap_3_008</t>
  </si>
  <si>
    <t>NP20151231155236042416</t>
  </si>
  <si>
    <t>czl151229215756587</t>
  </si>
  <si>
    <t>p_3_051</t>
  </si>
  <si>
    <t>NP20151231174631123737</t>
  </si>
  <si>
    <t>330665398287</t>
  </si>
  <si>
    <t>bp_3_023</t>
  </si>
  <si>
    <t>NP20160101164545894164</t>
  </si>
  <si>
    <t>feu160101161120274</t>
  </si>
  <si>
    <t>p_3_061</t>
  </si>
  <si>
    <t>NT20160101201001180498</t>
  </si>
  <si>
    <t>ler160101195446957</t>
  </si>
  <si>
    <t>p_3_006</t>
  </si>
  <si>
    <t>NP20160102111349395177</t>
  </si>
  <si>
    <t>xqg160102105214521</t>
  </si>
  <si>
    <t>p_3_013</t>
  </si>
  <si>
    <t>NC20160103051312968079</t>
  </si>
  <si>
    <t>qni160103050442193e4732</t>
  </si>
  <si>
    <t>NC20160103185059628376</t>
  </si>
  <si>
    <t>bjo150929201814448e6269</t>
  </si>
  <si>
    <t>ip_3_082</t>
  </si>
  <si>
    <t>NP20160105230635809430</t>
  </si>
  <si>
    <t>C1512060009822</t>
  </si>
  <si>
    <t>fp_3_007</t>
  </si>
  <si>
    <t>NP20160106113232398068</t>
  </si>
  <si>
    <t>cfx160106103735817</t>
  </si>
  <si>
    <t>p_3_028</t>
  </si>
  <si>
    <t>NP20160106171003811463</t>
  </si>
  <si>
    <t>xbd160105223803722</t>
  </si>
  <si>
    <t>NP20160107174819428291</t>
  </si>
  <si>
    <t>330655360967</t>
  </si>
  <si>
    <t>bp_3_066</t>
  </si>
  <si>
    <t>NP20160108100308735411</t>
  </si>
  <si>
    <t>jpl160105175101375</t>
  </si>
  <si>
    <t>p_3_106</t>
  </si>
  <si>
    <t>NP20160108104902274737</t>
  </si>
  <si>
    <t>qni151117123223981e404a</t>
  </si>
  <si>
    <t>ip_3_110</t>
  </si>
  <si>
    <t>NP20160109154651005391</t>
  </si>
  <si>
    <t>zaf160109100228005</t>
  </si>
  <si>
    <t>NP20160110110304199829</t>
  </si>
  <si>
    <t>byx150211005910231</t>
  </si>
  <si>
    <t>NP20160111215552027384</t>
  </si>
  <si>
    <t>xqg160111211808502</t>
  </si>
  <si>
    <t>NC20160113082427083190</t>
  </si>
  <si>
    <t>qni160112234003736ea361</t>
  </si>
  <si>
    <t>ip_3_007</t>
  </si>
  <si>
    <t>NC20160113151706400399</t>
  </si>
  <si>
    <t>jlf160106220321473</t>
  </si>
  <si>
    <t>NP20160115104259509844</t>
  </si>
  <si>
    <t>dnl160108153350776e4558</t>
  </si>
  <si>
    <t>ip_3_081</t>
  </si>
  <si>
    <t>NP20160115111156944520</t>
  </si>
  <si>
    <t>ltg160109163237455</t>
  </si>
  <si>
    <t>NP20160115122104595847</t>
  </si>
  <si>
    <t>qni160114231641248eb069</t>
  </si>
  <si>
    <t>NC20160116162622831414</t>
  </si>
  <si>
    <t>hak160112174636346e405c</t>
  </si>
  <si>
    <t>ip_3_040</t>
  </si>
  <si>
    <t>NP20160116162934451348</t>
  </si>
  <si>
    <t>330659999088</t>
  </si>
  <si>
    <t>bp_3_038</t>
  </si>
  <si>
    <t>NC20160117094717146631</t>
  </si>
  <si>
    <t>myd160117002711877e5728</t>
  </si>
  <si>
    <t>NP20160117174235909314</t>
  </si>
  <si>
    <t>hof160111184015432</t>
  </si>
  <si>
    <t>NC20160120101908923923</t>
  </si>
  <si>
    <t>330649588851</t>
  </si>
  <si>
    <t>ap_3_073</t>
  </si>
  <si>
    <t>NP20160120103347943181</t>
  </si>
  <si>
    <t>baj160120101204127</t>
  </si>
  <si>
    <t>NP20160122171509679528</t>
  </si>
  <si>
    <t>ysf160120190701996</t>
  </si>
  <si>
    <t>NP20160122200526532110</t>
  </si>
  <si>
    <t>330692530027</t>
  </si>
  <si>
    <t>NP20160124162530056265</t>
  </si>
  <si>
    <t>330673149168</t>
  </si>
  <si>
    <t>ap_3_005</t>
  </si>
  <si>
    <t>NP20160124221134463735</t>
  </si>
  <si>
    <t>cxf160124211934563</t>
  </si>
  <si>
    <t>NP20160125143326643167</t>
  </si>
  <si>
    <t>qni151212160748446e5580</t>
  </si>
  <si>
    <t>NP20160125162640200645</t>
  </si>
  <si>
    <t>dzc160125161600371</t>
  </si>
  <si>
    <t>NC20160125163205364215</t>
  </si>
  <si>
    <t>yse160125155122094</t>
  </si>
  <si>
    <t>p_3_004</t>
  </si>
  <si>
    <t>NP20160127152351433456</t>
  </si>
  <si>
    <t>ler160118184757976</t>
  </si>
  <si>
    <t>NP20160128095140677481</t>
  </si>
  <si>
    <t>201601081451194974</t>
  </si>
  <si>
    <t>fp_3_033</t>
  </si>
  <si>
    <t>NP20160130131954057017</t>
  </si>
  <si>
    <t>qni151203222006211eb326</t>
  </si>
  <si>
    <t>NP20160130164922979131</t>
  </si>
  <si>
    <t>330651648011</t>
  </si>
  <si>
    <t>ap_3_063</t>
  </si>
  <si>
    <t>NP20160201103458546532</t>
  </si>
  <si>
    <t>ztk160101155757044</t>
  </si>
  <si>
    <t>p_3_109</t>
  </si>
  <si>
    <t>NP20160201143606922104</t>
  </si>
  <si>
    <t>330703588749</t>
  </si>
  <si>
    <t>bp_3_074</t>
  </si>
  <si>
    <t>NP20160202193837752961</t>
  </si>
  <si>
    <t>hof160111183652181</t>
  </si>
  <si>
    <t>NP20160204110556826854</t>
  </si>
  <si>
    <t>qni151214210209795e8044</t>
  </si>
  <si>
    <t>ip_3_109</t>
  </si>
  <si>
    <t>NP20160204111509587604</t>
  </si>
  <si>
    <t>ztd160115212402700e8818</t>
  </si>
  <si>
    <t>NP20160204184701832721</t>
  </si>
  <si>
    <t>skp160126202701507ec008</t>
  </si>
  <si>
    <t>NP20160205113733601554</t>
  </si>
  <si>
    <t>330706528018</t>
  </si>
  <si>
    <t>bp_3_056</t>
  </si>
  <si>
    <t>NP20160205165125781349</t>
  </si>
  <si>
    <t>ysh160111034312308</t>
  </si>
  <si>
    <t>NP20160205170543207307</t>
  </si>
  <si>
    <t>ysh160116233341467</t>
  </si>
  <si>
    <t>p_3_027</t>
  </si>
  <si>
    <t>NP20160206160511500661</t>
  </si>
  <si>
    <t>330667161670</t>
  </si>
  <si>
    <t>ap_3_029</t>
  </si>
  <si>
    <t>NP20160206162444823804</t>
  </si>
  <si>
    <t>ffs160202195718032</t>
  </si>
  <si>
    <t>NP20160207120641322575</t>
  </si>
  <si>
    <t>qni160201171912755ea056</t>
  </si>
  <si>
    <t>NP20160208110429440156</t>
  </si>
  <si>
    <t>aft160117050147517</t>
  </si>
  <si>
    <t>p_3_039</t>
  </si>
  <si>
    <t>NP20160211103331187809</t>
  </si>
  <si>
    <t>jjz160210191955155e90ad</t>
  </si>
  <si>
    <t>ip_3_023</t>
  </si>
  <si>
    <t>NP20160212102608374642</t>
  </si>
  <si>
    <t>ycm160109105213391</t>
  </si>
  <si>
    <t>NP20160212140838757206</t>
  </si>
  <si>
    <t>tys160205172541935</t>
  </si>
  <si>
    <t>NP20160213103040481686</t>
  </si>
  <si>
    <t>330715822393</t>
  </si>
  <si>
    <t>NP20160213125047316757</t>
  </si>
  <si>
    <t>fna160128110751674</t>
  </si>
  <si>
    <t>NC20160213132216209122</t>
  </si>
  <si>
    <t>hxz160205121625198</t>
  </si>
  <si>
    <t>NP20160213141252091510</t>
  </si>
  <si>
    <t>330713648893</t>
  </si>
  <si>
    <t>NP20160213173951956024</t>
  </si>
  <si>
    <t>fes160213153018865</t>
  </si>
  <si>
    <t>p_3_007</t>
  </si>
  <si>
    <t>NP20160213235206366392</t>
  </si>
  <si>
    <t>ztp160208211409056e36cc</t>
  </si>
  <si>
    <t>ip_3_051</t>
  </si>
  <si>
    <t>NP20160214183649536550</t>
  </si>
  <si>
    <t>330715154348</t>
  </si>
  <si>
    <t>NP20160214203101185987</t>
  </si>
  <si>
    <t>pgy160210133425903</t>
  </si>
  <si>
    <t>NC20160214211507089928</t>
  </si>
  <si>
    <t>yds160214120031151</t>
  </si>
  <si>
    <t>NP20160215153923801219</t>
  </si>
  <si>
    <t>klf160215151411692</t>
  </si>
  <si>
    <t>p_3_038</t>
  </si>
  <si>
    <t>NP20160216124404429352</t>
  </si>
  <si>
    <t>ybe160212220246094e7cf9</t>
  </si>
  <si>
    <t>ip_3_002</t>
  </si>
  <si>
    <t>NP20160216162031389270</t>
  </si>
  <si>
    <t>zaa151125111606790</t>
  </si>
  <si>
    <t>NP20160216184529146499</t>
  </si>
  <si>
    <t>jwe160214121339591</t>
  </si>
  <si>
    <t>p_3_108</t>
  </si>
  <si>
    <t>NP20160216184806888796</t>
  </si>
  <si>
    <t>330652625605</t>
  </si>
  <si>
    <t>NP20160216215102401118</t>
  </si>
  <si>
    <t>yjs160125134807290</t>
  </si>
  <si>
    <t>NP20160217080849207129</t>
  </si>
  <si>
    <t>klf160123093753804</t>
  </si>
  <si>
    <t>p_3_050</t>
  </si>
  <si>
    <t>NP20160217082634468172</t>
  </si>
  <si>
    <t>330719990620</t>
  </si>
  <si>
    <t>bp_3_006</t>
  </si>
  <si>
    <t>NP20160217105420040608</t>
  </si>
  <si>
    <t>cxf160120191917909</t>
  </si>
  <si>
    <t>NP20160217133050462209</t>
  </si>
  <si>
    <t>qni160108234619134e9988</t>
  </si>
  <si>
    <t>NP20160217134836167265</t>
  </si>
  <si>
    <t>ypw160127080634270</t>
  </si>
  <si>
    <t>NC20160217144757978417</t>
  </si>
  <si>
    <t>lxm160119112923661</t>
  </si>
  <si>
    <t>NC20160217145435261191</t>
  </si>
  <si>
    <t>tys160120104128102</t>
  </si>
  <si>
    <t>NC20160217150220706790</t>
  </si>
  <si>
    <t>cxf160117111233615</t>
  </si>
  <si>
    <t>NC20160217150252742321</t>
  </si>
  <si>
    <t>yze160117025303372</t>
  </si>
  <si>
    <t>NC20160217150421664764</t>
  </si>
  <si>
    <t>xgx160117015404523</t>
  </si>
  <si>
    <t>NC20160217151231368115</t>
  </si>
  <si>
    <t>jwl160114155934744</t>
  </si>
  <si>
    <t>NC20160218114931700780</t>
  </si>
  <si>
    <t>330713943879</t>
  </si>
  <si>
    <t>ap_3_009</t>
  </si>
  <si>
    <t>NP20160218114907877283</t>
  </si>
  <si>
    <t>sbk160213094952737</t>
  </si>
  <si>
    <t>NP20160219095834998028</t>
  </si>
  <si>
    <t>330718636564</t>
  </si>
  <si>
    <t>NC20160219131827542591</t>
  </si>
  <si>
    <t>ytx160217141359410</t>
  </si>
  <si>
    <t>p_3_086</t>
  </si>
  <si>
    <t>NP20160219141010195132</t>
  </si>
  <si>
    <t>ddb160215185120095</t>
  </si>
  <si>
    <t>p_3_045</t>
  </si>
  <si>
    <t>NP20160219183415665703</t>
  </si>
  <si>
    <t>yer160129170602746</t>
  </si>
  <si>
    <t>NP20160220093836177064</t>
  </si>
  <si>
    <t>qni160219175116502ea048</t>
  </si>
  <si>
    <t>ip_3_113</t>
  </si>
  <si>
    <t>NP20160220095733934895</t>
  </si>
  <si>
    <t>fys160217191340932</t>
  </si>
  <si>
    <t>p_3_118</t>
  </si>
  <si>
    <t>NP20160220120501828938</t>
  </si>
  <si>
    <t>xzd160220113947185e5557</t>
  </si>
  <si>
    <t>NP20160221085014867295</t>
  </si>
  <si>
    <t>dfx160221084625344</t>
  </si>
  <si>
    <t>NP20160221102454266909</t>
  </si>
  <si>
    <t>cqu160217170816663</t>
  </si>
  <si>
    <t>NP20160221144038950659</t>
  </si>
  <si>
    <t>wxl160221140259931</t>
  </si>
  <si>
    <t>NP20160221172555775355</t>
  </si>
  <si>
    <t>xhp160204125529325</t>
  </si>
  <si>
    <t>p_3_060</t>
  </si>
  <si>
    <t>NP20160221184725339455</t>
  </si>
  <si>
    <t>khl160201183530778</t>
  </si>
  <si>
    <t>NP20160221193943470434</t>
  </si>
  <si>
    <t>yjp151206111721394</t>
  </si>
  <si>
    <t>NC20160222112001254383</t>
  </si>
  <si>
    <t>cxf160222012431539</t>
  </si>
  <si>
    <t>p_3_015</t>
  </si>
  <si>
    <t>NP20160223082136866531</t>
  </si>
  <si>
    <t>hxn160221143206133</t>
  </si>
  <si>
    <t>NP20160223100509702256</t>
  </si>
  <si>
    <t>cxf160212131526932</t>
  </si>
  <si>
    <t>NP20160223112339855624</t>
  </si>
  <si>
    <t>yxx160220142543699e769b</t>
  </si>
  <si>
    <t>ip_3_107</t>
  </si>
  <si>
    <t>NC20160223121426686790</t>
  </si>
  <si>
    <t>xmr160221145347376e4da2</t>
  </si>
  <si>
    <t>NP20160223160531755942</t>
  </si>
  <si>
    <t>qni151210164159733e7984</t>
  </si>
  <si>
    <t>NP20160223154512949499</t>
  </si>
  <si>
    <t>hmy160208184847638e57ee</t>
  </si>
  <si>
    <t>ip_3_019</t>
  </si>
  <si>
    <t>NP20160223165357621952</t>
  </si>
  <si>
    <t>pia160220181424114</t>
  </si>
  <si>
    <t>NP20160224105354150944</t>
  </si>
  <si>
    <t>hhz151225112319651</t>
  </si>
  <si>
    <t>NP20160224140430766061</t>
  </si>
  <si>
    <t>jhm160224114954552e44e0</t>
  </si>
  <si>
    <t>NP20160224154954931746</t>
  </si>
  <si>
    <t>yqs160224084205303</t>
  </si>
  <si>
    <t>NP20160224202242777035</t>
  </si>
  <si>
    <t>330726062025</t>
  </si>
  <si>
    <t>bp_3_011</t>
  </si>
  <si>
    <t>NP20160225003212089892</t>
  </si>
  <si>
    <t>sbk160224122022065</t>
  </si>
  <si>
    <t>NP20160225093545245570</t>
  </si>
  <si>
    <t>330724612398</t>
  </si>
  <si>
    <t>NP20160225110928981260</t>
  </si>
  <si>
    <t>afa160108074323251</t>
  </si>
  <si>
    <t>p_3_110</t>
  </si>
  <si>
    <t>NP20160225111928871465</t>
  </si>
  <si>
    <t>0042020778</t>
  </si>
  <si>
    <t>NP20160225163832049014</t>
  </si>
  <si>
    <t>qni160108112638480e82a2</t>
  </si>
  <si>
    <t>NP20160225194434183489</t>
  </si>
  <si>
    <t>330727236033</t>
  </si>
  <si>
    <t>bp_3_070</t>
  </si>
  <si>
    <t>NP20160225210531404065</t>
  </si>
  <si>
    <t>330692231950</t>
  </si>
  <si>
    <t>bp_3_009</t>
  </si>
  <si>
    <t>NP20160225212750129100</t>
  </si>
  <si>
    <t>hzt160225154940112ea8c8</t>
  </si>
  <si>
    <t>NP20160225213205543992</t>
  </si>
  <si>
    <t>hxz160225204700520</t>
  </si>
  <si>
    <t>NP20160226091036172056</t>
  </si>
  <si>
    <t>lyz160120140536720e318f</t>
  </si>
  <si>
    <t>NP20160226092523890998</t>
  </si>
  <si>
    <t>ffs160226092503452</t>
  </si>
  <si>
    <t>NP20160226095359761333</t>
  </si>
  <si>
    <t>xmr160224223550845eb317</t>
  </si>
  <si>
    <t>NP20160226150558462134</t>
  </si>
  <si>
    <t>xsy160114084333429e8329</t>
  </si>
  <si>
    <t>NP20160226151803567892</t>
  </si>
  <si>
    <t>szs160223161401538</t>
  </si>
  <si>
    <t>NP20160226214313580477</t>
  </si>
  <si>
    <t>qni160113000235149e9362</t>
  </si>
  <si>
    <t>ip_3_026</t>
  </si>
  <si>
    <t>NP20160227102651702369</t>
  </si>
  <si>
    <t>lht150907153119547e51c2</t>
  </si>
  <si>
    <t>NP20160227124233047793</t>
  </si>
  <si>
    <t>axe160221202540786</t>
  </si>
  <si>
    <t>NP20160227162029632969</t>
  </si>
  <si>
    <t>qni160226162644877e5153</t>
  </si>
  <si>
    <t>NP20160227184514387424</t>
  </si>
  <si>
    <t>hdj160211164046100</t>
  </si>
  <si>
    <t>NC20160227200311273238</t>
  </si>
  <si>
    <t>tfq151123194805491</t>
  </si>
  <si>
    <t>NC20160227210041542309</t>
  </si>
  <si>
    <t>jtg160227173455629</t>
  </si>
  <si>
    <t>NP20160227234306790791</t>
  </si>
  <si>
    <t>sdt160201232518734e427e</t>
  </si>
  <si>
    <t>NP20160228111223159757</t>
  </si>
  <si>
    <t>ybc160226182102284ea004</t>
  </si>
  <si>
    <t>NP20160228111932307617</t>
  </si>
  <si>
    <t>sqz160226180643341e637d</t>
  </si>
  <si>
    <t>NP20160228161427004887</t>
  </si>
  <si>
    <t>330725347715</t>
  </si>
  <si>
    <t>ap_3_074</t>
  </si>
  <si>
    <t>NP20160228203701033315</t>
  </si>
  <si>
    <t>ymy160228014745445</t>
  </si>
  <si>
    <t>NP20160228223347837302</t>
  </si>
  <si>
    <t>mdf151221200331000e5151</t>
  </si>
  <si>
    <t>NC20160229090423549470</t>
  </si>
  <si>
    <t>wanda1602272104297e3</t>
  </si>
  <si>
    <t>tp_3_082</t>
  </si>
  <si>
    <t>NC20160229091632573987</t>
  </si>
  <si>
    <t>aft160227093651934</t>
  </si>
  <si>
    <t>NC20160229102313176623</t>
  </si>
  <si>
    <t>jai151229154604476e6149</t>
  </si>
  <si>
    <t>NP20160229105739754963</t>
  </si>
  <si>
    <t>fxu151204232053124</t>
  </si>
  <si>
    <t>NP20160229111339189520</t>
  </si>
  <si>
    <t>lyz160226152946755e712a</t>
  </si>
  <si>
    <t>NP20160229131904974015</t>
  </si>
  <si>
    <t>zal160128203940942</t>
  </si>
  <si>
    <t>NP20160229153055431707</t>
  </si>
  <si>
    <t>tam160228103621709e7af1</t>
  </si>
  <si>
    <t>NP20160229174007985550</t>
  </si>
  <si>
    <t>afo160131144437867</t>
  </si>
  <si>
    <t>NP20160229175631156800</t>
  </si>
  <si>
    <t>byx160223175016594</t>
  </si>
  <si>
    <t>NP20160229185948464968</t>
  </si>
  <si>
    <t>fyx160206192657314</t>
  </si>
  <si>
    <t>NP20160229194917966346</t>
  </si>
  <si>
    <t>sjysz16022510572116d</t>
  </si>
  <si>
    <t>tp_3_079</t>
  </si>
  <si>
    <t>NP20160229210024991917</t>
  </si>
  <si>
    <t>btf160225220810954e8ad5</t>
  </si>
  <si>
    <t>NP20160301114325293458</t>
  </si>
  <si>
    <t>ldw160206093143580</t>
  </si>
  <si>
    <t>NC20160301120159191840</t>
  </si>
  <si>
    <t>hdq160129142521785</t>
  </si>
  <si>
    <t>NP20160301122206679121</t>
  </si>
  <si>
    <t>ibi160228180051714</t>
  </si>
  <si>
    <t>NP20160301133425824661</t>
  </si>
  <si>
    <t>30220160216001299210</t>
  </si>
  <si>
    <t>fp_3_051</t>
  </si>
  <si>
    <t>NP20160301144104712182</t>
  </si>
  <si>
    <t>330729738171</t>
  </si>
  <si>
    <t>NC20160301152801778115</t>
  </si>
  <si>
    <t>tpr160301134432833</t>
  </si>
  <si>
    <t>NP20160301170533102239</t>
  </si>
  <si>
    <t>yck151201174723252</t>
  </si>
  <si>
    <t>NP20160301180341599709</t>
  </si>
  <si>
    <t>zdh160226154843460</t>
  </si>
  <si>
    <t>NP20160301181753770261</t>
  </si>
  <si>
    <t>ydj160229122550493</t>
  </si>
  <si>
    <t>NP20160301194035724744</t>
  </si>
  <si>
    <t>klf160228211623255</t>
  </si>
  <si>
    <t>NP20160301205643702025</t>
  </si>
  <si>
    <t>hdh160224135318433</t>
  </si>
  <si>
    <t>NP20160302065533847404</t>
  </si>
  <si>
    <t>jtg160301153318328</t>
  </si>
  <si>
    <t>NC20160302084810579038</t>
  </si>
  <si>
    <t>fna160222211829626</t>
  </si>
  <si>
    <t>NP20160302090738081894</t>
  </si>
  <si>
    <t>xqm151223204408531</t>
  </si>
  <si>
    <t>NC20160302130255843082</t>
  </si>
  <si>
    <t>qqpww1603010944382a9</t>
  </si>
  <si>
    <t>tp_3_001</t>
  </si>
  <si>
    <t>NP20160302154846464230</t>
  </si>
  <si>
    <t>330725222654</t>
  </si>
  <si>
    <t>NP20160302171059920421</t>
  </si>
  <si>
    <t>qda160302161718364</t>
  </si>
  <si>
    <t>NP20160302175219721328</t>
  </si>
  <si>
    <t>330733225163</t>
  </si>
  <si>
    <t>NC20160302180914825321</t>
  </si>
  <si>
    <t>330719435104</t>
  </si>
  <si>
    <t>NP20160302194042793281</t>
  </si>
  <si>
    <t>cdh160301152845435</t>
  </si>
  <si>
    <t>NP20160302205220412873</t>
  </si>
  <si>
    <t>hud160223201746336</t>
  </si>
  <si>
    <t>NP20160303103941064009</t>
  </si>
  <si>
    <t>qni160302132338633e7058</t>
  </si>
  <si>
    <t>ip_3_047</t>
  </si>
  <si>
    <t>NC20160303105546650735</t>
  </si>
  <si>
    <t>qni160202160707415e56ce</t>
  </si>
  <si>
    <t>NP20160303111936093362</t>
  </si>
  <si>
    <t>tys160303110925625</t>
  </si>
  <si>
    <t>NP20160303114146378480</t>
  </si>
  <si>
    <t>yzi160303113038503</t>
  </si>
  <si>
    <t>NP20160303124256226506</t>
  </si>
  <si>
    <t>yly151211094626787</t>
  </si>
  <si>
    <t>NP20160303135338016223</t>
  </si>
  <si>
    <t>yyw160303132921697</t>
  </si>
  <si>
    <t>p_3_019</t>
  </si>
  <si>
    <t>NP20160303153211457177</t>
  </si>
  <si>
    <t>qni160303151509754eb252</t>
  </si>
  <si>
    <t>NC20160303153708574900</t>
  </si>
  <si>
    <t>30220160224001333322</t>
  </si>
  <si>
    <t>fp_3_038</t>
  </si>
  <si>
    <t>NP20160303165203717714</t>
  </si>
  <si>
    <t>cxsww1603030845504ff</t>
  </si>
  <si>
    <t>NP20160303192203494853</t>
  </si>
  <si>
    <t>wxl160302223010995</t>
  </si>
  <si>
    <t>NP20160303194438017294</t>
  </si>
  <si>
    <t>xcs160302153708781</t>
  </si>
  <si>
    <t>p_3_035</t>
  </si>
  <si>
    <t>NC20160303213701689530</t>
  </si>
  <si>
    <t>yhs160226231426875</t>
  </si>
  <si>
    <t>NP20160303215108900094</t>
  </si>
  <si>
    <t>bad160302182037451</t>
  </si>
  <si>
    <t>p_3_002</t>
  </si>
  <si>
    <t>NP20160304065747667670</t>
  </si>
  <si>
    <t>hexie160227144818ad4</t>
  </si>
  <si>
    <t>NP20160304074852396312</t>
  </si>
  <si>
    <t>hdb160225142817672</t>
  </si>
  <si>
    <t>NP20160304081645186735</t>
  </si>
  <si>
    <t>dzq160303192733162</t>
  </si>
  <si>
    <t>NC20160304110157525887</t>
  </si>
  <si>
    <t>C1510090014325</t>
  </si>
  <si>
    <t>fp_3_013</t>
  </si>
  <si>
    <t>NP20160304113102025389</t>
  </si>
  <si>
    <t>yyw160224083325098</t>
  </si>
  <si>
    <t>NC20160304115918538455</t>
  </si>
  <si>
    <t>kls160304111348516</t>
  </si>
  <si>
    <t>NP20160304134033607256</t>
  </si>
  <si>
    <t>szs160223154135468</t>
  </si>
  <si>
    <t>NC20160304145655566127</t>
  </si>
  <si>
    <t>yck160225130503563</t>
  </si>
  <si>
    <t>NP20160304153446734921</t>
  </si>
  <si>
    <t>mhw160229112558201</t>
  </si>
  <si>
    <t>NP20160304154006913936</t>
  </si>
  <si>
    <t>cha160304150634544e804f</t>
  </si>
  <si>
    <t>NP20160304163608734532</t>
  </si>
  <si>
    <t>yds160304150944298</t>
  </si>
  <si>
    <t>NT20160304165025963292</t>
  </si>
  <si>
    <t>ler160304163858086</t>
  </si>
  <si>
    <t>NP20160304165329099816</t>
  </si>
  <si>
    <t>tua160302215150035</t>
  </si>
  <si>
    <t>p_3_032</t>
  </si>
  <si>
    <t>NP20160304173546220436</t>
  </si>
  <si>
    <t>tvk160304125300547</t>
  </si>
  <si>
    <t>p_3_112</t>
  </si>
  <si>
    <t>NP20160304213130455823</t>
  </si>
  <si>
    <t>xmn160303124415018</t>
  </si>
  <si>
    <t>NP20160304213650049835</t>
  </si>
  <si>
    <t>mdc160304025058483e502f</t>
  </si>
  <si>
    <t>ip_3_004</t>
  </si>
  <si>
    <t>NP20160304234510905480</t>
  </si>
  <si>
    <t>bxp160303141040724e4173</t>
  </si>
  <si>
    <t>NP20160305073145843525</t>
  </si>
  <si>
    <t>wmq160227084431431</t>
  </si>
  <si>
    <t>NP20160305085521979368</t>
  </si>
  <si>
    <t>330735634665</t>
  </si>
  <si>
    <t>NP20160305095949630968</t>
  </si>
  <si>
    <t>xyz160204142337026</t>
  </si>
  <si>
    <t>p_3_085</t>
  </si>
  <si>
    <t>NP20160305114436447074</t>
  </si>
  <si>
    <t>xyz160301180857113</t>
  </si>
  <si>
    <t>NP20160305153909275432</t>
  </si>
  <si>
    <t>ydl160227132405478</t>
  </si>
  <si>
    <t>NP20160305165510284919</t>
  </si>
  <si>
    <t>sjb160224193041722</t>
  </si>
  <si>
    <t>NP20160305173817393979</t>
  </si>
  <si>
    <t>jpl160304211100574</t>
  </si>
  <si>
    <t>NP20160305185906185138</t>
  </si>
  <si>
    <t>tlh160305181156101</t>
  </si>
  <si>
    <t>NP20160306070021020479</t>
  </si>
  <si>
    <t>330736146810</t>
  </si>
  <si>
    <t>bp_3_013</t>
  </si>
  <si>
    <t>NP20160306103414786509</t>
  </si>
  <si>
    <t>yun150810105501200</t>
  </si>
  <si>
    <t>NP20160306115216093247</t>
  </si>
  <si>
    <t>zdh160220185615778</t>
  </si>
  <si>
    <t>NP20160306132321443313</t>
  </si>
  <si>
    <t>jdl160228121736477</t>
  </si>
  <si>
    <t>NP20160306144529893803</t>
  </si>
  <si>
    <t>zaf160220153839897</t>
  </si>
  <si>
    <t>NP20160306164544195951</t>
  </si>
  <si>
    <t>jpa160306133925828</t>
  </si>
  <si>
    <t>NP20160306165125338955</t>
  </si>
  <si>
    <t>ykl160212231057307e5c7b</t>
  </si>
  <si>
    <t>NP20160306170211735131</t>
  </si>
  <si>
    <t>xnz160221172316573e4e74</t>
  </si>
  <si>
    <t>NP20160306173716801044</t>
  </si>
  <si>
    <t>cgs160301191237550</t>
  </si>
  <si>
    <t>NP20160306173756607590</t>
  </si>
  <si>
    <t>qni160106204632658e92fa</t>
  </si>
  <si>
    <t>NC20160306180548401694</t>
  </si>
  <si>
    <t>234683160219</t>
  </si>
  <si>
    <t>fp_3_020</t>
  </si>
  <si>
    <t>NP20160306180641235908</t>
  </si>
  <si>
    <t>zdh160306173855279</t>
  </si>
  <si>
    <t>p_3_047</t>
  </si>
  <si>
    <t>NP20160306182036511044</t>
  </si>
  <si>
    <t>330733394498</t>
  </si>
  <si>
    <t>NP20160306191043778393</t>
  </si>
  <si>
    <t>hgk160229184458564</t>
  </si>
  <si>
    <t>NP20160306195525864025</t>
  </si>
  <si>
    <t>nbz151031164458885</t>
  </si>
  <si>
    <t>NP20160306222536582308</t>
  </si>
  <si>
    <t>cgs160225113903929</t>
  </si>
  <si>
    <t>NP20160307002738450249</t>
  </si>
  <si>
    <t>xje160302172210662</t>
  </si>
  <si>
    <t>NP20160307042425283213</t>
  </si>
  <si>
    <t>ydl160303182625963</t>
  </si>
  <si>
    <t>NC20160307043732763922</t>
  </si>
  <si>
    <t>yyw160306235932558</t>
  </si>
  <si>
    <t>NP20160307064033885299</t>
  </si>
  <si>
    <t>ymz160306115242275</t>
  </si>
  <si>
    <t>NC20160307085452770595</t>
  </si>
  <si>
    <t>330737451843</t>
  </si>
  <si>
    <t>NP20160307091212269054</t>
  </si>
  <si>
    <t>mhw160227084957413</t>
  </si>
  <si>
    <t>NP20160307101607760281</t>
  </si>
  <si>
    <t>330738935448</t>
  </si>
  <si>
    <t>NP20160307102829734026</t>
  </si>
  <si>
    <t>sxg160305174708829e9a19</t>
  </si>
  <si>
    <t>NP20160307130232050934</t>
  </si>
  <si>
    <t>pzf160307121054139</t>
  </si>
  <si>
    <t>NP20160307133114364788</t>
  </si>
  <si>
    <t>xfb160226142822531</t>
  </si>
  <si>
    <t>p_3_003</t>
  </si>
  <si>
    <t>NP20160307142627329336</t>
  </si>
  <si>
    <t>bay160129111311421</t>
  </si>
  <si>
    <t>NP20160307144202576617</t>
  </si>
  <si>
    <t>qqpww160224210945422</t>
  </si>
  <si>
    <t>tp_3_046</t>
  </si>
  <si>
    <t>NP20160307145841093382</t>
  </si>
  <si>
    <t>dongf1602272346593b5</t>
  </si>
  <si>
    <t>NC20160307151309658388</t>
  </si>
  <si>
    <t>lfi160307113528701e75b3</t>
  </si>
  <si>
    <t>NP20160307153841710243</t>
  </si>
  <si>
    <t>ydl160307123411594</t>
  </si>
  <si>
    <t>NC20160307165215884185</t>
  </si>
  <si>
    <t>hdj160229164922860</t>
  </si>
  <si>
    <t>NP20160307165927618409</t>
  </si>
  <si>
    <t>nxw160217132639164</t>
  </si>
  <si>
    <t>NP20160307170233452100</t>
  </si>
  <si>
    <t>xjn160226143303142</t>
  </si>
  <si>
    <t>NP20160307171740908768</t>
  </si>
  <si>
    <t>khl160305175355841</t>
  </si>
  <si>
    <t>NC20160307180227053476</t>
  </si>
  <si>
    <t>yln160306113403371</t>
  </si>
  <si>
    <t>NP20160307195329674880</t>
  </si>
  <si>
    <t>330738450714</t>
  </si>
  <si>
    <t>ap_3_032</t>
  </si>
  <si>
    <t>NC20160307211418622003</t>
  </si>
  <si>
    <t>hdq160304212752123</t>
  </si>
  <si>
    <t>NP20160307224149927657</t>
  </si>
  <si>
    <t>fhm160224085232824</t>
  </si>
  <si>
    <t>NC20160308004418321679</t>
  </si>
  <si>
    <t>qgpww16022920112240b</t>
  </si>
  <si>
    <t>NP20160308020051034339</t>
  </si>
  <si>
    <t>xgx160223023032963</t>
  </si>
  <si>
    <t>NP20160308094741601204</t>
  </si>
  <si>
    <t>dzc151209000449859</t>
  </si>
  <si>
    <t>NC20160308101322199779</t>
  </si>
  <si>
    <t>hmf160307134016324</t>
  </si>
  <si>
    <t>NP20160308115209360653</t>
  </si>
  <si>
    <t>330739275602</t>
  </si>
  <si>
    <t>NP20160308115252840152</t>
  </si>
  <si>
    <t>330739057536</t>
  </si>
  <si>
    <t>NP20160308120332247843</t>
  </si>
  <si>
    <t>sogou160212150530853</t>
  </si>
  <si>
    <t>tp_3_052</t>
  </si>
  <si>
    <t>NP20160308122242229143</t>
  </si>
  <si>
    <t>zzb160225095325403</t>
  </si>
  <si>
    <t>NP20160308125433784205</t>
  </si>
  <si>
    <t>dzl160308123416288</t>
  </si>
  <si>
    <t>NC20160308140001030159</t>
  </si>
  <si>
    <t>hyd160219012437817</t>
  </si>
  <si>
    <t>NC20160308153820932397</t>
  </si>
  <si>
    <t>wde160219113850605</t>
  </si>
  <si>
    <t>NP20160308160617500173</t>
  </si>
  <si>
    <t>hzw160303164815268ea322</t>
  </si>
  <si>
    <t>NP20160308162030964516</t>
  </si>
  <si>
    <t>xje160229154608982</t>
  </si>
  <si>
    <t>NP20160308170844705038</t>
  </si>
  <si>
    <t>330734541041</t>
  </si>
  <si>
    <t>NP20160308185311392937</t>
  </si>
  <si>
    <t>qni160308144449405e6231</t>
  </si>
  <si>
    <t>NP20160308194746005684</t>
  </si>
  <si>
    <t>ffb160302142106849e40f9</t>
  </si>
  <si>
    <t>NP20160308190155398926</t>
  </si>
  <si>
    <t>yfm1603072126415089803b</t>
  </si>
  <si>
    <t>NP20160308204048149543</t>
  </si>
  <si>
    <t>330733552060</t>
  </si>
  <si>
    <t>NC20160308213532396063</t>
  </si>
  <si>
    <t>tvk160308212247430</t>
  </si>
  <si>
    <t>NP20160309005842543129</t>
  </si>
  <si>
    <t>shk160309005313693</t>
  </si>
  <si>
    <t>NC20160309081517323118</t>
  </si>
  <si>
    <t>330739406575</t>
  </si>
  <si>
    <t>NP20160309081652751091</t>
  </si>
  <si>
    <t>gtt151207112643358e72a8</t>
  </si>
  <si>
    <t>NP20160309082520143060</t>
  </si>
  <si>
    <t>sbk160307141542527</t>
  </si>
  <si>
    <t>NC20160309085939213371</t>
  </si>
  <si>
    <t>afo160223202442678</t>
  </si>
  <si>
    <t>NP20160309085959390150</t>
  </si>
  <si>
    <t>sjb160222152331261</t>
  </si>
  <si>
    <t>NP20160309090357463118</t>
  </si>
  <si>
    <t>ymo160225102313839</t>
  </si>
  <si>
    <t>NP20160309092001457117</t>
  </si>
  <si>
    <t>tcj160305102450305</t>
  </si>
  <si>
    <t>NP20160309094712664873</t>
  </si>
  <si>
    <t>sbk160213201101355</t>
  </si>
  <si>
    <t>NP20160309102949961304</t>
  </si>
  <si>
    <t>xdr160307210316329</t>
  </si>
  <si>
    <t>NP20160309105650861161</t>
  </si>
  <si>
    <t>yzw160307131327980</t>
  </si>
  <si>
    <t>NP20160309113124926436</t>
  </si>
  <si>
    <t>aft160303044708316</t>
  </si>
  <si>
    <t>NP20160309121532341231</t>
  </si>
  <si>
    <t>yyi141227215908804d210c</t>
  </si>
  <si>
    <t>ip_3_020</t>
  </si>
  <si>
    <t>NP20160309122013996725</t>
  </si>
  <si>
    <t>ysh160306104750260</t>
  </si>
  <si>
    <t>NP20160309141730235808</t>
  </si>
  <si>
    <t>lwi151230123723738eb972</t>
  </si>
  <si>
    <t>ip_3_086</t>
  </si>
  <si>
    <t>NP20160309142254469428</t>
  </si>
  <si>
    <t>tvk160306150433736</t>
  </si>
  <si>
    <t>NC20160309145229898699</t>
  </si>
  <si>
    <t>axe160227170920515</t>
  </si>
  <si>
    <t>NP20160309150842389161</t>
  </si>
  <si>
    <t>hongx160304233939575</t>
  </si>
  <si>
    <t>NP20160309151209342588</t>
  </si>
  <si>
    <t>jpl160303154051742</t>
  </si>
  <si>
    <t>NP20160309160228782670</t>
  </si>
  <si>
    <t>cxsww16030507123490e</t>
  </si>
  <si>
    <t>tp_3_080</t>
  </si>
  <si>
    <t>NP20160309163651538283</t>
  </si>
  <si>
    <t>gll160309160437744</t>
  </si>
  <si>
    <t>NP20160309171835528645</t>
  </si>
  <si>
    <t>fce160217105024179</t>
  </si>
  <si>
    <t>NP20160309175019775676</t>
  </si>
  <si>
    <t>tam160308190456067e9004</t>
  </si>
  <si>
    <t>NP20160309181049409404</t>
  </si>
  <si>
    <t>xdr160309181017654</t>
  </si>
  <si>
    <t>NP20160309191021784661</t>
  </si>
  <si>
    <t>dfx160224212213424</t>
  </si>
  <si>
    <t>NP20160309193850456684</t>
  </si>
  <si>
    <t>GD2016030919380539</t>
  </si>
  <si>
    <t>sp_3_001</t>
  </si>
  <si>
    <t>NC20160309200901164301</t>
  </si>
  <si>
    <t>330740323160</t>
  </si>
  <si>
    <t>NP20160309211331596500</t>
  </si>
  <si>
    <t>330740615198</t>
  </si>
  <si>
    <t>ap_3_014</t>
  </si>
  <si>
    <t>NC20160310031115812216</t>
  </si>
  <si>
    <t>330741058623</t>
  </si>
  <si>
    <t>NP20160310072156019681</t>
  </si>
  <si>
    <t>cxf160304185150419</t>
  </si>
  <si>
    <t>NP20160310090651424444</t>
  </si>
  <si>
    <t>sxy160302100553137</t>
  </si>
  <si>
    <t>NP20160310091752147127</t>
  </si>
  <si>
    <t>cxf160302172359995</t>
  </si>
  <si>
    <t>NP20160310092712469975</t>
  </si>
  <si>
    <t>zru160309214211967</t>
  </si>
  <si>
    <t>NP20160310093623489286</t>
  </si>
  <si>
    <t>GD2016031009368116</t>
  </si>
  <si>
    <t>NP20160310100429226951</t>
  </si>
  <si>
    <t>wdh160310094800851</t>
  </si>
  <si>
    <t>NP20160310103108561185</t>
  </si>
  <si>
    <t>rmh160309135242451</t>
  </si>
  <si>
    <t>NP20160310105045574068</t>
  </si>
  <si>
    <t>wsh160309191850024ea0a5</t>
  </si>
  <si>
    <t>NP20160310110306545987</t>
  </si>
  <si>
    <t>tdo160308184830683e9036</t>
  </si>
  <si>
    <t>NP20160310111735657307</t>
  </si>
  <si>
    <t>jzn160229190313515e813d</t>
  </si>
  <si>
    <t>NP20160310123433696255</t>
  </si>
  <si>
    <t>330722615245</t>
  </si>
  <si>
    <t>ap_3_079</t>
  </si>
  <si>
    <t>NP20160310125744207925</t>
  </si>
  <si>
    <t>xyx160310124032957</t>
  </si>
  <si>
    <t>NP20160310133447533281</t>
  </si>
  <si>
    <t>huw160309211931762</t>
  </si>
  <si>
    <t>NP20160310133206237552</t>
  </si>
  <si>
    <t>jtl160309120410306</t>
  </si>
  <si>
    <t>NP20160310134257430262</t>
  </si>
  <si>
    <t>rhs160304120437800</t>
  </si>
  <si>
    <t>NP20160310141853599078</t>
  </si>
  <si>
    <t>fna160112165203342</t>
  </si>
  <si>
    <t>NP20160310142411526774</t>
  </si>
  <si>
    <t>330734323939</t>
  </si>
  <si>
    <t>bp_3_012</t>
  </si>
  <si>
    <t>NP20160310143348666432</t>
  </si>
  <si>
    <t>jcv160228171915295ead40</t>
  </si>
  <si>
    <t>NP20160310145829063205</t>
  </si>
  <si>
    <t>330738140707</t>
  </si>
  <si>
    <t>ap_3_054</t>
  </si>
  <si>
    <t>NP20160310145903002867</t>
  </si>
  <si>
    <t>ttx160310144749850e97bd</t>
  </si>
  <si>
    <t>ip_3_045</t>
  </si>
  <si>
    <t>NP20160310160308205360</t>
  </si>
  <si>
    <t>khl160310124754619</t>
  </si>
  <si>
    <t>NP20160310162032364315</t>
  </si>
  <si>
    <t>cos160310140744990</t>
  </si>
  <si>
    <t>NP20160310161921670688</t>
  </si>
  <si>
    <t>afo160203172927558</t>
  </si>
  <si>
    <t>NP20160310163221772574</t>
  </si>
  <si>
    <t>xqg160227164445453</t>
  </si>
  <si>
    <t>NP20160310163427138553</t>
  </si>
  <si>
    <t>ycx160310144533569</t>
  </si>
  <si>
    <t>NP20160310165359797079</t>
  </si>
  <si>
    <t>yyw160308002417557</t>
  </si>
  <si>
    <t>NP20160310172338142444</t>
  </si>
  <si>
    <t>330741105645</t>
  </si>
  <si>
    <t>NP20160310174643121230</t>
  </si>
  <si>
    <t>xri160310173400938</t>
  </si>
  <si>
    <t>NP20160310175454991997</t>
  </si>
  <si>
    <t>330662037933</t>
  </si>
  <si>
    <t>ap_3_006</t>
  </si>
  <si>
    <t>NC20160310175844973235</t>
  </si>
  <si>
    <t>jiezl160213142606dda</t>
  </si>
  <si>
    <t>NP20160310180424015722</t>
  </si>
  <si>
    <t>wly160302120226476</t>
  </si>
  <si>
    <t>NP20160310191555805355</t>
  </si>
  <si>
    <t>qni160307162740694e98a5</t>
  </si>
  <si>
    <t>NP20160310210810449959</t>
  </si>
  <si>
    <t>zdx160227144207930</t>
  </si>
  <si>
    <t>NC20160310214009650906</t>
  </si>
  <si>
    <t>tvk160307201526560</t>
  </si>
  <si>
    <t>NC20160310214534674153</t>
  </si>
  <si>
    <t>xse160308223030238</t>
  </si>
  <si>
    <t>NP20160310214009579940</t>
  </si>
  <si>
    <t>qni160310210036902e83e3</t>
  </si>
  <si>
    <t>NP20160310230131902770</t>
  </si>
  <si>
    <t>tfh160310140258552</t>
  </si>
  <si>
    <t>p_3_018</t>
  </si>
  <si>
    <t>NP20160310232151059480</t>
  </si>
  <si>
    <t>330735274304</t>
  </si>
  <si>
    <t>bp_3_075</t>
  </si>
  <si>
    <t>NP20160310234555203125</t>
  </si>
  <si>
    <t>330741481725</t>
  </si>
  <si>
    <t>ap_3_013</t>
  </si>
  <si>
    <t>NP20160311003101634176</t>
  </si>
  <si>
    <t>xgx160311000944677</t>
  </si>
  <si>
    <t>NP20160311045537643380</t>
  </si>
  <si>
    <t>ykl160311044800752eb10c</t>
  </si>
  <si>
    <t>NP20160311072121366047</t>
  </si>
  <si>
    <t>qni160310195615524e834e</t>
  </si>
  <si>
    <t>NP20160311072508659602</t>
  </si>
  <si>
    <t>330738435471</t>
  </si>
  <si>
    <t>ap_3_078</t>
  </si>
  <si>
    <t>NC20160311084351735398</t>
  </si>
  <si>
    <t>afo160226221255084</t>
  </si>
  <si>
    <t>NP20160311084704779655</t>
  </si>
  <si>
    <t>201512281740021374</t>
  </si>
  <si>
    <t>fp_3_060</t>
  </si>
  <si>
    <t>NP20160311091003579606</t>
  </si>
  <si>
    <t>yiz160113135936907e67a6</t>
  </si>
  <si>
    <t>NP20160311091834573019</t>
  </si>
  <si>
    <t>lwi160203235422372ea1f0</t>
  </si>
  <si>
    <t>NC20160311092402327145</t>
  </si>
  <si>
    <t>qni160216095909561e9261</t>
  </si>
  <si>
    <t>NP20160311094428713540</t>
  </si>
  <si>
    <t>qni151118221646496e7729</t>
  </si>
  <si>
    <t>NP20160311095807950418</t>
  </si>
  <si>
    <t>330742149491</t>
  </si>
  <si>
    <t>bp_3_054</t>
  </si>
  <si>
    <t>NP20160311100526427467</t>
  </si>
  <si>
    <t>mhw160124134136896</t>
  </si>
  <si>
    <t>NP20160311101440620678</t>
  </si>
  <si>
    <t>ptk160311100033854eb1f1</t>
  </si>
  <si>
    <t>NP20160311102219035037</t>
  </si>
  <si>
    <t>330742238632</t>
  </si>
  <si>
    <t>NP20160311103158808788</t>
  </si>
  <si>
    <t>qni160309211451900ea1b8</t>
  </si>
  <si>
    <t>NP20160311103436675819</t>
  </si>
  <si>
    <t>qni160125183757660ea09d</t>
  </si>
  <si>
    <t>NP20160311105737140452</t>
  </si>
  <si>
    <t>lyz160311101109338e7217</t>
  </si>
  <si>
    <t>NP20160311110335430514</t>
  </si>
  <si>
    <t>qqpww160308154005b30</t>
  </si>
  <si>
    <t>NP20160311110531473778</t>
  </si>
  <si>
    <t>xgx160303095546760</t>
  </si>
  <si>
    <t>NP20160311114349658464</t>
  </si>
  <si>
    <t>xfr160311112715739e92dc</t>
  </si>
  <si>
    <t>NP20160311114844211136</t>
  </si>
  <si>
    <t>330742515453</t>
  </si>
  <si>
    <t>NP20160311120047316975</t>
  </si>
  <si>
    <t>khl160310152433124</t>
  </si>
  <si>
    <t>NP20160311122317715961</t>
  </si>
  <si>
    <t>zdh160311103900670</t>
  </si>
  <si>
    <t>NP20160311123600676414</t>
  </si>
  <si>
    <t>qgpww1603101048308ed</t>
  </si>
  <si>
    <t>tp_3_063</t>
  </si>
  <si>
    <t>NP20160311124851120092</t>
  </si>
  <si>
    <t>cxf160302113757594</t>
  </si>
  <si>
    <t>NC20160311130854424861</t>
  </si>
  <si>
    <t>qni160310220555454eb477</t>
  </si>
  <si>
    <t>NP20160311130207272294</t>
  </si>
  <si>
    <t>xyx160308181259192</t>
  </si>
  <si>
    <t>NC20160311132542654818</t>
  </si>
  <si>
    <t>kls160222111841692</t>
  </si>
  <si>
    <t>NP20160311132810210912</t>
  </si>
  <si>
    <t>cqtcw1602180958582e2</t>
  </si>
  <si>
    <t>tp_3_043</t>
  </si>
  <si>
    <t>NP20160311135042061431</t>
  </si>
  <si>
    <t>qgpww160227132247d6d</t>
  </si>
  <si>
    <t>NP20160311140401529667</t>
  </si>
  <si>
    <t>qni160311124828227e93a3</t>
  </si>
  <si>
    <t>NP20160311141656971729</t>
  </si>
  <si>
    <t>30220160216001296601</t>
  </si>
  <si>
    <t>fp_3_113</t>
  </si>
  <si>
    <t>NP20160311145314119238</t>
  </si>
  <si>
    <t>wxw160311115055124</t>
  </si>
  <si>
    <t>NP20160311150615149077</t>
  </si>
  <si>
    <t>qgpww1603091455523d0</t>
  </si>
  <si>
    <t>NP20160311151426800131</t>
  </si>
  <si>
    <t>qni160101171551499eb428</t>
  </si>
  <si>
    <t>ip_3_013</t>
  </si>
  <si>
    <t>NP20160311151454679720</t>
  </si>
  <si>
    <t>afo160306124159159</t>
  </si>
  <si>
    <t>NC20160311152133351663</t>
  </si>
  <si>
    <t>sdslw1603111446261f2</t>
  </si>
  <si>
    <t>NP20160311151401978154</t>
  </si>
  <si>
    <t>afa160226110926880</t>
  </si>
  <si>
    <t>NP20160311152520530559</t>
  </si>
  <si>
    <t>330730346576</t>
  </si>
  <si>
    <t>NP20160311153637929656</t>
  </si>
  <si>
    <t>yhx160215112004269</t>
  </si>
  <si>
    <t>NP20160311154104656294</t>
  </si>
  <si>
    <t>haf151211214836398</t>
  </si>
  <si>
    <t>NP20160311160026016989</t>
  </si>
  <si>
    <t>lxf160311134332119</t>
  </si>
  <si>
    <t>NP20160311161728519759</t>
  </si>
  <si>
    <t>tieyo16031116070394c</t>
  </si>
  <si>
    <t>tp_3_038</t>
  </si>
  <si>
    <t>NP20160311162639981767</t>
  </si>
  <si>
    <t>xyz160301134517681</t>
  </si>
  <si>
    <t>NP20160311164118386122</t>
  </si>
  <si>
    <t>xgx160311091441706</t>
  </si>
  <si>
    <t>NP20160311165320428208</t>
  </si>
  <si>
    <t>hdi160305104249824e4681</t>
  </si>
  <si>
    <t>NP20160311173547768644</t>
  </si>
  <si>
    <t>flh160311172052212</t>
  </si>
  <si>
    <t>NP20160311174342364501</t>
  </si>
  <si>
    <t>byx160311115703327</t>
  </si>
  <si>
    <t>NP20160311173757651728</t>
  </si>
  <si>
    <t>xje160310205755835</t>
  </si>
  <si>
    <t>NP20160311174742253569</t>
  </si>
  <si>
    <t>bsc160309181602182</t>
  </si>
  <si>
    <t>NP20160311174629094387</t>
  </si>
  <si>
    <t>wdh151229085855215</t>
  </si>
  <si>
    <t>NP20160311174248836637</t>
  </si>
  <si>
    <t>cpb160308103222553e6eef</t>
  </si>
  <si>
    <t>NC20160311175814983249</t>
  </si>
  <si>
    <t>feu160304175249284</t>
  </si>
  <si>
    <t>NC20160311180757176202</t>
  </si>
  <si>
    <t>hak160310212408990eb416</t>
  </si>
  <si>
    <t>ip_3_015</t>
  </si>
  <si>
    <t>NP20160311180449190732</t>
  </si>
  <si>
    <t>wyh160310194043197</t>
  </si>
  <si>
    <t>NP20160311174649784411</t>
  </si>
  <si>
    <t>sjb160304152046350</t>
  </si>
  <si>
    <t>NP20160311180341903064</t>
  </si>
  <si>
    <t>cpb160224085620955e436e</t>
  </si>
  <si>
    <t>NP20160311180453715765</t>
  </si>
  <si>
    <t>cfs160225182545350</t>
  </si>
  <si>
    <t>NP20160311181230005476</t>
  </si>
  <si>
    <t>wmc160222110049491e727c</t>
  </si>
  <si>
    <t>NP20160311182621912127</t>
  </si>
  <si>
    <t>xsf160310143542097</t>
  </si>
  <si>
    <t>NP20160311183005948948</t>
  </si>
  <si>
    <t>mdf160225075223732e447d</t>
  </si>
  <si>
    <t>NP20160311183239744419</t>
  </si>
  <si>
    <t>fna160201230645294</t>
  </si>
  <si>
    <t>NP20160311185641340224</t>
  </si>
  <si>
    <t>mhw160311184035618</t>
  </si>
  <si>
    <t>NP20160311185723844030</t>
  </si>
  <si>
    <t>xdr160311185047986</t>
  </si>
  <si>
    <t>NP20160311190416179251</t>
  </si>
  <si>
    <t>mhw160311183201178</t>
  </si>
  <si>
    <t>p_3_012</t>
  </si>
  <si>
    <t>NC20160311193025050920</t>
  </si>
  <si>
    <t>lta160220213706952e6a3a</t>
  </si>
  <si>
    <t>NP20160311193833424029</t>
  </si>
  <si>
    <t>lwi160311193428826e80f2</t>
  </si>
  <si>
    <t>NP20160311195732518707</t>
  </si>
  <si>
    <t>jld160306212752138</t>
  </si>
  <si>
    <t>NP20160311202451837318</t>
  </si>
  <si>
    <t>qni160311200841858e6114</t>
  </si>
  <si>
    <t>NP20160311203616650248</t>
  </si>
  <si>
    <t>330742888831</t>
  </si>
  <si>
    <t>bp_3_008</t>
  </si>
  <si>
    <t>NP20160311204106933172</t>
  </si>
  <si>
    <t>yyc160311202405555</t>
  </si>
  <si>
    <t>NP20160311210830013048</t>
  </si>
  <si>
    <t>xdr160308132115262</t>
  </si>
  <si>
    <t>NC20160311211535578369</t>
  </si>
  <si>
    <t>shunc160311211258278</t>
  </si>
  <si>
    <t>tp_3_017</t>
  </si>
  <si>
    <t>NP20160311211026094565</t>
  </si>
  <si>
    <t>xgx160306235325235</t>
  </si>
  <si>
    <t>NP20160311213922596090</t>
  </si>
  <si>
    <t>mmx160310225003789</t>
  </si>
  <si>
    <t>NP20160311214000011621</t>
  </si>
  <si>
    <t>hud160310145538017</t>
  </si>
  <si>
    <t>NP20160311215013033421</t>
  </si>
  <si>
    <t>qni160311214051571e51e1</t>
  </si>
  <si>
    <t>NP20160311214603465160</t>
  </si>
  <si>
    <t>czg160228143215299</t>
  </si>
  <si>
    <t>NP20160311215610897881</t>
  </si>
  <si>
    <t>qid160311211439472</t>
  </si>
  <si>
    <t>NC20160311222427371075</t>
  </si>
  <si>
    <t>qni160311131256914e8450</t>
  </si>
  <si>
    <t>NP20160311222324005737</t>
  </si>
  <si>
    <t>huj160309234710948</t>
  </si>
  <si>
    <t>NP20160311223149041982</t>
  </si>
  <si>
    <t>bvt160225094453352e4509</t>
  </si>
  <si>
    <t>NP20160311222252077216</t>
  </si>
  <si>
    <t>zaf160310204234588</t>
  </si>
  <si>
    <t>NP20160311224106334681</t>
  </si>
  <si>
    <t>GD2016031122411923</t>
  </si>
  <si>
    <t>NP20160311230926699828</t>
  </si>
  <si>
    <t>GD2016031123090960</t>
  </si>
  <si>
    <t>NP20160311231753530194</t>
  </si>
  <si>
    <t>afa160311224406819</t>
  </si>
  <si>
    <t>NP20160312011546914387</t>
  </si>
  <si>
    <t>cmb160312010126382e9349</t>
  </si>
  <si>
    <t>NP20160312013705901336</t>
  </si>
  <si>
    <t>qni160312010308358e839c</t>
  </si>
  <si>
    <t>NC20160312050647688554</t>
  </si>
  <si>
    <t>xtpww16031121511147e</t>
  </si>
  <si>
    <t>NC20160312053618934563</t>
  </si>
  <si>
    <t>362075160312</t>
  </si>
  <si>
    <t>fp_3_082</t>
  </si>
  <si>
    <t>NP20160312054939232363</t>
  </si>
  <si>
    <t>330716404805</t>
  </si>
  <si>
    <t>NP20160312054202768477</t>
  </si>
  <si>
    <t>hmf160307100145944</t>
  </si>
  <si>
    <t>NC20160312062231780025</t>
  </si>
  <si>
    <t>hshjq160311133148aba</t>
  </si>
  <si>
    <t>tp_3_044</t>
  </si>
  <si>
    <t>NC20160312065424520212</t>
  </si>
  <si>
    <t>ahs1503171817294146d1b3</t>
  </si>
  <si>
    <t>ip_3_025</t>
  </si>
  <si>
    <t>NP20160312070543749843</t>
  </si>
  <si>
    <t>bsc160310180747874</t>
  </si>
  <si>
    <t>NP20160312081844452033</t>
  </si>
  <si>
    <t>jyr160311222601445e8290</t>
  </si>
  <si>
    <t>NC20160312091329898780</t>
  </si>
  <si>
    <t>cxsww160311225848aa1</t>
  </si>
  <si>
    <t>NP20160312093846203511</t>
  </si>
  <si>
    <t>cfs160303104014043</t>
  </si>
  <si>
    <t>NP20160312094303956790</t>
  </si>
  <si>
    <t>zhl160227112658903</t>
  </si>
  <si>
    <t>NP20160312101510276667</t>
  </si>
  <si>
    <t>hmf160309150112782</t>
  </si>
  <si>
    <t>NP20160312095953314886</t>
  </si>
  <si>
    <t>330730653358</t>
  </si>
  <si>
    <t>NC20160312103333318597</t>
  </si>
  <si>
    <t>cxf160220134605798</t>
  </si>
  <si>
    <t>NP20160312102530727318</t>
  </si>
  <si>
    <t>mhw160220110827805</t>
  </si>
  <si>
    <t>NP20160312104624103624</t>
  </si>
  <si>
    <t>330732259175</t>
  </si>
  <si>
    <t>NP20160312111328754777</t>
  </si>
  <si>
    <t>yyw151126095926126</t>
  </si>
  <si>
    <t>NP20160312111742735285</t>
  </si>
  <si>
    <t>xfz160210202655557</t>
  </si>
  <si>
    <t>NP20160312112145828053</t>
  </si>
  <si>
    <t>afa160311161718200</t>
  </si>
  <si>
    <t>NP20160312113114387380</t>
  </si>
  <si>
    <t>hbo160311142911053</t>
  </si>
  <si>
    <t>NP20160312113500483324</t>
  </si>
  <si>
    <t>qni160219172027746e9008</t>
  </si>
  <si>
    <t>NP20160312113157189469</t>
  </si>
  <si>
    <t>ttz160305180944259</t>
  </si>
  <si>
    <t>NP20160312115402599799</t>
  </si>
  <si>
    <t>330734978937</t>
  </si>
  <si>
    <t>bp_3_024</t>
  </si>
  <si>
    <t>NC20160312120336455712</t>
  </si>
  <si>
    <t>wxw160312120106875</t>
  </si>
  <si>
    <t>NP20160312120348896896</t>
  </si>
  <si>
    <t>GD2016031212030798</t>
  </si>
  <si>
    <t>NP20160312121637724830</t>
  </si>
  <si>
    <t>xfr160312120313985e6544</t>
  </si>
  <si>
    <t>NP20160312123056831133</t>
  </si>
  <si>
    <t>tvk160312121109416</t>
  </si>
  <si>
    <t>NP20160312123516369978</t>
  </si>
  <si>
    <t>zyk160218170712691</t>
  </si>
  <si>
    <t>NP20160312122448285605</t>
  </si>
  <si>
    <t>qni160225105825922e9611</t>
  </si>
  <si>
    <t>NC20160312130134542555</t>
  </si>
  <si>
    <t>330743362189</t>
  </si>
  <si>
    <t>ap_3_062</t>
  </si>
  <si>
    <t>NP20160312130749223264</t>
  </si>
  <si>
    <t>xqg160203093220430</t>
  </si>
  <si>
    <t>p_3_014</t>
  </si>
  <si>
    <t>NP20160312130637569199</t>
  </si>
  <si>
    <t>jjz160310013107414ea386</t>
  </si>
  <si>
    <t>NC20160312132218774584</t>
  </si>
  <si>
    <t>qni160229221544359e7300</t>
  </si>
  <si>
    <t>NP20160312130930097058</t>
  </si>
  <si>
    <t>klf160225112741558</t>
  </si>
  <si>
    <t>NP20160312132342030444</t>
  </si>
  <si>
    <t>ibi160312014840083</t>
  </si>
  <si>
    <t>NP20160312133622371254</t>
  </si>
  <si>
    <t>qni160301142848567e8401</t>
  </si>
  <si>
    <t>ip_3_046</t>
  </si>
  <si>
    <t>NP20160312135928128037</t>
  </si>
  <si>
    <t>lyz160302183055185ea361</t>
  </si>
  <si>
    <t>ip_3_085</t>
  </si>
  <si>
    <t>NP20160312140824102246</t>
  </si>
  <si>
    <t>330738272647</t>
  </si>
  <si>
    <t>NP20160312142321146425</t>
  </si>
  <si>
    <t>xdr160311084241063</t>
  </si>
  <si>
    <t>NP20160312143822629832</t>
  </si>
  <si>
    <t>ydp160311110910348</t>
  </si>
  <si>
    <t>NP20160312144535054108</t>
  </si>
  <si>
    <t>wxw160303160543711</t>
  </si>
  <si>
    <t>NP20160312145311581457</t>
  </si>
  <si>
    <t>czc160301232801448</t>
  </si>
  <si>
    <t>NC20160312150031146321</t>
  </si>
  <si>
    <t>omo160304174650995e30bb</t>
  </si>
  <si>
    <t>NP20160312145527025661</t>
  </si>
  <si>
    <t>cxf160312134258791</t>
  </si>
  <si>
    <t>NP20160312145631072394</t>
  </si>
  <si>
    <t>xfz160303150719671</t>
  </si>
  <si>
    <t>NP20160312150318295651</t>
  </si>
  <si>
    <t>xfz160303144348298</t>
  </si>
  <si>
    <t>NP20160312153018810147</t>
  </si>
  <si>
    <t>ylb160311172949056</t>
  </si>
  <si>
    <t>NC20160312153332051900</t>
  </si>
  <si>
    <t>cxf160220001548462</t>
  </si>
  <si>
    <t>NP20160312153827035659</t>
  </si>
  <si>
    <t>qni160312153449389e5723</t>
  </si>
  <si>
    <t>NC20160312154454335378</t>
  </si>
  <si>
    <t>yro160312101157622</t>
  </si>
  <si>
    <t>NP20160312155500842778</t>
  </si>
  <si>
    <t>afo160310191855047</t>
  </si>
  <si>
    <t>NP20160312155722336565</t>
  </si>
  <si>
    <t>qni160311211308272e519d</t>
  </si>
  <si>
    <t>NP20160312155829661442</t>
  </si>
  <si>
    <t>xdr160311220522622</t>
  </si>
  <si>
    <t>NP20160312160546218040</t>
  </si>
  <si>
    <t>330743870868</t>
  </si>
  <si>
    <t>ap_3_011</t>
  </si>
  <si>
    <t>NP20160312155839976019</t>
  </si>
  <si>
    <t>sxl160306151020797ebf69</t>
  </si>
  <si>
    <t>ip_3_092</t>
  </si>
  <si>
    <t>NP20160312160626060758</t>
  </si>
  <si>
    <t>ypg160310090855509</t>
  </si>
  <si>
    <t>NC20160312162721328308</t>
  </si>
  <si>
    <t>qgpww160306091137e85</t>
  </si>
  <si>
    <t>tp_3_042</t>
  </si>
  <si>
    <t>NC20160312165100315543</t>
  </si>
  <si>
    <t>qgpww16031214251345f</t>
  </si>
  <si>
    <t>NP20160312165401053140</t>
  </si>
  <si>
    <t>ygs160217184654954</t>
  </si>
  <si>
    <t>NP20160312173158409758</t>
  </si>
  <si>
    <t>tys160312170005734</t>
  </si>
  <si>
    <t>NP20160312174354049490</t>
  </si>
  <si>
    <t>gtt160310155716632e70f1</t>
  </si>
  <si>
    <t>NP20160312180009873541</t>
  </si>
  <si>
    <t>330743294277</t>
  </si>
  <si>
    <t>NP20160312180449082786</t>
  </si>
  <si>
    <t>GD2016031218042996</t>
  </si>
  <si>
    <t>NP20160312181332066561</t>
  </si>
  <si>
    <t>ztk160101163645272</t>
  </si>
  <si>
    <t>NP20160312184642249735</t>
  </si>
  <si>
    <t>sxg160312184246415e6819</t>
  </si>
  <si>
    <t>NC20160312185120804490</t>
  </si>
  <si>
    <t>pzf160306093749892</t>
  </si>
  <si>
    <t>NP20160312184524246127</t>
  </si>
  <si>
    <t>tqa160308130147719</t>
  </si>
  <si>
    <t>NP20160312185433675850</t>
  </si>
  <si>
    <t>hmk160216220119605</t>
  </si>
  <si>
    <t>NC20160312190316075461</t>
  </si>
  <si>
    <t>shunt160312131558d9e</t>
  </si>
  <si>
    <t>NC20160312191629387682</t>
  </si>
  <si>
    <t>khl160306125733264</t>
  </si>
  <si>
    <t>NP20160312191312877595</t>
  </si>
  <si>
    <t>ztk160308224522939</t>
  </si>
  <si>
    <t>NP20160312192558097312</t>
  </si>
  <si>
    <t>sbo160312135313761e9639</t>
  </si>
  <si>
    <t>NP20160312193503513490</t>
  </si>
  <si>
    <t>mdf160312170121571e6782</t>
  </si>
  <si>
    <t>NP20160312194212552857</t>
  </si>
  <si>
    <t>ibi160305201313678</t>
  </si>
  <si>
    <t>p_3_034</t>
  </si>
  <si>
    <t>NP20160312194336283773</t>
  </si>
  <si>
    <t>xdr160312163129512</t>
  </si>
  <si>
    <t>NP20160312193452260572</t>
  </si>
  <si>
    <t>fuw160129223259981ea137</t>
  </si>
  <si>
    <t>NC20160312200913986498</t>
  </si>
  <si>
    <t>cxf160309140603012</t>
  </si>
  <si>
    <t>p_3_053</t>
  </si>
  <si>
    <t>NP20160312201330673357</t>
  </si>
  <si>
    <t>ctm150518184424669c718d</t>
  </si>
  <si>
    <t>NC20160312202736002833</t>
  </si>
  <si>
    <t>qgpww1603121909318c7</t>
  </si>
  <si>
    <t>NP20160312203350733671</t>
  </si>
  <si>
    <t>mdf160312202803056eb8d3</t>
  </si>
  <si>
    <t>NC20160312203912442893</t>
  </si>
  <si>
    <t>201603122031047C338</t>
  </si>
  <si>
    <t>fp_3_001</t>
  </si>
  <si>
    <t>NP20160312204237699360</t>
  </si>
  <si>
    <t>xgx160312203631064</t>
  </si>
  <si>
    <t>p_3_049</t>
  </si>
  <si>
    <t>NC20160312204812810771</t>
  </si>
  <si>
    <t>qxz160312082900253e8446</t>
  </si>
  <si>
    <t>NP20160312205358039859</t>
  </si>
  <si>
    <t>cxf160310124425922</t>
  </si>
  <si>
    <t>NP20160312210024136739</t>
  </si>
  <si>
    <t>qyp160312204227990</t>
  </si>
  <si>
    <t>NP20160312210255292834</t>
  </si>
  <si>
    <t>330743385765</t>
  </si>
  <si>
    <t>NP20160312210950820804</t>
  </si>
  <si>
    <t>xhp160228091334025</t>
  </si>
  <si>
    <t>NC20160312212551685259</t>
  </si>
  <si>
    <t>cfs160312205241081</t>
  </si>
  <si>
    <t>NP20160312211714491241</t>
  </si>
  <si>
    <t>qyp160306130124202</t>
  </si>
  <si>
    <t>NP20160312221904601453</t>
  </si>
  <si>
    <t>afa160312183909158</t>
  </si>
  <si>
    <t>NC20160312222504786865</t>
  </si>
  <si>
    <t>mcslw1603120725132a0</t>
  </si>
  <si>
    <t>NC20160312223027776823</t>
  </si>
  <si>
    <t>qqpww1603122208395b3</t>
  </si>
  <si>
    <t>tp_3_037</t>
  </si>
  <si>
    <t>NP20160312223218093805</t>
  </si>
  <si>
    <t>qni160312215423052ea988</t>
  </si>
  <si>
    <t>NC20160312224426646334</t>
  </si>
  <si>
    <t>qni160312201051543eb8ba</t>
  </si>
  <si>
    <t>NC20160312230343659643</t>
  </si>
  <si>
    <t>mcslw160312222246420</t>
  </si>
  <si>
    <t>NP20160312232159529696</t>
  </si>
  <si>
    <t>nbz160309203801487</t>
  </si>
  <si>
    <t>NC20160312232853032661</t>
  </si>
  <si>
    <t>qgpww16031222013762c</t>
  </si>
  <si>
    <t>NP20160312232648069555</t>
  </si>
  <si>
    <t>pch160312004023624</t>
  </si>
  <si>
    <t>NP20160312233827144548</t>
  </si>
  <si>
    <t>ysh160308003422865</t>
  </si>
  <si>
    <t>NC20160313000249897919</t>
  </si>
  <si>
    <t>wly160312231656135</t>
  </si>
  <si>
    <t>NP20160312235925844825</t>
  </si>
  <si>
    <t>sxl160312234455155e3367</t>
  </si>
  <si>
    <t>NP20160313000842355891</t>
  </si>
  <si>
    <t>GD2016031300082854</t>
  </si>
  <si>
    <t>sp_3_003</t>
  </si>
  <si>
    <t>NP20160313003351875046</t>
  </si>
  <si>
    <t>klf160313000724797</t>
  </si>
  <si>
    <t>NP20160313014320093126</t>
  </si>
  <si>
    <t>blf160312233614638e3361</t>
  </si>
  <si>
    <t>NC20160313020452539187</t>
  </si>
  <si>
    <t>xdr160310225723193</t>
  </si>
  <si>
    <t>NP20160313060902445389</t>
  </si>
  <si>
    <t>wdh160309115758085</t>
  </si>
  <si>
    <t>NP20160313062413347976</t>
  </si>
  <si>
    <t>30220160310001392722</t>
  </si>
  <si>
    <t>fp_3_016</t>
  </si>
  <si>
    <t>NP20160313062206387013</t>
  </si>
  <si>
    <t>qni160312205835773e789a</t>
  </si>
  <si>
    <t>ip_3_093</t>
  </si>
  <si>
    <t>NP20160313063627697353</t>
  </si>
  <si>
    <t>330726550482</t>
  </si>
  <si>
    <t>NP20160313065410524717</t>
  </si>
  <si>
    <t>wdh160313064130469</t>
  </si>
  <si>
    <t>NC20160313072829696780</t>
  </si>
  <si>
    <t>ram160313065431314e5b28</t>
  </si>
  <si>
    <t>NC20160313072831281157</t>
  </si>
  <si>
    <t>qgpww160313071141cf5</t>
  </si>
  <si>
    <t>NC20160313073302569415</t>
  </si>
  <si>
    <t>lvtuw1603122327467b3</t>
  </si>
  <si>
    <t>NP20160313074410683648</t>
  </si>
  <si>
    <t>khl160307203018755</t>
  </si>
  <si>
    <t>NP20160313081031296943</t>
  </si>
  <si>
    <t>yyw160312164227207</t>
  </si>
  <si>
    <t>NC20160313082800968242</t>
  </si>
  <si>
    <t>sheng160308091254bcf</t>
  </si>
  <si>
    <t>NP20160313084327057289</t>
  </si>
  <si>
    <t>jpa160312174315570</t>
  </si>
  <si>
    <t>NP20160313084508197583</t>
  </si>
  <si>
    <t>wxl160309155118806</t>
  </si>
  <si>
    <t>NT20160313085103901738</t>
  </si>
  <si>
    <t>sug160313064215345</t>
  </si>
  <si>
    <t>NC20160313091722050813</t>
  </si>
  <si>
    <t>xqg160313084135941</t>
  </si>
  <si>
    <t>NP20160313091915136119</t>
  </si>
  <si>
    <t>ypg160302095012752</t>
  </si>
  <si>
    <t>NC20160313093210972187</t>
  </si>
  <si>
    <t>xje160313091213214</t>
  </si>
  <si>
    <t>NC20160313093540043907</t>
  </si>
  <si>
    <t>330744471349</t>
  </si>
  <si>
    <t>NC20160313093639143968</t>
  </si>
  <si>
    <t>jzj160213141858857</t>
  </si>
  <si>
    <t>NP20160313093054295477</t>
  </si>
  <si>
    <t>atyhw160312203807f35</t>
  </si>
  <si>
    <t>NP20160313093856581202</t>
  </si>
  <si>
    <t>dfx160313075354039</t>
  </si>
  <si>
    <t>NC20160313094422498161</t>
  </si>
  <si>
    <t>qgpww160312214930509</t>
  </si>
  <si>
    <t>NP20160313094341800549</t>
  </si>
  <si>
    <t>cxf160313092447373</t>
  </si>
  <si>
    <t>NP20160313094613877200</t>
  </si>
  <si>
    <t>jpa160218150644976</t>
  </si>
  <si>
    <t>NP20160313100514590589</t>
  </si>
  <si>
    <t>kls160301104338962</t>
  </si>
  <si>
    <t>NP20160313102043982818</t>
  </si>
  <si>
    <t>xdd160313095553099e4b9e</t>
  </si>
  <si>
    <t>NC20160313102731730758</t>
  </si>
  <si>
    <t>yck160312132941316</t>
  </si>
  <si>
    <t>NP20160313102316438714</t>
  </si>
  <si>
    <t>szs160302193315202</t>
  </si>
  <si>
    <t>NP20160313102757740948</t>
  </si>
  <si>
    <t>jdd160312094156503</t>
  </si>
  <si>
    <t>NP20160313103211451573</t>
  </si>
  <si>
    <t>yyw160310115451785</t>
  </si>
  <si>
    <t>NP20160313104513805831</t>
  </si>
  <si>
    <t>330743751040</t>
  </si>
  <si>
    <t>NP20160313105102033771</t>
  </si>
  <si>
    <t>dzq160309195905313</t>
  </si>
  <si>
    <t>NP20160313110322385192</t>
  </si>
  <si>
    <t>330724306310</t>
  </si>
  <si>
    <t>NP20160313111103279774</t>
  </si>
  <si>
    <t>cxf160311111356910</t>
  </si>
  <si>
    <t>NP20160313111758859407</t>
  </si>
  <si>
    <t>jwl160309102921991</t>
  </si>
  <si>
    <t>NP20160313111223800341</t>
  </si>
  <si>
    <t>qni160305120459050eb747</t>
  </si>
  <si>
    <t>NC20160313112152743488</t>
  </si>
  <si>
    <t>czc160311124328348</t>
  </si>
  <si>
    <t>NC20160313112626438855</t>
  </si>
  <si>
    <t>zae160307192047497</t>
  </si>
  <si>
    <t>NP20160313111244252169</t>
  </si>
  <si>
    <t>mcslw160312140653252</t>
  </si>
  <si>
    <t>NP20160313113202190610</t>
  </si>
  <si>
    <t>hmf160312181554496</t>
  </si>
  <si>
    <t>NP20160313113035062776</t>
  </si>
  <si>
    <t>kls160312182101175</t>
  </si>
  <si>
    <t>NP20160313114030196257</t>
  </si>
  <si>
    <t>GD2016031311402758</t>
  </si>
  <si>
    <t>NP20160313114207848328</t>
  </si>
  <si>
    <t>GD2016031311423548</t>
  </si>
  <si>
    <t>NP20160313114011603876</t>
  </si>
  <si>
    <t>zyk160313112909665</t>
  </si>
  <si>
    <t>NP20160313114237496831</t>
  </si>
  <si>
    <t>xse160312203527934</t>
  </si>
  <si>
    <t>NP20160313114955126904</t>
  </si>
  <si>
    <t>hkj160313085907457</t>
  </si>
  <si>
    <t>NP20160313115355658544</t>
  </si>
  <si>
    <t>xqg160312070301919</t>
  </si>
  <si>
    <t>NP20160313115539159802</t>
  </si>
  <si>
    <t>mlb160312213405643e89b8</t>
  </si>
  <si>
    <t>NP20160313113354478723</t>
  </si>
  <si>
    <t>afk160313105544186</t>
  </si>
  <si>
    <t>NP20160313121205021602</t>
  </si>
  <si>
    <t>ytn160218133625745</t>
  </si>
  <si>
    <t>NP20160313121313830425</t>
  </si>
  <si>
    <t>yse160312174024306</t>
  </si>
  <si>
    <t>NP20160313120932143084</t>
  </si>
  <si>
    <t>ltg160307194609507</t>
  </si>
  <si>
    <t>NP20160313121602776392</t>
  </si>
  <si>
    <t>afo160216214211765</t>
  </si>
  <si>
    <t>NP20160313123120480415</t>
  </si>
  <si>
    <t>330732564556</t>
  </si>
  <si>
    <t>NP20160313123219241118</t>
  </si>
  <si>
    <t>qni160313105926706e7b8c</t>
  </si>
  <si>
    <t>NC20160313123716071377</t>
  </si>
  <si>
    <t>330734029570</t>
  </si>
  <si>
    <t>NP20160313123538426695</t>
  </si>
  <si>
    <t>nfw160313105305873</t>
  </si>
  <si>
    <t>NC20160313124110176767</t>
  </si>
  <si>
    <t>330744203585</t>
  </si>
  <si>
    <t>NP20160313124253015294</t>
  </si>
  <si>
    <t>hmy160312221024373e6971</t>
  </si>
  <si>
    <t>NP20160313124722702227</t>
  </si>
  <si>
    <t>mhw160225140930524</t>
  </si>
  <si>
    <t>NP20160313125100400437</t>
  </si>
  <si>
    <t>ysh160304095511573</t>
  </si>
  <si>
    <t>NC20160313131111308649</t>
  </si>
  <si>
    <t>nxw160306160426876</t>
  </si>
  <si>
    <t>NC20160313131506171704</t>
  </si>
  <si>
    <t>slu160303141853875e8153</t>
  </si>
  <si>
    <t>NC20160313131801280679</t>
  </si>
  <si>
    <t>ltg160313120909997</t>
  </si>
  <si>
    <t>NC20160313131821030284</t>
  </si>
  <si>
    <t>szs160312191142943</t>
  </si>
  <si>
    <t>NC20160313132115746565</t>
  </si>
  <si>
    <t>wanlx160313130357a82</t>
  </si>
  <si>
    <t>NP20160313132309468059</t>
  </si>
  <si>
    <t>qni160312132727983ea5fa</t>
  </si>
  <si>
    <t>NP20160313133115035482</t>
  </si>
  <si>
    <t>qni160229114936870e9178</t>
  </si>
  <si>
    <t>NC20160313134027093193</t>
  </si>
  <si>
    <t>mcslw1603130958289c7</t>
  </si>
  <si>
    <t>NP20160313133903145415</t>
  </si>
  <si>
    <t>xlu160303125010653</t>
  </si>
  <si>
    <t>p_3_093</t>
  </si>
  <si>
    <t>NC20160313134717388607</t>
  </si>
  <si>
    <t>330744359875</t>
  </si>
  <si>
    <t>NC20160313135846531120</t>
  </si>
  <si>
    <t>ayb160313115518689e6c2c</t>
  </si>
  <si>
    <t>NP20160313140614908525</t>
  </si>
  <si>
    <t>czc160309173655510</t>
  </si>
  <si>
    <t>NP20160313140826327001</t>
  </si>
  <si>
    <t>zdh160313135000240</t>
  </si>
  <si>
    <t>NC20160313141505189529</t>
  </si>
  <si>
    <t>ttx160313104402873ebb89</t>
  </si>
  <si>
    <t>NP20160313140506029543</t>
  </si>
  <si>
    <t>zxm160306125757891</t>
  </si>
  <si>
    <t>NP20160313141142848640</t>
  </si>
  <si>
    <t>jlh160311163319110</t>
  </si>
  <si>
    <t>NP20160313140808072912</t>
  </si>
  <si>
    <t>khl160310235330335</t>
  </si>
  <si>
    <t>NC20160313141837145163</t>
  </si>
  <si>
    <t>duanl1603131410231f7</t>
  </si>
  <si>
    <t>NP20160313142157417947</t>
  </si>
  <si>
    <t>mhw160313140310662</t>
  </si>
  <si>
    <t>NC20160313143907554950</t>
  </si>
  <si>
    <t>kuaip160313141245320</t>
  </si>
  <si>
    <t>NC20160313143959315923</t>
  </si>
  <si>
    <t>330742316404</t>
  </si>
  <si>
    <t>NP20160313144317984132</t>
  </si>
  <si>
    <t>wly160212101642903</t>
  </si>
  <si>
    <t>NP20160313144525047903</t>
  </si>
  <si>
    <t>dongf160312094517b8f</t>
  </si>
  <si>
    <t>tp_3_054</t>
  </si>
  <si>
    <t>NP20160313144518009118</t>
  </si>
  <si>
    <t>wxl160311110013804</t>
  </si>
  <si>
    <t>NP20160313144513913245</t>
  </si>
  <si>
    <t>wdc160304214008634e93d4</t>
  </si>
  <si>
    <t>NC20160313145309182403</t>
  </si>
  <si>
    <t>jay160313144841667</t>
  </si>
  <si>
    <t>NP20160313144534881895</t>
  </si>
  <si>
    <t>lff160312151521474</t>
  </si>
  <si>
    <t>NP20160313145139649322</t>
  </si>
  <si>
    <t>qid160228142943712</t>
  </si>
  <si>
    <t>NP20160313145841465725</t>
  </si>
  <si>
    <t>qni151220220825891e5188</t>
  </si>
  <si>
    <t>NP20160313145931821087</t>
  </si>
  <si>
    <t>xdr160313000411804</t>
  </si>
  <si>
    <t>NP20160313151050275729</t>
  </si>
  <si>
    <t>0040057085</t>
  </si>
  <si>
    <t>NP20160313151230872467</t>
  </si>
  <si>
    <t>330725404953</t>
  </si>
  <si>
    <t>NP20160313145419569910</t>
  </si>
  <si>
    <t>qdw160313142041211</t>
  </si>
  <si>
    <t>NP20160313151520967075</t>
  </si>
  <si>
    <t>qni160312141837426e4655</t>
  </si>
  <si>
    <t>NP20160313151831585881</t>
  </si>
  <si>
    <t>xje160313151355514</t>
  </si>
  <si>
    <t>NP20160313152257232963</t>
  </si>
  <si>
    <t>330742133261</t>
  </si>
  <si>
    <t>NP20160313152153178121</t>
  </si>
  <si>
    <t>yze160313150042676</t>
  </si>
  <si>
    <t>NP20160313152632122793</t>
  </si>
  <si>
    <t>kva160313142913347e6d2c</t>
  </si>
  <si>
    <t>NC20160313153603814226</t>
  </si>
  <si>
    <t>ysf160301220749731</t>
  </si>
  <si>
    <t>NP20160313153527596120</t>
  </si>
  <si>
    <t>czc160313071017253</t>
  </si>
  <si>
    <t>NP20160313153421559884</t>
  </si>
  <si>
    <t>wdh160313152805845</t>
  </si>
  <si>
    <t>NP20160313153255148230</t>
  </si>
  <si>
    <t>330744044508</t>
  </si>
  <si>
    <t>NP20160313154400368188</t>
  </si>
  <si>
    <t>qqpww1603131456212e2</t>
  </si>
  <si>
    <t>tp_3_048</t>
  </si>
  <si>
    <t>NP20160313153948288401</t>
  </si>
  <si>
    <t>330744999157</t>
  </si>
  <si>
    <t>NC20160313154654662328</t>
  </si>
  <si>
    <t>ibi160213123321110</t>
  </si>
  <si>
    <t>NP20160313154550713583</t>
  </si>
  <si>
    <t>qni160313115737178e8c80</t>
  </si>
  <si>
    <t>NP20160313154825412698</t>
  </si>
  <si>
    <t>shunc160218081939373</t>
  </si>
  <si>
    <t>NP20160313155231419127</t>
  </si>
  <si>
    <t>330743705802</t>
  </si>
  <si>
    <t>NC20160313160226871607</t>
  </si>
  <si>
    <t>tpr160108184754617</t>
  </si>
  <si>
    <t>NP20160313155715691304</t>
  </si>
  <si>
    <t>cxf160310003307968</t>
  </si>
  <si>
    <t>NP20160313155201288216</t>
  </si>
  <si>
    <t>xyz160215185034508</t>
  </si>
  <si>
    <t>NC20160313160521743921</t>
  </si>
  <si>
    <t>xdr160313140625931</t>
  </si>
  <si>
    <t>NC20160313160651318386</t>
  </si>
  <si>
    <t>330739703123</t>
  </si>
  <si>
    <t>NP20160313160435985713</t>
  </si>
  <si>
    <t>hshjq160208002026895</t>
  </si>
  <si>
    <t>NP20160313161303016142</t>
  </si>
  <si>
    <t>qni160307194415258e8a5c</t>
  </si>
  <si>
    <t>NP20160313161006961656</t>
  </si>
  <si>
    <t>yse160313153651882</t>
  </si>
  <si>
    <t>NC20160313162543611153</t>
  </si>
  <si>
    <t>qni160308123154243e40bd</t>
  </si>
  <si>
    <t>NP20160313162011760950</t>
  </si>
  <si>
    <t>fce160313141833179</t>
  </si>
  <si>
    <t>NC20160313162819483895</t>
  </si>
  <si>
    <t>klf160312085246481</t>
  </si>
  <si>
    <t>NP20160313162724353847</t>
  </si>
  <si>
    <t>mhw160312105355075</t>
  </si>
  <si>
    <t>NP20160313162443989238</t>
  </si>
  <si>
    <t>ylz160222140113250</t>
  </si>
  <si>
    <t>NP20160313162857366512</t>
  </si>
  <si>
    <t>330739063555</t>
  </si>
  <si>
    <t>NP20160313162424555348</t>
  </si>
  <si>
    <t>feu160313114326745</t>
  </si>
  <si>
    <t>NP20160313162717033582</t>
  </si>
  <si>
    <t>sxe160210163934828</t>
  </si>
  <si>
    <t>NP20160313163823062542</t>
  </si>
  <si>
    <t>mcslw160313162037d2a</t>
  </si>
  <si>
    <t>NC20160313164427052841</t>
  </si>
  <si>
    <t>xdr160312233104798</t>
  </si>
  <si>
    <t>NP20160313164434789450</t>
  </si>
  <si>
    <t>330744079725</t>
  </si>
  <si>
    <t>NP20160313164430008013</t>
  </si>
  <si>
    <t>ybe160313003941838e7a19</t>
  </si>
  <si>
    <t>NP20160313164735425787</t>
  </si>
  <si>
    <t>qqpww160223114618b2f</t>
  </si>
  <si>
    <t>NP20160313164734970191</t>
  </si>
  <si>
    <t>yze160313132018586</t>
  </si>
  <si>
    <t>NP20160313165200246428</t>
  </si>
  <si>
    <t>qni160312111224424eb4e0</t>
  </si>
  <si>
    <t>NP20160313165617574402</t>
  </si>
  <si>
    <t>bfb160312145808081e46ca</t>
  </si>
  <si>
    <t>NP20160313165559588797</t>
  </si>
  <si>
    <t>cxf160313162654373</t>
  </si>
  <si>
    <t>NP20160313165259002584</t>
  </si>
  <si>
    <t>zru160313094600088</t>
  </si>
  <si>
    <t>NC20160313170136934273</t>
  </si>
  <si>
    <t>qgpww160313164421e74</t>
  </si>
  <si>
    <t>NP20160313165315404209</t>
  </si>
  <si>
    <t>ayt160304224929109</t>
  </si>
  <si>
    <t>NC20160313170819159871</t>
  </si>
  <si>
    <t>dfa160302134819817ea088</t>
  </si>
  <si>
    <t>NP20160313170751787653</t>
  </si>
  <si>
    <t>fce160304225741376</t>
  </si>
  <si>
    <t>NP20160313170818039031</t>
  </si>
  <si>
    <t>fgo160304025840638e7035</t>
  </si>
  <si>
    <t>NP20160313171454102045</t>
  </si>
  <si>
    <t>330738176370</t>
  </si>
  <si>
    <t>ap_3_017</t>
  </si>
  <si>
    <t>NC20160313171836587434</t>
  </si>
  <si>
    <t>330744704295</t>
  </si>
  <si>
    <t>bp_3_017</t>
  </si>
  <si>
    <t>NC20160313171843006946</t>
  </si>
  <si>
    <t>qgpww160313171742064</t>
  </si>
  <si>
    <t>NC20160313171919619029</t>
  </si>
  <si>
    <t>yri160312172042432</t>
  </si>
  <si>
    <t>NP20160313171929609983</t>
  </si>
  <si>
    <t>mhc160313164336294e6e01</t>
  </si>
  <si>
    <t>ip_3_049</t>
  </si>
  <si>
    <t>NP20160313172607487855</t>
  </si>
  <si>
    <t>hdb160302172741643</t>
  </si>
  <si>
    <t>NP20160313173758679958</t>
  </si>
  <si>
    <t>GD2016031317375288</t>
  </si>
  <si>
    <t>NP20160313173347630747</t>
  </si>
  <si>
    <t>ler160313171747627</t>
  </si>
  <si>
    <t>NP20160313173723419027</t>
  </si>
  <si>
    <t>xdr160311100822656</t>
  </si>
  <si>
    <t>NP20160313173914827809</t>
  </si>
  <si>
    <t>zaf160313154539525</t>
  </si>
  <si>
    <t>NP20160313172608717637</t>
  </si>
  <si>
    <t>qni160313115749930e4c52</t>
  </si>
  <si>
    <t>NP20160313173730443146</t>
  </si>
  <si>
    <t>330737282705</t>
  </si>
  <si>
    <t>ap_3_001</t>
  </si>
  <si>
    <t>NC20160313174654281838</t>
  </si>
  <si>
    <t>qyp160313113951857</t>
  </si>
  <si>
    <t>p_3_084</t>
  </si>
  <si>
    <t>NP20160313174105816126</t>
  </si>
  <si>
    <t>xdr160303113546737</t>
  </si>
  <si>
    <t>NP20160313174711162905</t>
  </si>
  <si>
    <t>heu160313160147668e7d85</t>
  </si>
  <si>
    <t>NP20160313175431352719</t>
  </si>
  <si>
    <t>yyw160312144743006</t>
  </si>
  <si>
    <t>NP20160313175546527348</t>
  </si>
  <si>
    <t>klf160312085942628</t>
  </si>
  <si>
    <t>NP20160313175239656021</t>
  </si>
  <si>
    <t>ffb160313132613719e6cc5</t>
  </si>
  <si>
    <t>NP20160313180258413860</t>
  </si>
  <si>
    <t>ler160308015209582</t>
  </si>
  <si>
    <t>p_3_023</t>
  </si>
  <si>
    <t>NC20160313180519776236</t>
  </si>
  <si>
    <t>tieyo160311141935f45</t>
  </si>
  <si>
    <t>NP20160313180344828391</t>
  </si>
  <si>
    <t>czc160313083623167</t>
  </si>
  <si>
    <t>NP20160313180430737743</t>
  </si>
  <si>
    <t>xdr160313075440503</t>
  </si>
  <si>
    <t>NP20160313181019906368</t>
  </si>
  <si>
    <t>cfs160312105540533</t>
  </si>
  <si>
    <t>NC20160313181713376316</t>
  </si>
  <si>
    <t>wml160110153337304</t>
  </si>
  <si>
    <t>NP20160313181235054239</t>
  </si>
  <si>
    <t>xdr160313171448173</t>
  </si>
  <si>
    <t>NC20160313181902636213</t>
  </si>
  <si>
    <t>qni160312232744945e6a00</t>
  </si>
  <si>
    <t>NC20160313181904736290</t>
  </si>
  <si>
    <t>xgx160313173911866</t>
  </si>
  <si>
    <t>NP20160313181838401341</t>
  </si>
  <si>
    <t>sxl160310161609473e711c</t>
  </si>
  <si>
    <t>NC20160313182408434559</t>
  </si>
  <si>
    <t>330744130539</t>
  </si>
  <si>
    <t>NP20160313181559089364</t>
  </si>
  <si>
    <t>hdn160311230645954</t>
  </si>
  <si>
    <t>NC20160313182936356731</t>
  </si>
  <si>
    <t>lta16030812011949293026</t>
  </si>
  <si>
    <t>NP20160313183147469757</t>
  </si>
  <si>
    <t>xnz160312161610565eb748</t>
  </si>
  <si>
    <t>NP20160313183841965827</t>
  </si>
  <si>
    <t>ztk160217230749434</t>
  </si>
  <si>
    <t>NP20160313184021950616</t>
  </si>
  <si>
    <t>qni160313150442651e8dcf</t>
  </si>
  <si>
    <t>NC20160313184401136448</t>
  </si>
  <si>
    <t>dfx160313160511770</t>
  </si>
  <si>
    <t>NP20160313184051382430</t>
  </si>
  <si>
    <t>ypw160229092536882</t>
  </si>
  <si>
    <t>NP20160313182519582768</t>
  </si>
  <si>
    <t>GD2016031318259888</t>
  </si>
  <si>
    <t>sp_3_002</t>
  </si>
  <si>
    <t>NP20160313184356896357</t>
  </si>
  <si>
    <t>tlpwx160310123352231</t>
  </si>
  <si>
    <t>NP20160313184645668346</t>
  </si>
  <si>
    <t>qni160313182642904e4e92</t>
  </si>
  <si>
    <t>NP20160313185204899846</t>
  </si>
  <si>
    <t>czc160220222837440</t>
  </si>
  <si>
    <t>NC20160313185530979311</t>
  </si>
  <si>
    <t>330744856581</t>
  </si>
  <si>
    <t>NP20160313185620110828</t>
  </si>
  <si>
    <t>GD2016031318567851</t>
  </si>
  <si>
    <t>NP20160313184902763949</t>
  </si>
  <si>
    <t>xyp160313095057909e7b1e</t>
  </si>
  <si>
    <t>NP20160313185132379475</t>
  </si>
  <si>
    <t>hbb160312132841995ec1f1</t>
  </si>
  <si>
    <t>NP20160313190706996000</t>
  </si>
  <si>
    <t>xje160309141408263</t>
  </si>
  <si>
    <t>NC20160313191022480013</t>
  </si>
  <si>
    <t>yyw160312011517736</t>
  </si>
  <si>
    <t>NC20160313191131891434</t>
  </si>
  <si>
    <t>lvtuw160313164541f11</t>
  </si>
  <si>
    <t>NC20160313191400282058</t>
  </si>
  <si>
    <t>xdr160313154703427</t>
  </si>
  <si>
    <t>NC20160313191409955496</t>
  </si>
  <si>
    <t>201509092215519277</t>
  </si>
  <si>
    <t>fp_3_047</t>
  </si>
  <si>
    <t>NC20160313191625165904</t>
  </si>
  <si>
    <t>yqk160312230612575e799d</t>
  </si>
  <si>
    <t>ip_3_012</t>
  </si>
  <si>
    <t>NC20160313191812250623</t>
  </si>
  <si>
    <t>30220160311001393965</t>
  </si>
  <si>
    <t>NP20160313191635927882</t>
  </si>
  <si>
    <t>cxf160312001945229</t>
  </si>
  <si>
    <t>NP20160313191814806399</t>
  </si>
  <si>
    <t>qni160313184006175e5eb9</t>
  </si>
  <si>
    <t>NC20160313192142251725</t>
  </si>
  <si>
    <t>mhw160131205133193</t>
  </si>
  <si>
    <t>p_3_011</t>
  </si>
  <si>
    <t>NP20160313191637969045</t>
  </si>
  <si>
    <t>ytslw151002134746d75</t>
  </si>
  <si>
    <t>NC20160313192950079805</t>
  </si>
  <si>
    <t>zzb160226210108219</t>
  </si>
  <si>
    <t>NP20160313193244955524</t>
  </si>
  <si>
    <t>sogou1603131508256bc</t>
  </si>
  <si>
    <t>NP20160313193833640788</t>
  </si>
  <si>
    <t>fyc160312123435094</t>
  </si>
  <si>
    <t>NC20160313194148339834</t>
  </si>
  <si>
    <t>xyx160310211339931</t>
  </si>
  <si>
    <t>NC20160313194423413413</t>
  </si>
  <si>
    <t>cxpww1603131858337aa</t>
  </si>
  <si>
    <t>NC20160313194534654180</t>
  </si>
  <si>
    <t>330744530605</t>
  </si>
  <si>
    <t>NP20160313194901554184</t>
  </si>
  <si>
    <t>hak160310204106874e7398</t>
  </si>
  <si>
    <t>NP20160313194931671732</t>
  </si>
  <si>
    <t>xdr160313115126607</t>
  </si>
  <si>
    <t>NC20160313195954902916</t>
  </si>
  <si>
    <t>afo160313194353265</t>
  </si>
  <si>
    <t>NP20160313195719688602</t>
  </si>
  <si>
    <t>330741834470</t>
  </si>
  <si>
    <t>NC20160313200352212010</t>
  </si>
  <si>
    <t>tvk160313154423547</t>
  </si>
  <si>
    <t>NC20160313200756979177</t>
  </si>
  <si>
    <t>yfc160313172315749e5e52</t>
  </si>
  <si>
    <t>NC20160313200817359426</t>
  </si>
  <si>
    <t>yfc160313172033711e5e50</t>
  </si>
  <si>
    <t>NP20160313200017194140</t>
  </si>
  <si>
    <t>afa160311181819533</t>
  </si>
  <si>
    <t>NC20160313200909485063</t>
  </si>
  <si>
    <t>qgpww160313104715c46</t>
  </si>
  <si>
    <t>NC20160313201107317979</t>
  </si>
  <si>
    <t>xyx160305115124697</t>
  </si>
  <si>
    <t>NC20160313201121494960</t>
  </si>
  <si>
    <t>lvtuw16031315100740a</t>
  </si>
  <si>
    <t>NC20160313201127560550</t>
  </si>
  <si>
    <t>pma160312131402158</t>
  </si>
  <si>
    <t>NC20160313201212442798</t>
  </si>
  <si>
    <t>330744143085</t>
  </si>
  <si>
    <t>NP20160313202202568229</t>
  </si>
  <si>
    <t>330744541961</t>
  </si>
  <si>
    <t>NP20160313202030957131</t>
  </si>
  <si>
    <t>qni160313182916289e8f07</t>
  </si>
  <si>
    <t>NP20160313202120830090</t>
  </si>
  <si>
    <t>khl160311221258633</t>
  </si>
  <si>
    <t>NC20160313203039283461</t>
  </si>
  <si>
    <t>qgpww160305201342611</t>
  </si>
  <si>
    <t>NP20160313203058262308</t>
  </si>
  <si>
    <t>wyh160302141426147</t>
  </si>
  <si>
    <t>NC20160313203123935510</t>
  </si>
  <si>
    <t>30220160313001405422</t>
  </si>
  <si>
    <t>fp_3_040</t>
  </si>
  <si>
    <t>NC20160313203246285104</t>
  </si>
  <si>
    <t>hshjq160313195200b16</t>
  </si>
  <si>
    <t>NC20160313203311730096</t>
  </si>
  <si>
    <t>szs160312195119561</t>
  </si>
  <si>
    <t>NP20160313202956216147</t>
  </si>
  <si>
    <t>kls160313164709308</t>
  </si>
  <si>
    <t>NC20160313203517022390</t>
  </si>
  <si>
    <t>330744878260</t>
  </si>
  <si>
    <t>NP20160313203257020981</t>
  </si>
  <si>
    <t>mcslw16031222155661f</t>
  </si>
  <si>
    <t>tp_3_045</t>
  </si>
  <si>
    <t>NP20160313203617903299</t>
  </si>
  <si>
    <t>ltg160313202813475</t>
  </si>
  <si>
    <t>NC20160313204145625418</t>
  </si>
  <si>
    <t>yyw160313203825989</t>
  </si>
  <si>
    <t>NC20160313204204387141</t>
  </si>
  <si>
    <t>hshjq160313203141dae</t>
  </si>
  <si>
    <t>NC20160313204306827667</t>
  </si>
  <si>
    <t>lvtuw160313204008e43</t>
  </si>
  <si>
    <t>NP20160313204119294082</t>
  </si>
  <si>
    <t>cxsww160313203258d1a</t>
  </si>
  <si>
    <t>tp_3_051</t>
  </si>
  <si>
    <t>NC20160313204432472469</t>
  </si>
  <si>
    <t>qgpww16031219235875e</t>
  </si>
  <si>
    <t>NC20160313204755829244</t>
  </si>
  <si>
    <t>klu160229110943634e41c9</t>
  </si>
  <si>
    <t>NC20160313204829188156</t>
  </si>
  <si>
    <t>tlpwx1603022230498b3</t>
  </si>
  <si>
    <t>NC20160313204915620365</t>
  </si>
  <si>
    <t>qgpww160223210450ddf</t>
  </si>
  <si>
    <t>NC20160313205004690469</t>
  </si>
  <si>
    <t>yht160312033824671</t>
  </si>
  <si>
    <t>p_3_022</t>
  </si>
  <si>
    <t>NP20160313204218954356</t>
  </si>
  <si>
    <t>hfp160313192109974</t>
  </si>
  <si>
    <t>NC20160313205254356950</t>
  </si>
  <si>
    <t>cdslw160313200114af0</t>
  </si>
  <si>
    <t>NP20160313205023164396</t>
  </si>
  <si>
    <t>tav160309223258145</t>
  </si>
  <si>
    <t>NP20160313205148990282</t>
  </si>
  <si>
    <t>330724893812</t>
  </si>
  <si>
    <t>NC20160313205500973715</t>
  </si>
  <si>
    <t>hua160313161651213</t>
  </si>
  <si>
    <t>p_3_052</t>
  </si>
  <si>
    <t>NC20160313205827591657</t>
  </si>
  <si>
    <t>PIGWJN</t>
  </si>
  <si>
    <t>NC20160313205939365644</t>
  </si>
  <si>
    <t>bjt160312131259003</t>
  </si>
  <si>
    <t>NC20160313210359945789</t>
  </si>
  <si>
    <t>330653064171</t>
  </si>
  <si>
    <t>NP20160313210348710832</t>
  </si>
  <si>
    <t>dongf16020515494321b</t>
  </si>
  <si>
    <t>NC20160313210845565765</t>
  </si>
  <si>
    <t>czc160310105426284</t>
  </si>
  <si>
    <t>NC20160313211601124173</t>
  </si>
  <si>
    <t>xgx160313195633079</t>
  </si>
  <si>
    <t>NP20160313211259342142</t>
  </si>
  <si>
    <t>yjw160211164756239</t>
  </si>
  <si>
    <t>NP20160313212117577388</t>
  </si>
  <si>
    <t>cch160312231823494</t>
  </si>
  <si>
    <t>NP20160313211840559863</t>
  </si>
  <si>
    <t>zgq160313203759927ebf6e</t>
  </si>
  <si>
    <t>NP20160313212212494257</t>
  </si>
  <si>
    <t>bta160228172335248</t>
  </si>
  <si>
    <t>NC20160313212319506001</t>
  </si>
  <si>
    <t>qgpww160313094511a06</t>
  </si>
  <si>
    <t>NC20160313212415369859</t>
  </si>
  <si>
    <t>qgpww160313181953341</t>
  </si>
  <si>
    <t>NP20160313212021178016</t>
  </si>
  <si>
    <t>cxf160313210211343</t>
  </si>
  <si>
    <t>NC20160313212851381433</t>
  </si>
  <si>
    <t>dongf1603110138247e6</t>
  </si>
  <si>
    <t>NC20160313213312972149</t>
  </si>
  <si>
    <t>xgx160305105409484</t>
  </si>
  <si>
    <t>NP20160313213244815305</t>
  </si>
  <si>
    <t>sbo160311133028426e43f9</t>
  </si>
  <si>
    <t>NC20160313213409850993</t>
  </si>
  <si>
    <t>shk160313212404633</t>
  </si>
  <si>
    <t>NP20160313213105588192</t>
  </si>
  <si>
    <t>qni160312192408364e88f1</t>
  </si>
  <si>
    <t>NC20160313213648788423</t>
  </si>
  <si>
    <t>yds160311131204849</t>
  </si>
  <si>
    <t>NC20160313213847729642</t>
  </si>
  <si>
    <t>klf160306093905817</t>
  </si>
  <si>
    <t>NC20160313213907736696</t>
  </si>
  <si>
    <t>duanl16022310503033d</t>
  </si>
  <si>
    <t>NC20160313214114856898</t>
  </si>
  <si>
    <t>330744012389</t>
  </si>
  <si>
    <t>NC20160313214149516626</t>
  </si>
  <si>
    <t>cxf160313212224805</t>
  </si>
  <si>
    <t>NC20160313214211828405</t>
  </si>
  <si>
    <t>tvk160311122202263</t>
  </si>
  <si>
    <t>NC20160313214243579500</t>
  </si>
  <si>
    <t>yyw160313213619198</t>
  </si>
  <si>
    <t>NP20160313214343476767</t>
  </si>
  <si>
    <t>cxf160306220253758</t>
  </si>
  <si>
    <t>NC20160313214923769975</t>
  </si>
  <si>
    <t>pma160313203426556</t>
  </si>
  <si>
    <t>NP20160313214112637328</t>
  </si>
  <si>
    <t>hfp160306204528208</t>
  </si>
  <si>
    <t>NC20160313215002535881</t>
  </si>
  <si>
    <t>zgo160313204259597</t>
  </si>
  <si>
    <t>NC20160313215003880363</t>
  </si>
  <si>
    <t>zgo160313204727824</t>
  </si>
  <si>
    <t>NP20160313214932794969</t>
  </si>
  <si>
    <t>kuaip1601091958497b8</t>
  </si>
  <si>
    <t>NC20160313215137790877</t>
  </si>
  <si>
    <t>xgx160313001408261</t>
  </si>
  <si>
    <t>NP20160313214733586962</t>
  </si>
  <si>
    <t>ptk160313212540031e9f79</t>
  </si>
  <si>
    <t>NP20160313214633059065</t>
  </si>
  <si>
    <t>qch160313145643982</t>
  </si>
  <si>
    <t>NC20160313215422776873</t>
  </si>
  <si>
    <t>qgpww1603132143013bb</t>
  </si>
  <si>
    <t>NC20160313215526978986</t>
  </si>
  <si>
    <t>yok160313144023887</t>
  </si>
  <si>
    <t>NC20160313215544503019</t>
  </si>
  <si>
    <t>qgpww16031321464710c</t>
  </si>
  <si>
    <t>NC20160313215545811105</t>
  </si>
  <si>
    <t>xlu160311142638939</t>
  </si>
  <si>
    <t>NP20160313214821208908</t>
  </si>
  <si>
    <t>czg160309205017791</t>
  </si>
  <si>
    <t>NC20160313215726583920</t>
  </si>
  <si>
    <t>330727722375</t>
  </si>
  <si>
    <t>NP20160313215247123405</t>
  </si>
  <si>
    <t>xdh160313133804440</t>
  </si>
  <si>
    <t>NC20160313215851366806</t>
  </si>
  <si>
    <t>cxf160313214257773</t>
  </si>
  <si>
    <t>NC20160313220105313884</t>
  </si>
  <si>
    <t>hysww1603131430334aa</t>
  </si>
  <si>
    <t>NC20160313220123019072</t>
  </si>
  <si>
    <t>qni160313215804615e900c</t>
  </si>
  <si>
    <t>NC20160313220411804697</t>
  </si>
  <si>
    <t>hud160312065241685</t>
  </si>
  <si>
    <t>NC20160313220458815131</t>
  </si>
  <si>
    <t>yyw160303200428515</t>
  </si>
  <si>
    <t>NP20160313215810125565</t>
  </si>
  <si>
    <t>wdh151027214127222</t>
  </si>
  <si>
    <t>NP20160313220344312972</t>
  </si>
  <si>
    <t>330744031569</t>
  </si>
  <si>
    <t>NC20160313220610417958</t>
  </si>
  <si>
    <t>dongf1603132159472fe</t>
  </si>
  <si>
    <t>NP20160313220542621482</t>
  </si>
  <si>
    <t>mmx160313213414348</t>
  </si>
  <si>
    <t>NP20160313220311251447</t>
  </si>
  <si>
    <t>jld160313182953845</t>
  </si>
  <si>
    <t>NC20160313221042366195</t>
  </si>
  <si>
    <t>jld160313220403862</t>
  </si>
  <si>
    <t>NC20160313221628095903</t>
  </si>
  <si>
    <t>lta160313215839637eb03c</t>
  </si>
  <si>
    <t>NP20160313221335530378</t>
  </si>
  <si>
    <t>xnz160304014909053e6016</t>
  </si>
  <si>
    <t>ip_3_084</t>
  </si>
  <si>
    <t>NP20160313221640803007</t>
  </si>
  <si>
    <t>pdi160313211057989e6f96</t>
  </si>
  <si>
    <t>NC20160313222340846398</t>
  </si>
  <si>
    <t>sheng160313214035eb3</t>
  </si>
  <si>
    <t>NP20160313222524347390</t>
  </si>
  <si>
    <t>zwr160313205544718</t>
  </si>
  <si>
    <t>NC20160313222805069708</t>
  </si>
  <si>
    <t>nxw160313150427287</t>
  </si>
  <si>
    <t>NC20160313222912979188</t>
  </si>
  <si>
    <t>qgpww160313210311da4</t>
  </si>
  <si>
    <t>NP20160313205044920628</t>
  </si>
  <si>
    <t>kls160310090932891</t>
  </si>
  <si>
    <t>NC20160313223157919502</t>
  </si>
  <si>
    <t>sqz160125114530923e46d7</t>
  </si>
  <si>
    <t>NC20160313223544237019</t>
  </si>
  <si>
    <t>sheng1603132212291bb</t>
  </si>
  <si>
    <t>NP20160313223300890669</t>
  </si>
  <si>
    <t>fuw160311225256139e82ca</t>
  </si>
  <si>
    <t>NC20160313223743847102</t>
  </si>
  <si>
    <t>yze160313011042153</t>
  </si>
  <si>
    <t>NC20160313223913742170</t>
  </si>
  <si>
    <t>qni160226194435356e408f</t>
  </si>
  <si>
    <t>NP20160313223716557844</t>
  </si>
  <si>
    <t>byh160313101210461</t>
  </si>
  <si>
    <t>NC20160313224147354407</t>
  </si>
  <si>
    <t>xdr160313222941532</t>
  </si>
  <si>
    <t>NP20160313223728144134</t>
  </si>
  <si>
    <t>qni160313213454492ea079</t>
  </si>
  <si>
    <t>NC20160313224238255167</t>
  </si>
  <si>
    <t>jjz160313194058527e7ebf</t>
  </si>
  <si>
    <t>NC20160313224300714906</t>
  </si>
  <si>
    <t>cxf160313223348281</t>
  </si>
  <si>
    <t>NC20160313224442991496</t>
  </si>
  <si>
    <t>cma160129025946586e5d56</t>
  </si>
  <si>
    <t>NC20160313224637585158</t>
  </si>
  <si>
    <t>hmydt1603121119213f3</t>
  </si>
  <si>
    <t>NC20160313225042049573</t>
  </si>
  <si>
    <t>xdh160313212003537</t>
  </si>
  <si>
    <t>NP20160313224422436815</t>
  </si>
  <si>
    <t>xdh160313222544038</t>
  </si>
  <si>
    <t>NC20160313225330839991</t>
  </si>
  <si>
    <t>qgpww160304145941b89</t>
  </si>
  <si>
    <t>tp_3_039</t>
  </si>
  <si>
    <t>NC20160313225346740926</t>
  </si>
  <si>
    <t>jld160313225128420</t>
  </si>
  <si>
    <t>NC20160313225352037350</t>
  </si>
  <si>
    <t>xqc160313215000596</t>
  </si>
  <si>
    <t>NP20160313225133734029</t>
  </si>
  <si>
    <t>hxf160313223434411</t>
  </si>
  <si>
    <t>NP20160313225242965717</t>
  </si>
  <si>
    <t>qni160313221707238e6058</t>
  </si>
  <si>
    <t>NP20160313225319199824</t>
  </si>
  <si>
    <t>330723445460</t>
  </si>
  <si>
    <t>NC20160313225829346947</t>
  </si>
  <si>
    <t>djk160312200216738e8924</t>
  </si>
  <si>
    <t>NP20160313230309217634</t>
  </si>
  <si>
    <t>330744286467</t>
  </si>
  <si>
    <t>ap_3_059</t>
  </si>
  <si>
    <t>NP20160313230431652098</t>
  </si>
  <si>
    <t>tdt160313230022097</t>
  </si>
  <si>
    <t>NP20160313225923510948</t>
  </si>
  <si>
    <t>fwa160313224942912eb086</t>
  </si>
  <si>
    <t>NC20160313230843606756</t>
  </si>
  <si>
    <t>xxk160302234755543</t>
  </si>
  <si>
    <t>NP20160313231012051766</t>
  </si>
  <si>
    <t>330744618608</t>
  </si>
  <si>
    <t>ap_3_004</t>
  </si>
  <si>
    <t>NC20160313231835318027</t>
  </si>
  <si>
    <t>kuq160313231224586e60ab</t>
  </si>
  <si>
    <t>NC20160313232212071128</t>
  </si>
  <si>
    <t>qgpww16031322464259d</t>
  </si>
  <si>
    <t>NC20160313232411834400</t>
  </si>
  <si>
    <t>sji160311103237281</t>
  </si>
  <si>
    <t>NP20160313232413507936</t>
  </si>
  <si>
    <t>330744466432</t>
  </si>
  <si>
    <t>NP20160313232653988538</t>
  </si>
  <si>
    <t>330744223114</t>
  </si>
  <si>
    <t>NC20160313233559154240</t>
  </si>
  <si>
    <t>tys160313095546166</t>
  </si>
  <si>
    <t>NC20160313233629960495</t>
  </si>
  <si>
    <t>cxf160312005036944</t>
  </si>
  <si>
    <t>NC20160313233858254046</t>
  </si>
  <si>
    <t>hmydt160308202003f1c</t>
  </si>
  <si>
    <t>NC20160313234330412757</t>
  </si>
  <si>
    <t>mdf160207234111540e94f0</t>
  </si>
  <si>
    <t>NC20160313234342042566</t>
  </si>
  <si>
    <t>kuaip1603132215215ae</t>
  </si>
  <si>
    <t>NC20160313234548191736</t>
  </si>
  <si>
    <t>ltg160313151934485</t>
  </si>
  <si>
    <t>NC20160313234804990503</t>
  </si>
  <si>
    <t>mmx160313232801422</t>
  </si>
  <si>
    <t>NP20160313234632028087</t>
  </si>
  <si>
    <t>yel160313113044874eac25</t>
  </si>
  <si>
    <t>NP20160313234709085011</t>
  </si>
  <si>
    <t>kli160313231418850e50a0</t>
  </si>
  <si>
    <t>NC20160313235252083839</t>
  </si>
  <si>
    <t>330742902393</t>
  </si>
  <si>
    <t>NP20160313234810810468</t>
  </si>
  <si>
    <t>htj160313223811991</t>
  </si>
  <si>
    <t>NP20160314160145738928</t>
  </si>
  <si>
    <t>tdo160228234158977eaf6d</t>
  </si>
  <si>
    <t>NP20160319213037755196</t>
  </si>
  <si>
    <t>mdf160219231527967e8313</t>
  </si>
  <si>
    <t>NP20160403002302097801</t>
  </si>
  <si>
    <t>hmk160329100432694</t>
  </si>
  <si>
    <t>NP20160410050659506059</t>
  </si>
  <si>
    <t>xdr160409221933618</t>
  </si>
  <si>
    <t>NP20160412114542176056</t>
  </si>
  <si>
    <t>bsh160412104552051</t>
  </si>
  <si>
    <t>p_3_155</t>
  </si>
  <si>
    <t>NP20160413113506892094</t>
  </si>
  <si>
    <t>330654658677</t>
  </si>
  <si>
    <t>ap_3_043</t>
  </si>
  <si>
    <t>NP20160416141358618192</t>
  </si>
  <si>
    <t>20160220102341UO681</t>
  </si>
  <si>
    <t>NP20160501143439894203</t>
  </si>
  <si>
    <t>330793909585</t>
  </si>
  <si>
    <t>NP20160507070317195216</t>
  </si>
  <si>
    <t>yze160507065130097</t>
  </si>
  <si>
    <t>NP20160512002405361618</t>
  </si>
  <si>
    <t>xfa160512000246092e8141</t>
  </si>
  <si>
    <t>NP20160513115554811019</t>
  </si>
  <si>
    <t>nyx151207142546764</t>
  </si>
  <si>
    <t>NC20160513141154802334</t>
  </si>
  <si>
    <t>zdx160224195436243</t>
  </si>
  <si>
    <t>NP20160515151421279796</t>
  </si>
  <si>
    <t>ylo160429172144896</t>
  </si>
  <si>
    <t>NC20160531234749808670</t>
  </si>
  <si>
    <t>330823515239</t>
  </si>
  <si>
    <t>NP20160608212430979218</t>
  </si>
  <si>
    <t>huj160608174554863</t>
  </si>
  <si>
    <t>NP20160612144322934733</t>
  </si>
  <si>
    <t>330835149675</t>
  </si>
  <si>
    <t>NP20160618142525556446</t>
  </si>
  <si>
    <t>qcl160614215714928</t>
  </si>
  <si>
    <t>NP20160619115659956768</t>
  </si>
  <si>
    <t>330842608018</t>
  </si>
  <si>
    <t>NC20160619164559971334</t>
  </si>
  <si>
    <t>330789499840</t>
  </si>
  <si>
    <t>NP20160624094043129007</t>
  </si>
  <si>
    <t>qya160614170802680</t>
  </si>
  <si>
    <t>NP20160626123017682910</t>
  </si>
  <si>
    <t>ttj160626121843030</t>
  </si>
  <si>
    <t>NP20160705214056854799</t>
  </si>
  <si>
    <t>330858068306</t>
  </si>
  <si>
    <t>NP20160706091424878955</t>
  </si>
  <si>
    <t>330858791917</t>
  </si>
  <si>
    <t>bp_3_036</t>
  </si>
  <si>
    <t>NP20160706095637031153</t>
  </si>
  <si>
    <t>0052195341</t>
  </si>
  <si>
    <t>NP20160707110500006018</t>
  </si>
  <si>
    <t>xxk160621171628926</t>
  </si>
  <si>
    <t>NP20160707152617621292</t>
  </si>
  <si>
    <t>330852607735</t>
  </si>
  <si>
    <t>NP20160708154325454153</t>
  </si>
  <si>
    <t>lxm160708143644263</t>
  </si>
  <si>
    <t>NP20160712173852982337</t>
  </si>
  <si>
    <t>sbk160705121150800</t>
  </si>
  <si>
    <t>NP20160724120525224496</t>
  </si>
  <si>
    <t>330873682712</t>
  </si>
  <si>
    <t>NP20160729072530491896</t>
  </si>
  <si>
    <t>330882709691</t>
  </si>
  <si>
    <t>bp_3_045</t>
  </si>
  <si>
    <t>NP20160811094153943444</t>
  </si>
  <si>
    <t>330895688470</t>
  </si>
  <si>
    <t>NP20160811095457471573</t>
  </si>
  <si>
    <t>330895401124</t>
  </si>
  <si>
    <t>bp_3_059</t>
  </si>
  <si>
    <t>NP20160812135850555318</t>
  </si>
  <si>
    <t>zse160812135745407</t>
  </si>
  <si>
    <t>NP20160815163227238235</t>
  </si>
  <si>
    <t>ysk160814105037010e97b6</t>
  </si>
  <si>
    <t>NC20160818132155532832</t>
  </si>
  <si>
    <t>330902041099</t>
  </si>
  <si>
    <t>NP20160826194352847414</t>
  </si>
  <si>
    <t>330904789048</t>
  </si>
  <si>
    <t>NP20160827051039692957</t>
  </si>
  <si>
    <t>jqi160707225805290eb35b</t>
  </si>
  <si>
    <t>NP20160903034234673737</t>
  </si>
  <si>
    <t>330895976671</t>
  </si>
  <si>
    <t>NP20160903164959720911</t>
  </si>
  <si>
    <t>330918432230</t>
  </si>
  <si>
    <t>NP20160911120206388624</t>
  </si>
  <si>
    <t>xey160906152616714e60c0</t>
  </si>
  <si>
    <t>NP20160915213142926508</t>
  </si>
  <si>
    <t>330921703824</t>
  </si>
  <si>
    <t>NP20160920092944422594</t>
  </si>
  <si>
    <t>330934473467</t>
  </si>
  <si>
    <t>NC20160924080511851449</t>
  </si>
  <si>
    <t>330936743788</t>
  </si>
  <si>
    <t>NP20160924182559883711</t>
  </si>
  <si>
    <t>330936964277</t>
  </si>
  <si>
    <t>bp_3_067</t>
  </si>
  <si>
    <t>NP20160924182658116421</t>
  </si>
  <si>
    <t>330936999239</t>
  </si>
  <si>
    <t>NP20160925175619981792</t>
  </si>
  <si>
    <t>330939000833</t>
  </si>
  <si>
    <t>NP20160926123457433418</t>
  </si>
  <si>
    <t>330941039487</t>
  </si>
  <si>
    <t>NP20160928023843057003</t>
  </si>
  <si>
    <t>sqz160208211409055e898d</t>
  </si>
  <si>
    <t>NP20161001152320041135</t>
  </si>
  <si>
    <t>330946089597</t>
  </si>
  <si>
    <t>bp_3_005</t>
  </si>
  <si>
    <t>NP20161005190603291867</t>
  </si>
  <si>
    <t>330950040962</t>
  </si>
  <si>
    <t>bp_3_069</t>
  </si>
  <si>
    <t>NP20161006135556231367</t>
  </si>
  <si>
    <t>330950583809</t>
  </si>
  <si>
    <t>bp_3_068</t>
  </si>
  <si>
    <t>NC20161010122528258098</t>
  </si>
  <si>
    <t>330941766076</t>
  </si>
  <si>
    <t>NP20161011131500009712</t>
  </si>
  <si>
    <t>330941585937</t>
  </si>
  <si>
    <t>bp_3_052</t>
  </si>
  <si>
    <t>NP20161011190459586409</t>
  </si>
  <si>
    <t>pzf161011185929764</t>
  </si>
  <si>
    <t>NI20161014114620992349</t>
  </si>
  <si>
    <t>lfi160718184809432eb024</t>
  </si>
  <si>
    <t>ip_3_003</t>
  </si>
  <si>
    <t>NP20161014202502735360</t>
  </si>
  <si>
    <t>330959592494</t>
  </si>
  <si>
    <t>NC20161017224705828289</t>
  </si>
  <si>
    <t>330962360362</t>
  </si>
  <si>
    <t>bp_3_071</t>
  </si>
  <si>
    <t>NC20161018082837419601</t>
  </si>
  <si>
    <t>330963406563</t>
  </si>
  <si>
    <t>NC20161019130551783794</t>
  </si>
  <si>
    <t>330957373893</t>
  </si>
  <si>
    <t>NP20161019153615284428</t>
  </si>
  <si>
    <t>330911112705</t>
  </si>
  <si>
    <t>NP20161019154800279602</t>
  </si>
  <si>
    <t>330921560908</t>
  </si>
  <si>
    <t>NP20161022091056244421</t>
  </si>
  <si>
    <t>330966087230</t>
  </si>
  <si>
    <t>NP20161022152038386786</t>
  </si>
  <si>
    <t>330967514465</t>
  </si>
  <si>
    <t>NP20161022172203450073</t>
  </si>
  <si>
    <t>330967436551</t>
  </si>
  <si>
    <t>NP20161022174349633689</t>
  </si>
  <si>
    <t>xnz160908153204952e7140</t>
  </si>
  <si>
    <t>NP20161024081706137898</t>
  </si>
  <si>
    <t>330968228714</t>
  </si>
  <si>
    <t>NP20161024232613998644</t>
  </si>
  <si>
    <t>330969071301</t>
  </si>
  <si>
    <t>NP20161024232736257777</t>
  </si>
  <si>
    <t>330969174506</t>
  </si>
  <si>
    <t>NP20161025143348285936</t>
  </si>
  <si>
    <t>330965890186</t>
  </si>
  <si>
    <t>NP20161025181223762436</t>
  </si>
  <si>
    <t>330953403007</t>
  </si>
  <si>
    <t>NP20161026110346988712</t>
  </si>
  <si>
    <t>xey160906140841088eb117</t>
  </si>
  <si>
    <t>NP20161026112436743104</t>
  </si>
  <si>
    <t>xey160906141642252ec0fe</t>
  </si>
  <si>
    <t>NP20161028122412539748</t>
  </si>
  <si>
    <t>330972200635</t>
  </si>
  <si>
    <t>bp_3_039</t>
  </si>
  <si>
    <t>NP20161028132144690439</t>
  </si>
  <si>
    <t>sdc161028114123474</t>
  </si>
  <si>
    <t>NC20161028144239119202</t>
  </si>
  <si>
    <t>0059245820</t>
  </si>
  <si>
    <t>NC20161028144358519790</t>
  </si>
  <si>
    <t>0059241373</t>
  </si>
  <si>
    <t>NP20161028151200847353</t>
  </si>
  <si>
    <t>20161024135036LV445</t>
  </si>
  <si>
    <t>NC20161028220010858772</t>
  </si>
  <si>
    <t>330964923049</t>
  </si>
  <si>
    <t>NI20161029162016488183</t>
  </si>
  <si>
    <t>330961264776</t>
  </si>
  <si>
    <t>NP20161031171730808760</t>
  </si>
  <si>
    <t>330976497920</t>
  </si>
  <si>
    <t>NI20161031210033895872</t>
  </si>
  <si>
    <t>330976957579</t>
  </si>
  <si>
    <t>NP20161101203346559991</t>
  </si>
  <si>
    <t>tfa161017151448421</t>
  </si>
  <si>
    <t>NC20161103110250333322</t>
  </si>
  <si>
    <t>cpb161103102035802e675b</t>
  </si>
  <si>
    <t>NI20161103183604427083</t>
  </si>
  <si>
    <t>201611031734433K108</t>
  </si>
  <si>
    <t>NP20161104093110374285</t>
  </si>
  <si>
    <t>330878157194</t>
  </si>
  <si>
    <t>bp_3_029</t>
  </si>
  <si>
    <t>NI20161104150251633262</t>
  </si>
  <si>
    <t>201611041453239421</t>
  </si>
  <si>
    <t>NP20161108103133043724</t>
  </si>
  <si>
    <t>330943007593</t>
  </si>
  <si>
    <t>NP20161109134517406548</t>
  </si>
  <si>
    <t>330984784092</t>
  </si>
  <si>
    <t>bp_3_007</t>
  </si>
  <si>
    <t>NI20161109143048670591</t>
  </si>
  <si>
    <t>330985731358</t>
  </si>
  <si>
    <t>NI20161109170012963018</t>
  </si>
  <si>
    <t>330984845831</t>
  </si>
  <si>
    <t>NP20161110133101278151</t>
  </si>
  <si>
    <t>sub161102183528464</t>
  </si>
  <si>
    <t>NP20161110133912084204</t>
  </si>
  <si>
    <t>330974525018</t>
  </si>
  <si>
    <t>NP20161110152308627406</t>
  </si>
  <si>
    <t>330985699721</t>
  </si>
  <si>
    <t>bp_3_030</t>
  </si>
  <si>
    <t>NP20161110172152886024</t>
  </si>
  <si>
    <t>330985011793</t>
  </si>
  <si>
    <t>NP20161111072239633446</t>
  </si>
  <si>
    <t>fna161110173434157</t>
  </si>
  <si>
    <t>NI20161111080730380694</t>
  </si>
  <si>
    <t>330987946102</t>
  </si>
  <si>
    <t>bp_3_053</t>
  </si>
  <si>
    <t>NP20161113082546783552</t>
  </si>
  <si>
    <t>wan161103091020197</t>
  </si>
  <si>
    <t>NP20161113082955317807</t>
  </si>
  <si>
    <t>330914408217</t>
  </si>
  <si>
    <t>NP20161114094946377838</t>
  </si>
  <si>
    <t>330990278755</t>
  </si>
  <si>
    <t>NI20161114111146711501</t>
  </si>
  <si>
    <t>330941034380</t>
  </si>
  <si>
    <t>NP20161114153824723303</t>
  </si>
  <si>
    <t>16111415211759699bx</t>
  </si>
  <si>
    <t>NP20161114180026521888</t>
  </si>
  <si>
    <t>pma161113011832890</t>
  </si>
  <si>
    <t>NP20161114191745442528</t>
  </si>
  <si>
    <t>20161101153907UO974</t>
  </si>
  <si>
    <t>fp_3_006</t>
  </si>
  <si>
    <t>NP20161115091121104320</t>
  </si>
  <si>
    <t>330966675187</t>
  </si>
  <si>
    <t>NP20161115111257941106</t>
  </si>
  <si>
    <t>330983041039</t>
  </si>
  <si>
    <t>NP20161115152328006249</t>
  </si>
  <si>
    <t>330991207938</t>
  </si>
  <si>
    <t>NP20161116124037938753</t>
  </si>
  <si>
    <t>qni161113143945363e6d15</t>
  </si>
  <si>
    <t>NP20161117013737081446</t>
  </si>
  <si>
    <t>330993252529</t>
  </si>
  <si>
    <t>NP20161117205819629950</t>
  </si>
  <si>
    <t>jah161117202736682</t>
  </si>
  <si>
    <t>NP20161118100829243406</t>
  </si>
  <si>
    <t>330915388950</t>
  </si>
  <si>
    <t>NC20161119130329525202</t>
  </si>
  <si>
    <t>hbm161115162706044</t>
  </si>
  <si>
    <t>NP20161119233908193281</t>
  </si>
  <si>
    <t>330995736553</t>
  </si>
  <si>
    <t>NP20161120060814671680</t>
  </si>
  <si>
    <t>201611171700337831</t>
  </si>
  <si>
    <t>NP20161120095013505430</t>
  </si>
  <si>
    <t>330996015785</t>
  </si>
  <si>
    <t>bp_3_037</t>
  </si>
  <si>
    <t>NP20161120153438358184</t>
  </si>
  <si>
    <t>xeb160602104825912e5919</t>
  </si>
  <si>
    <t>NP20161121084943568047</t>
  </si>
  <si>
    <t>330997278340</t>
  </si>
  <si>
    <t>NP20161121113903407692</t>
  </si>
  <si>
    <t>330994702508</t>
  </si>
  <si>
    <t>NP20161121214628309766</t>
  </si>
  <si>
    <t>330997800684</t>
  </si>
  <si>
    <t>NP20161122124621955887</t>
  </si>
  <si>
    <t>330991282356</t>
  </si>
  <si>
    <t>NP20161122172409060580</t>
  </si>
  <si>
    <t>xep161116195512797</t>
  </si>
  <si>
    <t>NP20161123115730370493</t>
  </si>
  <si>
    <t>161105211610eaf8cfx</t>
  </si>
  <si>
    <t>NP20161123124700831594</t>
  </si>
  <si>
    <t>1611141801332fa65ex</t>
  </si>
  <si>
    <t>NP20161123130038239026</t>
  </si>
  <si>
    <t>161116225154218307x</t>
  </si>
  <si>
    <t>fp_3_025</t>
  </si>
  <si>
    <t>NI20161123131806320275</t>
  </si>
  <si>
    <t>330975514646</t>
  </si>
  <si>
    <t>NP20161123143848696754</t>
  </si>
  <si>
    <t>qni160324153713839ea5af</t>
  </si>
  <si>
    <t>ip_3_018</t>
  </si>
  <si>
    <t>NP20161123202214954071</t>
  </si>
  <si>
    <t>330983396468</t>
  </si>
  <si>
    <t>NP20161124071257241890</t>
  </si>
  <si>
    <t>330997415360</t>
  </si>
  <si>
    <t>NP20161124082520290784</t>
  </si>
  <si>
    <t>330999701109</t>
  </si>
  <si>
    <t>NP20161124111022889956</t>
  </si>
  <si>
    <t>330984727289</t>
  </si>
  <si>
    <t>NP20161124155518777278</t>
  </si>
  <si>
    <t>330991420744</t>
  </si>
  <si>
    <t>NI20161125092148159674</t>
  </si>
  <si>
    <t>331001896757</t>
  </si>
  <si>
    <t>NP20161125112746938143</t>
  </si>
  <si>
    <t>330992158590</t>
  </si>
  <si>
    <t>NP20161125153405430813</t>
  </si>
  <si>
    <t>331001514577</t>
  </si>
  <si>
    <t>NI20161125154057415219</t>
  </si>
  <si>
    <t>ppg161125153114252</t>
  </si>
  <si>
    <t>NI20161126085021078011</t>
  </si>
  <si>
    <t>331002570648</t>
  </si>
  <si>
    <t>NP20161126212722523437</t>
  </si>
  <si>
    <t>330997843137</t>
  </si>
  <si>
    <t>NP20161126223358960060</t>
  </si>
  <si>
    <t>330971019849</t>
  </si>
  <si>
    <t>NP20161127101309970226</t>
  </si>
  <si>
    <t>330986728718</t>
  </si>
  <si>
    <t>NP20161127120403508298</t>
  </si>
  <si>
    <t>330988202204</t>
  </si>
  <si>
    <t>NP20161127120731236910</t>
  </si>
  <si>
    <t>330988219396</t>
  </si>
  <si>
    <t>NP20161127120827441147</t>
  </si>
  <si>
    <t>330988360159</t>
  </si>
  <si>
    <t>NP20161127120954960927</t>
  </si>
  <si>
    <t>330988004987</t>
  </si>
  <si>
    <t>NI20161127134813173371</t>
  </si>
  <si>
    <t>330999335873</t>
  </si>
  <si>
    <t>NP20161127202643512688</t>
  </si>
  <si>
    <t>tyx161127194012432</t>
  </si>
  <si>
    <t>NP20161128144012971299</t>
  </si>
  <si>
    <t>doa161127102438236</t>
  </si>
  <si>
    <t>NP20161128150527555586</t>
  </si>
  <si>
    <t>331002372640</t>
  </si>
  <si>
    <t>NP20161128153504903575</t>
  </si>
  <si>
    <t>330983599940</t>
  </si>
  <si>
    <t>NP20161128172814103808</t>
  </si>
  <si>
    <t>331002604777</t>
  </si>
  <si>
    <t>NP20161128172905432146</t>
  </si>
  <si>
    <t>331002414880</t>
  </si>
  <si>
    <t>NP20161128185210670906</t>
  </si>
  <si>
    <t>20161126153244TF095</t>
  </si>
  <si>
    <t>NI20161129183509752513</t>
  </si>
  <si>
    <t>ysh161122195558822</t>
  </si>
  <si>
    <t>NP20161130105021484588</t>
  </si>
  <si>
    <t>xep161125140154572</t>
  </si>
  <si>
    <t>NP20161201083247884222</t>
  </si>
  <si>
    <t>331007906250</t>
  </si>
  <si>
    <t>bp_3_062</t>
  </si>
  <si>
    <t>NP20161201104458200955</t>
  </si>
  <si>
    <t>331007775853</t>
  </si>
  <si>
    <t>NP20161201111049642693</t>
  </si>
  <si>
    <t>331006966725</t>
  </si>
  <si>
    <t>NP20161201134028217174</t>
  </si>
  <si>
    <t>331007417991</t>
  </si>
  <si>
    <t>NP20161202085915557685</t>
  </si>
  <si>
    <t>xep161128154341001</t>
  </si>
  <si>
    <t>NC20161202115327241775</t>
  </si>
  <si>
    <t>331000951578</t>
  </si>
  <si>
    <t>NP20161202132442361749</t>
  </si>
  <si>
    <t>331007839297</t>
  </si>
  <si>
    <t>NP20161202210229195017</t>
  </si>
  <si>
    <t>xep161202203249306</t>
  </si>
  <si>
    <t>NP20161203224833937679</t>
  </si>
  <si>
    <t>ghc161125132310767</t>
  </si>
  <si>
    <t>NP20161204093417955883</t>
  </si>
  <si>
    <t>xep161203224620736</t>
  </si>
  <si>
    <t>NP20161204095200251684</t>
  </si>
  <si>
    <t>331009991237</t>
  </si>
  <si>
    <t>NP20161204134204488705</t>
  </si>
  <si>
    <t>331010027484</t>
  </si>
  <si>
    <t>NP20161204172023721740</t>
  </si>
  <si>
    <t>330986085179</t>
  </si>
  <si>
    <t>NP20161204221323691376</t>
  </si>
  <si>
    <t>331010906280</t>
  </si>
  <si>
    <t>NP20161204235905842467</t>
  </si>
  <si>
    <t>fyr161204231209003</t>
  </si>
  <si>
    <t>NP20161205104852457918</t>
  </si>
  <si>
    <t>20161205104027KE858</t>
  </si>
  <si>
    <t>NP20161205132007846285</t>
  </si>
  <si>
    <t>331009145053</t>
  </si>
  <si>
    <t>NI20161205182605373797</t>
  </si>
  <si>
    <t>331010224534</t>
  </si>
  <si>
    <t>NP20161206110527551842</t>
  </si>
  <si>
    <t>fna161114122944962</t>
  </si>
  <si>
    <t>NI20161206141137853468</t>
  </si>
  <si>
    <t>51161124167732</t>
  </si>
  <si>
    <t>fp_3_107</t>
  </si>
  <si>
    <t>NC20161206203706598106</t>
  </si>
  <si>
    <t>331012202918</t>
  </si>
  <si>
    <t>NP20161207121508524269</t>
  </si>
  <si>
    <t>331012487144</t>
  </si>
  <si>
    <t>NP20161207123502583843</t>
  </si>
  <si>
    <t>xep161022081214801</t>
  </si>
  <si>
    <t>NP20161207174036896960</t>
  </si>
  <si>
    <t>fna161109182359133</t>
  </si>
  <si>
    <t>NP20161208114405403723</t>
  </si>
  <si>
    <t>tyx161206082725649</t>
  </si>
  <si>
    <t>NI20161208175853738314</t>
  </si>
  <si>
    <t>330890449195</t>
  </si>
  <si>
    <t>NP20161208224723319396</t>
  </si>
  <si>
    <t>331014544935</t>
  </si>
  <si>
    <t>NP20161208233233101129</t>
  </si>
  <si>
    <t>yau161118171618266</t>
  </si>
  <si>
    <t>NI20161209002403587009</t>
  </si>
  <si>
    <t>331015118540</t>
  </si>
  <si>
    <t>NC20161209073444084408</t>
  </si>
  <si>
    <t>330964684470</t>
  </si>
  <si>
    <t>NP20161209082744956973</t>
  </si>
  <si>
    <t>330936455423</t>
  </si>
  <si>
    <t>NP20161209130204965828</t>
  </si>
  <si>
    <t>qyp161202101315328</t>
  </si>
  <si>
    <t>NI20161209165023315433</t>
  </si>
  <si>
    <t>331013292680</t>
  </si>
  <si>
    <t>NP20161209223417886719</t>
  </si>
  <si>
    <t>fyr161209085155245</t>
  </si>
  <si>
    <t>NP20161210063453344833</t>
  </si>
  <si>
    <t>331016715761</t>
  </si>
  <si>
    <t>NI20161210114414214134</t>
  </si>
  <si>
    <t>ghc161108095601441</t>
  </si>
  <si>
    <t>NI20161210142326587151</t>
  </si>
  <si>
    <t>331005924123</t>
  </si>
  <si>
    <t>NP20161210154533932140</t>
  </si>
  <si>
    <t>330998722769</t>
  </si>
  <si>
    <t>NP20161210164814236979</t>
  </si>
  <si>
    <t>331016250977</t>
  </si>
  <si>
    <t>NP20161211162159299257</t>
  </si>
  <si>
    <t>331011816843</t>
  </si>
  <si>
    <t>NP20161211203716519704</t>
  </si>
  <si>
    <t>331007810048</t>
  </si>
  <si>
    <t>NP20161212154229785833</t>
  </si>
  <si>
    <t>330926189075</t>
  </si>
  <si>
    <t>NP20161212191226522562</t>
  </si>
  <si>
    <t>330956471653</t>
  </si>
  <si>
    <t>NP20161213151015079779</t>
  </si>
  <si>
    <t>xuy161213144619706</t>
  </si>
  <si>
    <t>NI20161213180959183024</t>
  </si>
  <si>
    <t>331016467405</t>
  </si>
  <si>
    <t>NP20161213192750972031</t>
  </si>
  <si>
    <t>330964069780</t>
  </si>
  <si>
    <t>NP20161213211848435880</t>
  </si>
  <si>
    <t>dzq161210000843201</t>
  </si>
  <si>
    <t>NP20161213213043553928</t>
  </si>
  <si>
    <t>lwi160727232556668e6795</t>
  </si>
  <si>
    <t>NC20161214013002397073</t>
  </si>
  <si>
    <t>xep161213224817778</t>
  </si>
  <si>
    <t>NP20161214100015618587</t>
  </si>
  <si>
    <t>pzf161214094319320</t>
  </si>
  <si>
    <t>NP20161214104628477012</t>
  </si>
  <si>
    <t>xep161203182631940</t>
  </si>
  <si>
    <t>NI20161214105827716679</t>
  </si>
  <si>
    <t>330955977032</t>
  </si>
  <si>
    <t>NI20161214110304794501</t>
  </si>
  <si>
    <t>xep161024125106179</t>
  </si>
  <si>
    <t>NP20161214120410034163</t>
  </si>
  <si>
    <t>sub161213201718825</t>
  </si>
  <si>
    <t>NP20161214141538739692</t>
  </si>
  <si>
    <t>joy161104095807431</t>
  </si>
  <si>
    <t>NI20161214145709032838</t>
  </si>
  <si>
    <t>hiy161209170833463</t>
  </si>
  <si>
    <t>p_3_123</t>
  </si>
  <si>
    <t>NI20161215063820877317</t>
  </si>
  <si>
    <t>ayt161213112419901</t>
  </si>
  <si>
    <t>NP20161215101828902439</t>
  </si>
  <si>
    <t>xep161215101526096</t>
  </si>
  <si>
    <t>NP20161215105749682034</t>
  </si>
  <si>
    <t>mir161215100137458</t>
  </si>
  <si>
    <t>NP20161215121307435593</t>
  </si>
  <si>
    <t>331012831608</t>
  </si>
  <si>
    <t>NP20161215132042125516</t>
  </si>
  <si>
    <t>331021725162</t>
  </si>
  <si>
    <t>NP20161215150626690837</t>
  </si>
  <si>
    <t>joy161106131305038</t>
  </si>
  <si>
    <t>NP20161215150730083499</t>
  </si>
  <si>
    <t>dzq161123175240544</t>
  </si>
  <si>
    <t>NP20161215152347968434</t>
  </si>
  <si>
    <t>20161215143551TR031</t>
  </si>
  <si>
    <t>NP20161215185753325252</t>
  </si>
  <si>
    <t>xep161215185410448</t>
  </si>
  <si>
    <t>NP20161215201842953080</t>
  </si>
  <si>
    <t>331021344777</t>
  </si>
  <si>
    <t>NP20161215221755882647</t>
  </si>
  <si>
    <t>xep161215213646228</t>
  </si>
  <si>
    <t>p_3_154</t>
  </si>
  <si>
    <t>NI20161216065234414668</t>
  </si>
  <si>
    <t>330986158883</t>
  </si>
  <si>
    <t>NP20161216112750900595</t>
  </si>
  <si>
    <t>331022905970</t>
  </si>
  <si>
    <t>NP20161216131155424484</t>
  </si>
  <si>
    <t>331021648339</t>
  </si>
  <si>
    <t>NI20161216134932449861</t>
  </si>
  <si>
    <t>330971205596</t>
  </si>
  <si>
    <t>bp_3_063</t>
  </si>
  <si>
    <t>NI20161216142113512419</t>
  </si>
  <si>
    <t>330996653593</t>
  </si>
  <si>
    <t>NP20161216141835589059</t>
  </si>
  <si>
    <t>331013871307</t>
  </si>
  <si>
    <t>NP20161216150039132780</t>
  </si>
  <si>
    <t>20161209133906TF204</t>
  </si>
  <si>
    <t>fp_3_050</t>
  </si>
  <si>
    <t>NI20161216174217632125</t>
  </si>
  <si>
    <t>331019829839</t>
  </si>
  <si>
    <t>NC20161216215002890032</t>
  </si>
  <si>
    <t>330964210342</t>
  </si>
  <si>
    <t>NP20161217190104637387</t>
  </si>
  <si>
    <t>rnf161217184828632</t>
  </si>
  <si>
    <t>NI20161217222828574888</t>
  </si>
  <si>
    <t>330950341824</t>
  </si>
  <si>
    <t>NP20161218093827386519</t>
  </si>
  <si>
    <t>pzf161218085059470</t>
  </si>
  <si>
    <t>NP20161218154414025011</t>
  </si>
  <si>
    <t>xep161207180718346</t>
  </si>
  <si>
    <t>NP20161218183511182767</t>
  </si>
  <si>
    <t>330995374313</t>
  </si>
  <si>
    <t>NP20161219095501221561</t>
  </si>
  <si>
    <t>yyw161204133147795</t>
  </si>
  <si>
    <t>p_3_142</t>
  </si>
  <si>
    <t>NT20161219125039516251</t>
  </si>
  <si>
    <t>lff161219093634061</t>
  </si>
  <si>
    <t>NP20161219130153997037</t>
  </si>
  <si>
    <t>331014111528</t>
  </si>
  <si>
    <t>NP20161219143815241733</t>
  </si>
  <si>
    <t>331020545640</t>
  </si>
  <si>
    <t>NP20161219150255537760</t>
  </si>
  <si>
    <t>xep161121184458098</t>
  </si>
  <si>
    <t>NP20161219213002170147</t>
  </si>
  <si>
    <t>ghc161209234618166</t>
  </si>
  <si>
    <t>NC20161219220721113621</t>
  </si>
  <si>
    <t>331025902399</t>
  </si>
  <si>
    <t>NP20161220100709652088</t>
  </si>
  <si>
    <t>0061727572</t>
  </si>
  <si>
    <t>NP20161220102223236092</t>
  </si>
  <si>
    <t>330989376487</t>
  </si>
  <si>
    <t>NC20161220114939097171</t>
  </si>
  <si>
    <t>shz161219104155276</t>
  </si>
  <si>
    <t>NP20161220153852859434</t>
  </si>
  <si>
    <t>160617202034d8c192x</t>
  </si>
  <si>
    <t>NP20161220160522981683</t>
  </si>
  <si>
    <t>331025799200</t>
  </si>
  <si>
    <t>NP20161220161546566064</t>
  </si>
  <si>
    <t>331017344049</t>
  </si>
  <si>
    <t>NP20161220174730324933</t>
  </si>
  <si>
    <t>331022789348</t>
  </si>
  <si>
    <t>NP20161220175154478768</t>
  </si>
  <si>
    <t>331026989960</t>
  </si>
  <si>
    <t>NP20161220213002582201</t>
  </si>
  <si>
    <t>hiy161220212443089</t>
  </si>
  <si>
    <t>NP20161221142458342599</t>
  </si>
  <si>
    <t>330947207803</t>
  </si>
  <si>
    <t>NP20161221162659187202</t>
  </si>
  <si>
    <t>yxq161215151548892</t>
  </si>
  <si>
    <t>NP20161221190426880834</t>
  </si>
  <si>
    <t>xep161209233755702</t>
  </si>
  <si>
    <t>NI20161222124347890632</t>
  </si>
  <si>
    <t>331021212664</t>
  </si>
  <si>
    <t>NP20161222130110657666</t>
  </si>
  <si>
    <t>xep161216100827257</t>
  </si>
  <si>
    <t>NI20161222133803055442</t>
  </si>
  <si>
    <t>ghc161111023237148</t>
  </si>
  <si>
    <t>NP20161222135417300533</t>
  </si>
  <si>
    <t>liy161222134023410</t>
  </si>
  <si>
    <t>NP20161222152235783771</t>
  </si>
  <si>
    <t>cyo161212223606912</t>
  </si>
  <si>
    <t>NP20161222152431633579</t>
  </si>
  <si>
    <t>331026462682</t>
  </si>
  <si>
    <t>NP20161222202601736292</t>
  </si>
  <si>
    <t>jxp161222200440687</t>
  </si>
  <si>
    <t>p_3_122</t>
  </si>
  <si>
    <t>NP20161222203611233590</t>
  </si>
  <si>
    <t>331002699065</t>
  </si>
  <si>
    <t>NP20161223095303234998</t>
  </si>
  <si>
    <t>xuy161223081340431</t>
  </si>
  <si>
    <t>NI20161223105421477938</t>
  </si>
  <si>
    <t>331025002399</t>
  </si>
  <si>
    <t>NP20161223133137446067</t>
  </si>
  <si>
    <t>xtw161223114255566</t>
  </si>
  <si>
    <t>NI20161223155559946422</t>
  </si>
  <si>
    <t>fyr161128142412413</t>
  </si>
  <si>
    <t>NP20161223160528758808</t>
  </si>
  <si>
    <t>331028071119</t>
  </si>
  <si>
    <t>NI20161223161233895440</t>
  </si>
  <si>
    <t>331029707028</t>
  </si>
  <si>
    <t>NI20161223172727631484</t>
  </si>
  <si>
    <t>ghc161222141146680</t>
  </si>
  <si>
    <t>NP20161223191208708690</t>
  </si>
  <si>
    <t>331029426642</t>
  </si>
  <si>
    <t>NP20161223223257104458</t>
  </si>
  <si>
    <t>xtw161222215842101</t>
  </si>
  <si>
    <t>NP20161224173822733017</t>
  </si>
  <si>
    <t>331027673518</t>
  </si>
  <si>
    <t>NP20161224185607943270</t>
  </si>
  <si>
    <t>sme161224184949818</t>
  </si>
  <si>
    <t>NP20161224213825209077</t>
  </si>
  <si>
    <t>331022194615</t>
  </si>
  <si>
    <t>NP20161225075612375419</t>
  </si>
  <si>
    <t>xep161222170616749</t>
  </si>
  <si>
    <t>NP20161226114628739687</t>
  </si>
  <si>
    <t>hiy161211124638591</t>
  </si>
  <si>
    <t>NP20161226135754105722</t>
  </si>
  <si>
    <t>331032602718</t>
  </si>
  <si>
    <t>NP20161226135838572859</t>
  </si>
  <si>
    <t>331032032688</t>
  </si>
  <si>
    <t>NP20161226191049410065</t>
  </si>
  <si>
    <t>xep161225083701767</t>
  </si>
  <si>
    <t>NP20161227140622079186</t>
  </si>
  <si>
    <t>330997975352</t>
  </si>
  <si>
    <t>NP20161227140623251906</t>
  </si>
  <si>
    <t>330997118107</t>
  </si>
  <si>
    <t>NI20161227161925213752</t>
  </si>
  <si>
    <t>331033299366</t>
  </si>
  <si>
    <t>NP20161227165652669639</t>
  </si>
  <si>
    <t>cqh161227165344446</t>
  </si>
  <si>
    <t>NP20161227173753528635</t>
  </si>
  <si>
    <t>331025030223</t>
  </si>
  <si>
    <t>NP20161227212512584855</t>
  </si>
  <si>
    <t>0000616159</t>
  </si>
  <si>
    <t>NP20161228092449231354</t>
  </si>
  <si>
    <t>xep161227161041790</t>
  </si>
  <si>
    <t>NP20161228094541944046</t>
  </si>
  <si>
    <t>scv161213165424611</t>
  </si>
  <si>
    <t>NP20161228104039239743</t>
  </si>
  <si>
    <t>330911646460</t>
  </si>
  <si>
    <t>NI20161228131708028592</t>
  </si>
  <si>
    <t>331034047051</t>
  </si>
  <si>
    <t>NP20161228133553627736</t>
  </si>
  <si>
    <t>331034159911</t>
  </si>
  <si>
    <t>NP20161228144221178589</t>
  </si>
  <si>
    <t>331033010185</t>
  </si>
  <si>
    <t>bp_3_072</t>
  </si>
  <si>
    <t>NP20161228151833159423</t>
  </si>
  <si>
    <t>ldr161228114834562eb677</t>
  </si>
  <si>
    <t>NP20161228164246958111</t>
  </si>
  <si>
    <t>hiy161226145647267</t>
  </si>
  <si>
    <t>p_3_125</t>
  </si>
  <si>
    <t>NI20161228210038164771</t>
  </si>
  <si>
    <t>331034776029</t>
  </si>
  <si>
    <t>NP20161229102017477805</t>
  </si>
  <si>
    <t>331034494488</t>
  </si>
  <si>
    <t>bp_3_048</t>
  </si>
  <si>
    <t>NI20161229121937295840</t>
  </si>
  <si>
    <t>pma161229115424698</t>
  </si>
  <si>
    <t>NI20161229130403139907</t>
  </si>
  <si>
    <t>331034443234</t>
  </si>
  <si>
    <t>NP20161229172103296593</t>
  </si>
  <si>
    <t>xep161220153900028</t>
  </si>
  <si>
    <t>NP20161229175735615946</t>
  </si>
  <si>
    <t>330831721240</t>
  </si>
  <si>
    <t>NP20161229203607841278</t>
  </si>
  <si>
    <t>331032669867</t>
  </si>
  <si>
    <t>NP20161229205257044312</t>
  </si>
  <si>
    <t>331032807054</t>
  </si>
  <si>
    <t>NP20161230093412676321</t>
  </si>
  <si>
    <t>331002114145</t>
  </si>
  <si>
    <t>NP20161230115119722326</t>
  </si>
  <si>
    <t>331025124557</t>
  </si>
  <si>
    <t>NP20161230122442171087</t>
  </si>
  <si>
    <t>xep161229182502964</t>
  </si>
  <si>
    <t>NI20161230122851627809</t>
  </si>
  <si>
    <t>hiy161222234644468</t>
  </si>
  <si>
    <t>NP20161230132149871702</t>
  </si>
  <si>
    <t>doa161229172719930</t>
  </si>
  <si>
    <t>NP20161230152341417872</t>
  </si>
  <si>
    <t>xep161128193551096</t>
  </si>
  <si>
    <t>NP20161230152922219414</t>
  </si>
  <si>
    <t>xep161220182036760</t>
  </si>
  <si>
    <t>NP20161230161530246495</t>
  </si>
  <si>
    <t>xep161221111544003</t>
  </si>
  <si>
    <t>NP20161231054139963773</t>
  </si>
  <si>
    <t>330901374895</t>
  </si>
  <si>
    <t>NP20161231095803038059</t>
  </si>
  <si>
    <t>xau161209192306034</t>
  </si>
  <si>
    <t>NI20161231124511852711</t>
  </si>
  <si>
    <t>201611081528177829</t>
  </si>
  <si>
    <t>NP20161231154101090615</t>
  </si>
  <si>
    <t>yyw161112185915652</t>
  </si>
  <si>
    <t>NP20161231171244835909</t>
  </si>
  <si>
    <t>czc161202120242898</t>
  </si>
  <si>
    <t>NP20161231232607597172</t>
  </si>
  <si>
    <t>klf161231232154717</t>
  </si>
  <si>
    <t>NP20170101073501134858</t>
  </si>
  <si>
    <t>331037012709</t>
  </si>
  <si>
    <t>NC20170101081509400204</t>
  </si>
  <si>
    <t>331033352493</t>
  </si>
  <si>
    <t>NP20170101095919940028</t>
  </si>
  <si>
    <t>zgo161229164250153</t>
  </si>
  <si>
    <t>NC20170101115344588498</t>
  </si>
  <si>
    <t>cgs161225143341842</t>
  </si>
  <si>
    <t>p_3_134</t>
  </si>
  <si>
    <t>NP20170101121532667694</t>
  </si>
  <si>
    <t>201611301348257C551</t>
  </si>
  <si>
    <t>NI20170101125453336467</t>
  </si>
  <si>
    <t>tyx161221123149507</t>
  </si>
  <si>
    <t>NI20170101124708592224</t>
  </si>
  <si>
    <t>hfp170101072954900</t>
  </si>
  <si>
    <t>NP20170101193728342219</t>
  </si>
  <si>
    <t>331026583543</t>
  </si>
  <si>
    <t>NP20170102120827103571</t>
  </si>
  <si>
    <t>gll161220135302174</t>
  </si>
  <si>
    <t>NP20170102145635646490</t>
  </si>
  <si>
    <t>doa161221200611207</t>
  </si>
  <si>
    <t>NP20170102150007781364</t>
  </si>
  <si>
    <t>xuy161226202506841</t>
  </si>
  <si>
    <t>NC20170102161313051984</t>
  </si>
  <si>
    <t>331039288105</t>
  </si>
  <si>
    <t>NP20170102185828527238</t>
  </si>
  <si>
    <t>qyp170102180446005</t>
  </si>
  <si>
    <t>NP20170103082316581706</t>
  </si>
  <si>
    <t>xep161228100242190</t>
  </si>
  <si>
    <t>NP20170103141007549197</t>
  </si>
  <si>
    <t>330913824009</t>
  </si>
  <si>
    <t>NP20170103145359125837</t>
  </si>
  <si>
    <t>jtg170103111405584</t>
  </si>
  <si>
    <t>NP20170103155020221914</t>
  </si>
  <si>
    <t>xep161229125039440</t>
  </si>
  <si>
    <t>NP20170103161756575558</t>
  </si>
  <si>
    <t>331040816877</t>
  </si>
  <si>
    <t>NP20170103162957932361</t>
  </si>
  <si>
    <t>yyw170103161827412</t>
  </si>
  <si>
    <t>NP20170103163429661892</t>
  </si>
  <si>
    <t>yyw170103161827411</t>
  </si>
  <si>
    <t>NP20170103173636561512</t>
  </si>
  <si>
    <t>zgl161227175958892</t>
  </si>
  <si>
    <t>NI20170103182831380099</t>
  </si>
  <si>
    <t>331040237777</t>
  </si>
  <si>
    <t>NC20170103193850372437</t>
  </si>
  <si>
    <t>xep161224224043845</t>
  </si>
  <si>
    <t>NC20170104005757351608</t>
  </si>
  <si>
    <t>srs170102174758640</t>
  </si>
  <si>
    <t>NP20170104114534096762</t>
  </si>
  <si>
    <t>ghc161224181213002</t>
  </si>
  <si>
    <t>NI20170104153643583215</t>
  </si>
  <si>
    <t>331029012345</t>
  </si>
  <si>
    <t>NP20170104162153259331</t>
  </si>
  <si>
    <t>ghc170104095541156</t>
  </si>
  <si>
    <t>NP20170104192349204333</t>
  </si>
  <si>
    <t>ibi161130132613258</t>
  </si>
  <si>
    <t>NP20170104193521156786</t>
  </si>
  <si>
    <t>ffs161214231210323</t>
  </si>
  <si>
    <t>NC20170104195031289340</t>
  </si>
  <si>
    <t>331041128834</t>
  </si>
  <si>
    <t>NP20170105121502775206</t>
  </si>
  <si>
    <t>sdc170102080100113</t>
  </si>
  <si>
    <t>NP20170105121518534487</t>
  </si>
  <si>
    <t>hiy170105113227694</t>
  </si>
  <si>
    <t>NP20170105141315926672</t>
  </si>
  <si>
    <t>xep161209145758429</t>
  </si>
  <si>
    <t>NI20170105161238539180</t>
  </si>
  <si>
    <t>xep161210092723167</t>
  </si>
  <si>
    <t>NP20170105163228803458</t>
  </si>
  <si>
    <t>sdc170104083902850</t>
  </si>
  <si>
    <t>NP20170105170344291469</t>
  </si>
  <si>
    <t>51161006625052</t>
  </si>
  <si>
    <t>NP20170105175502727467</t>
  </si>
  <si>
    <t>xgx170104125135857</t>
  </si>
  <si>
    <t>NP20170105232613716434</t>
  </si>
  <si>
    <t>331021368324</t>
  </si>
  <si>
    <t>NC20170105235201840857</t>
  </si>
  <si>
    <t>330992200957</t>
  </si>
  <si>
    <t>NP20170106100318260160</t>
  </si>
  <si>
    <t>330965506475</t>
  </si>
  <si>
    <t>NI20170106103128912708</t>
  </si>
  <si>
    <t>331022527424</t>
  </si>
  <si>
    <t>NP20170106124144440350</t>
  </si>
  <si>
    <t>scv170105154651893</t>
  </si>
  <si>
    <t>NP20170106124803187837</t>
  </si>
  <si>
    <t>mhw170106114608369</t>
  </si>
  <si>
    <t>NP20170106135643337605</t>
  </si>
  <si>
    <t>331042741945</t>
  </si>
  <si>
    <t>bp_3_043</t>
  </si>
  <si>
    <t>NI20170106153700960552</t>
  </si>
  <si>
    <t>xep161114112751936</t>
  </si>
  <si>
    <t>NP20170106162025043333</t>
  </si>
  <si>
    <t>331042447291</t>
  </si>
  <si>
    <t>NP20170106170608815884</t>
  </si>
  <si>
    <t>srs170101085240626</t>
  </si>
  <si>
    <t>NP20170106175730157176</t>
  </si>
  <si>
    <t>xep170105200012861</t>
  </si>
  <si>
    <t>NC20170106231222818156</t>
  </si>
  <si>
    <t>331037412525</t>
  </si>
  <si>
    <t>NP20170107094252656555</t>
  </si>
  <si>
    <t>331028777452</t>
  </si>
  <si>
    <t>NP20170107115441184625</t>
  </si>
  <si>
    <t>331044210497</t>
  </si>
  <si>
    <t>NP20170107133723499883</t>
  </si>
  <si>
    <t>331027563010</t>
  </si>
  <si>
    <t>NI20170107141036738180</t>
  </si>
  <si>
    <t>331044216215</t>
  </si>
  <si>
    <t>NI20170107153103771828</t>
  </si>
  <si>
    <t>201701071449204348</t>
  </si>
  <si>
    <t>fp_3_010</t>
  </si>
  <si>
    <t>NP20170107182136049610</t>
  </si>
  <si>
    <t>xkw170107181140448</t>
  </si>
  <si>
    <t>NP20170107182354666948</t>
  </si>
  <si>
    <t>ghc170105204255466</t>
  </si>
  <si>
    <t>NP20170107182707190768</t>
  </si>
  <si>
    <t>ysh161230191402346</t>
  </si>
  <si>
    <t>NP20170107195828917422</t>
  </si>
  <si>
    <t>331044386545</t>
  </si>
  <si>
    <t>NP20170107220806692844</t>
  </si>
  <si>
    <t>xep161225223619174</t>
  </si>
  <si>
    <t>NP20170107233701652200</t>
  </si>
  <si>
    <t>331044120417</t>
  </si>
  <si>
    <t>NP20170108080355314404</t>
  </si>
  <si>
    <t>330947620855</t>
  </si>
  <si>
    <t>NP20170108080442476923</t>
  </si>
  <si>
    <t>330946459615</t>
  </si>
  <si>
    <t>NP20170108112942575590</t>
  </si>
  <si>
    <t>doa170108072733564</t>
  </si>
  <si>
    <t>NP20170108113004616239</t>
  </si>
  <si>
    <t>ghc170106201202973</t>
  </si>
  <si>
    <t>p_3_143</t>
  </si>
  <si>
    <t>NP20170108132706152317</t>
  </si>
  <si>
    <t>xep161212212134229</t>
  </si>
  <si>
    <t>NI20170108135642827019</t>
  </si>
  <si>
    <t>331045122685</t>
  </si>
  <si>
    <t>NP20170108144512378047</t>
  </si>
  <si>
    <t>xep161123224037130</t>
  </si>
  <si>
    <t>NP20170108154005195000</t>
  </si>
  <si>
    <t>331024316932</t>
  </si>
  <si>
    <t>NP20170108163331851120</t>
  </si>
  <si>
    <t>330981617483</t>
  </si>
  <si>
    <t>NC20170108173940137971</t>
  </si>
  <si>
    <t>331045516465</t>
  </si>
  <si>
    <t>NP20170108174233824665</t>
  </si>
  <si>
    <t>331044170578</t>
  </si>
  <si>
    <t>NP20170108180901620219</t>
  </si>
  <si>
    <t>331010162874</t>
  </si>
  <si>
    <t>NP20170108192845437270</t>
  </si>
  <si>
    <t>331044697383</t>
  </si>
  <si>
    <t>NC20170108211438406789</t>
  </si>
  <si>
    <t>331043470846</t>
  </si>
  <si>
    <t>NP20170108215552695930</t>
  </si>
  <si>
    <t>xep170104193416121</t>
  </si>
  <si>
    <t>NP20170108223618048032</t>
  </si>
  <si>
    <t>331008140310</t>
  </si>
  <si>
    <t>NP20170109082712669593</t>
  </si>
  <si>
    <t>331043121145</t>
  </si>
  <si>
    <t>NP20170109093258343368</t>
  </si>
  <si>
    <t>331044849259</t>
  </si>
  <si>
    <t>NP20170109093732720934</t>
  </si>
  <si>
    <t>331044920991</t>
  </si>
  <si>
    <t>NP20170109104335027793</t>
  </si>
  <si>
    <t>kls160305194206162</t>
  </si>
  <si>
    <t>NP20170109111928738193</t>
  </si>
  <si>
    <t>331032712693</t>
  </si>
  <si>
    <t>NP20170109155906494782</t>
  </si>
  <si>
    <t>qqd161105125649605e87a9</t>
  </si>
  <si>
    <t>NP20170109160439741423</t>
  </si>
  <si>
    <t>330982327491</t>
  </si>
  <si>
    <t>NP20170109172549114120</t>
  </si>
  <si>
    <t>hua170109130737468</t>
  </si>
  <si>
    <t>NC20170109173009176837</t>
  </si>
  <si>
    <t>331043752578</t>
  </si>
  <si>
    <t>NP20170109174044290860</t>
  </si>
  <si>
    <t>jcg170103132505221</t>
  </si>
  <si>
    <t>NP20170109184738829678</t>
  </si>
  <si>
    <t>sdc170109130137714</t>
  </si>
  <si>
    <t>p_3_124</t>
  </si>
  <si>
    <t>NP20170109185404394337</t>
  </si>
  <si>
    <t>331046665571</t>
  </si>
  <si>
    <t>NP20170109190000017392</t>
  </si>
  <si>
    <t>czl170109185503283</t>
  </si>
  <si>
    <t>NP20170109205923709099</t>
  </si>
  <si>
    <t>xep170109185716975</t>
  </si>
  <si>
    <t>NP20170109214415732459</t>
  </si>
  <si>
    <t>331041859101</t>
  </si>
  <si>
    <t>NP20170109220622056698</t>
  </si>
  <si>
    <t>xep161227232120533</t>
  </si>
  <si>
    <t>NP20170110081859802224</t>
  </si>
  <si>
    <t>331044326897</t>
  </si>
  <si>
    <t>NP20170110112458768080</t>
  </si>
  <si>
    <t>drm170109191013825</t>
  </si>
  <si>
    <t>NP20170110114337385781</t>
  </si>
  <si>
    <t>xep161219143118830</t>
  </si>
  <si>
    <t>NP20170110120646008664</t>
  </si>
  <si>
    <t>331047620831</t>
  </si>
  <si>
    <t>NP20170110133201277982</t>
  </si>
  <si>
    <t>331047861195</t>
  </si>
  <si>
    <t>NP20170110133437744542</t>
  </si>
  <si>
    <t>331044545484</t>
  </si>
  <si>
    <t>NP20170110142431142945</t>
  </si>
  <si>
    <t>sbk170110110140265</t>
  </si>
  <si>
    <t>NP20170110154115241772</t>
  </si>
  <si>
    <t>331028170056</t>
  </si>
  <si>
    <t>NP20170110165522218559</t>
  </si>
  <si>
    <t>20161218091444442089</t>
  </si>
  <si>
    <t>NP20170110170816111374</t>
  </si>
  <si>
    <t>331045316916</t>
  </si>
  <si>
    <t>NP20170110173323670837</t>
  </si>
  <si>
    <t>xep170108231445539</t>
  </si>
  <si>
    <t>NP20170110174126865375</t>
  </si>
  <si>
    <t>330951315499</t>
  </si>
  <si>
    <t>NP20170110174342535332</t>
  </si>
  <si>
    <t>tfa170102181055210</t>
  </si>
  <si>
    <t>NP20170110174841544454</t>
  </si>
  <si>
    <t>16113010582319524fx</t>
  </si>
  <si>
    <t>NI20170110191937299383</t>
  </si>
  <si>
    <t>331039073347</t>
  </si>
  <si>
    <t>NP20170111052627896359</t>
  </si>
  <si>
    <t>xep170111051307570</t>
  </si>
  <si>
    <t>NP20170111093615931079</t>
  </si>
  <si>
    <t>331023110972</t>
  </si>
  <si>
    <t>NP20170111101743192471</t>
  </si>
  <si>
    <t>sme161215205911749</t>
  </si>
  <si>
    <t>NP20170111103901082317</t>
  </si>
  <si>
    <t>331043088691</t>
  </si>
  <si>
    <t>NP20170111111050736423</t>
  </si>
  <si>
    <t>331047214193</t>
  </si>
  <si>
    <t>bp_3_031</t>
  </si>
  <si>
    <t>NC20170111120907623297</t>
  </si>
  <si>
    <t>331048633814</t>
  </si>
  <si>
    <t>NI20170111130216186322</t>
  </si>
  <si>
    <t>331047657318</t>
  </si>
  <si>
    <t>NP20170111131814116064</t>
  </si>
  <si>
    <t>ghc170105105420917</t>
  </si>
  <si>
    <t>NP20170111131920480614</t>
  </si>
  <si>
    <t>ghc170105104951454</t>
  </si>
  <si>
    <t>NI20170111150132226370</t>
  </si>
  <si>
    <t>adh170107135409080</t>
  </si>
  <si>
    <t>NI20170111150408111916</t>
  </si>
  <si>
    <t>331048634429</t>
  </si>
  <si>
    <t>NP20170111162741975813</t>
  </si>
  <si>
    <t>tjf170111150414037</t>
  </si>
  <si>
    <t>p_3_133</t>
  </si>
  <si>
    <t>NP20170111173909701825</t>
  </si>
  <si>
    <t>331048591126</t>
  </si>
  <si>
    <t>NP20170111211901710387</t>
  </si>
  <si>
    <t>331026471441</t>
  </si>
  <si>
    <t>NP20170112084443563188</t>
  </si>
  <si>
    <t>hiy170112083848843</t>
  </si>
  <si>
    <t>NP20170112100556754918</t>
  </si>
  <si>
    <t>doa170112094216028</t>
  </si>
  <si>
    <t>NP20170112103744572847</t>
  </si>
  <si>
    <t>hiy170110225216063</t>
  </si>
  <si>
    <t>NP20170112105534819903</t>
  </si>
  <si>
    <t>331049722799</t>
  </si>
  <si>
    <t>NP20170112115826120959</t>
  </si>
  <si>
    <t>331041171131</t>
  </si>
  <si>
    <t>NP20170112120336494343</t>
  </si>
  <si>
    <t>xep161229122236344</t>
  </si>
  <si>
    <t>p_3_083</t>
  </si>
  <si>
    <t>NP20170112125230910544</t>
  </si>
  <si>
    <t>331037269883</t>
  </si>
  <si>
    <t>NO20170112140719612387</t>
  </si>
  <si>
    <t>331037322349</t>
  </si>
  <si>
    <t>NP20170112161719030905</t>
  </si>
  <si>
    <t>xep161224144506056</t>
  </si>
  <si>
    <t>NP20170112170111418391</t>
  </si>
  <si>
    <t>331042806042</t>
  </si>
  <si>
    <t>NP20170112180942157579</t>
  </si>
  <si>
    <t>sxb170107143027000</t>
  </si>
  <si>
    <t>NP20170112184202206686</t>
  </si>
  <si>
    <t>331049724068</t>
  </si>
  <si>
    <t>NI20170112215329656619</t>
  </si>
  <si>
    <t>330940333322</t>
  </si>
  <si>
    <t>NP20170112220457053642</t>
  </si>
  <si>
    <t>xep161219222121996</t>
  </si>
  <si>
    <t>NP20170112232418553187</t>
  </si>
  <si>
    <t>tyx170106163817578</t>
  </si>
  <si>
    <t>NI20170113002343331361</t>
  </si>
  <si>
    <t>331048669679</t>
  </si>
  <si>
    <t>NP20170113074418777290</t>
  </si>
  <si>
    <t>jql161229182541104</t>
  </si>
  <si>
    <t>NP20170113101944623122</t>
  </si>
  <si>
    <t>xep170113094947490</t>
  </si>
  <si>
    <t>NP20170113105020169940</t>
  </si>
  <si>
    <t>331036407053</t>
  </si>
  <si>
    <t>NP20170113111530530435</t>
  </si>
  <si>
    <t>nfw170111094841772</t>
  </si>
  <si>
    <t>p_3_156</t>
  </si>
  <si>
    <t>NP20170113112857624608</t>
  </si>
  <si>
    <t>201701131107069C816</t>
  </si>
  <si>
    <t>fp_3_002</t>
  </si>
  <si>
    <t>NP20170113114611456039</t>
  </si>
  <si>
    <t>xau170107220132173</t>
  </si>
  <si>
    <t>NP20170113132020717546</t>
  </si>
  <si>
    <t>sxb161216172206315</t>
  </si>
  <si>
    <t>NP20170113133314727923</t>
  </si>
  <si>
    <t>doa170113130752956</t>
  </si>
  <si>
    <t>NI20170113134734042781</t>
  </si>
  <si>
    <t>xep170102221740480</t>
  </si>
  <si>
    <t>NP20170113135719284269</t>
  </si>
  <si>
    <t>hiy170112155833792</t>
  </si>
  <si>
    <t>NI20170113140955210773</t>
  </si>
  <si>
    <t>331044800698</t>
  </si>
  <si>
    <t>NP20170113145708877325</t>
  </si>
  <si>
    <t>331015219541</t>
  </si>
  <si>
    <t>NP20170113154312813094</t>
  </si>
  <si>
    <t>331049170592</t>
  </si>
  <si>
    <t>NP20170113160038439947</t>
  </si>
  <si>
    <t>331009939504</t>
  </si>
  <si>
    <t>NI20170113170222165977</t>
  </si>
  <si>
    <t>331046575120</t>
  </si>
  <si>
    <t>NP20170113174019089951</t>
  </si>
  <si>
    <t>331044791439</t>
  </si>
  <si>
    <t>NP20170113191037881016</t>
  </si>
  <si>
    <t>jtg161230131757923</t>
  </si>
  <si>
    <t>NP20170113191703800546</t>
  </si>
  <si>
    <t>331041164506</t>
  </si>
  <si>
    <t>NP20170113192419457052</t>
  </si>
  <si>
    <t>331026847547</t>
  </si>
  <si>
    <t>NP20170113210138556599</t>
  </si>
  <si>
    <t>jnw170113184746041</t>
  </si>
  <si>
    <t>NP20170113224624730874</t>
  </si>
  <si>
    <t>nhq170113082549788</t>
  </si>
  <si>
    <t>p_3_064</t>
  </si>
  <si>
    <t>NP20170113233019999997</t>
  </si>
  <si>
    <t>330989962808</t>
  </si>
  <si>
    <t>NC20170114004048501301</t>
  </si>
  <si>
    <t>tys161222223842000</t>
  </si>
  <si>
    <t>NP20170114082956715631</t>
  </si>
  <si>
    <t>xep170112113045707</t>
  </si>
  <si>
    <t>NP20170114084243677569</t>
  </si>
  <si>
    <t>xrq170114081218341e91e2</t>
  </si>
  <si>
    <t>NP20170114090250357764</t>
  </si>
  <si>
    <t>nhq170103135818569</t>
  </si>
  <si>
    <t>NP20170114092517613928</t>
  </si>
  <si>
    <t>331042591424</t>
  </si>
  <si>
    <t>NI20170114105833579751</t>
  </si>
  <si>
    <t>hfp170113104624112</t>
  </si>
  <si>
    <t>NP20170114113123795220</t>
  </si>
  <si>
    <t>330999331216</t>
  </si>
  <si>
    <t>NP20170114132604510447</t>
  </si>
  <si>
    <t>331051794004</t>
  </si>
  <si>
    <t>NP20170114152204597255</t>
  </si>
  <si>
    <t>hiy170114151541577</t>
  </si>
  <si>
    <t>NP20170114173642309098</t>
  </si>
  <si>
    <t>doa170113140551804</t>
  </si>
  <si>
    <t>NI20170114180121188192</t>
  </si>
  <si>
    <t>331051298622</t>
  </si>
  <si>
    <t>NP20170114184059199945</t>
  </si>
  <si>
    <t>fny170113110227840</t>
  </si>
  <si>
    <t>NP20170114190747340089</t>
  </si>
  <si>
    <t>331050589285</t>
  </si>
  <si>
    <t>NP20170114193354736634</t>
  </si>
  <si>
    <t>xep161202015727639</t>
  </si>
  <si>
    <t>NI20170114200706448304</t>
  </si>
  <si>
    <t>331051000204</t>
  </si>
  <si>
    <t>bp_3_051</t>
  </si>
  <si>
    <t>NI20170114215432094394</t>
  </si>
  <si>
    <t>331043444221</t>
  </si>
  <si>
    <t>NP20170114231250767251</t>
  </si>
  <si>
    <t>pzf170114230008886</t>
  </si>
  <si>
    <t>NI20170115011050594201</t>
  </si>
  <si>
    <t>wxw161119172137055</t>
  </si>
  <si>
    <t>NP20170115104043065314</t>
  </si>
  <si>
    <t>330954338014</t>
  </si>
  <si>
    <t>NP20170115125645073996</t>
  </si>
  <si>
    <t>dha170105140617528</t>
  </si>
  <si>
    <t>NP20170115144642268803</t>
  </si>
  <si>
    <t>xep170104152426499</t>
  </si>
  <si>
    <t>NP20170115175214564769</t>
  </si>
  <si>
    <t>331051161343</t>
  </si>
  <si>
    <t>NI20170116003921939001</t>
  </si>
  <si>
    <t>331051010948</t>
  </si>
  <si>
    <t>NI20170116085753572941</t>
  </si>
  <si>
    <t>331052353956</t>
  </si>
  <si>
    <t>NP20170116100115600673</t>
  </si>
  <si>
    <t>20161230151408UO003</t>
  </si>
  <si>
    <t>NI20170116101428992015</t>
  </si>
  <si>
    <t>331053551806</t>
  </si>
  <si>
    <t>NI20170116101857391758</t>
  </si>
  <si>
    <t>yyw170112143140130</t>
  </si>
  <si>
    <t>NP20170116110943280950</t>
  </si>
  <si>
    <t>wmq161213101900939</t>
  </si>
  <si>
    <t>NP20170116113055725994</t>
  </si>
  <si>
    <t>20170111234345TZ898</t>
  </si>
  <si>
    <t>NP20170116122954504388</t>
  </si>
  <si>
    <t>331053306211</t>
  </si>
  <si>
    <t>NP20170116123300086179</t>
  </si>
  <si>
    <t>331053768299</t>
  </si>
  <si>
    <t>NI20170116125338587277</t>
  </si>
  <si>
    <t>51170116085994</t>
  </si>
  <si>
    <t>NI20170116142620486842</t>
  </si>
  <si>
    <t>331052356640</t>
  </si>
  <si>
    <t>NP20170116142946306616</t>
  </si>
  <si>
    <t>331053942205</t>
  </si>
  <si>
    <t>NP20170116143735035273</t>
  </si>
  <si>
    <t>yle161202225416118</t>
  </si>
  <si>
    <t>NI20170116154238848509</t>
  </si>
  <si>
    <t>kmb170116153400456</t>
  </si>
  <si>
    <t>NP20170116154836550087</t>
  </si>
  <si>
    <t>xss170116154033143</t>
  </si>
  <si>
    <t>NP20170116155411312870</t>
  </si>
  <si>
    <t>331022924672</t>
  </si>
  <si>
    <t>NP20170116155439755757</t>
  </si>
  <si>
    <t>331022655645</t>
  </si>
  <si>
    <t>NP20170116162418125234</t>
  </si>
  <si>
    <t>xep170103165529382</t>
  </si>
  <si>
    <t>NP20170116162004595676</t>
  </si>
  <si>
    <t>ysh161204093803529</t>
  </si>
  <si>
    <t>NC20170116174710739133</t>
  </si>
  <si>
    <t>xuy170116093123582</t>
  </si>
  <si>
    <t>NI20170116184737261596</t>
  </si>
  <si>
    <t>331047050811</t>
  </si>
  <si>
    <t>NP20170116200911358614</t>
  </si>
  <si>
    <t>331040524966</t>
  </si>
  <si>
    <t>NP20170116220638630102</t>
  </si>
  <si>
    <t>331053463296</t>
  </si>
  <si>
    <t>NI20170116232108361067</t>
  </si>
  <si>
    <t>331011530915</t>
  </si>
  <si>
    <t>NI20170116230803883908</t>
  </si>
  <si>
    <t>201701120005127C174</t>
  </si>
  <si>
    <t>NP20170117094034774184</t>
  </si>
  <si>
    <t>330927245000</t>
  </si>
  <si>
    <t>NP20170117094047961283</t>
  </si>
  <si>
    <t>330927747012</t>
  </si>
  <si>
    <t>NP20170117095736920032</t>
  </si>
  <si>
    <t>16N12340348</t>
  </si>
  <si>
    <t>NP20170117101752276855</t>
  </si>
  <si>
    <t>xep170106193731216</t>
  </si>
  <si>
    <t>NP20170117101830974392</t>
  </si>
  <si>
    <t>xep170101192741343</t>
  </si>
  <si>
    <t>NI20170117101757396016</t>
  </si>
  <si>
    <t>xep170110095235650</t>
  </si>
  <si>
    <t>NP20170117105516806407</t>
  </si>
  <si>
    <t>nhq170117100852484</t>
  </si>
  <si>
    <t>NP20170117105636435695</t>
  </si>
  <si>
    <t>331054951290</t>
  </si>
  <si>
    <t>NI20170117110544211240</t>
  </si>
  <si>
    <t>scv170109183150270</t>
  </si>
  <si>
    <t>NP20170117111543122804</t>
  </si>
  <si>
    <t>331054443948</t>
  </si>
  <si>
    <t>NP20170117112903777635</t>
  </si>
  <si>
    <t>mhw170112133725987</t>
  </si>
  <si>
    <t>NI20170117122527936360</t>
  </si>
  <si>
    <t>xep170113005429560</t>
  </si>
  <si>
    <t>NP20170117123442793184</t>
  </si>
  <si>
    <t>axe160316220625008</t>
  </si>
  <si>
    <t>NP20170117130916274261</t>
  </si>
  <si>
    <t>kom170105221415318</t>
  </si>
  <si>
    <t>NP20170117135338078624</t>
  </si>
  <si>
    <t>xep170112003152837</t>
  </si>
  <si>
    <t>NP20170117144016904792</t>
  </si>
  <si>
    <t>xep161221201450447</t>
  </si>
  <si>
    <t>NP20170117144103769964</t>
  </si>
  <si>
    <t>20170116184326TR384</t>
  </si>
  <si>
    <t>NP20170117151911526493</t>
  </si>
  <si>
    <t>xep170114211119857</t>
  </si>
  <si>
    <t>NP20170117154846480139</t>
  </si>
  <si>
    <t>xep170114101413938</t>
  </si>
  <si>
    <t>NP20170117155225281710</t>
  </si>
  <si>
    <t>xep170114101413939</t>
  </si>
  <si>
    <t>NP20170117163821135203</t>
  </si>
  <si>
    <t>331036630026</t>
  </si>
  <si>
    <t>NP20170117170157082143</t>
  </si>
  <si>
    <t>hiy170108165423893</t>
  </si>
  <si>
    <t>NP20170117185637446795</t>
  </si>
  <si>
    <t>331035702921</t>
  </si>
  <si>
    <t>NP20170117201051276309</t>
  </si>
  <si>
    <t>yyw170101171827874</t>
  </si>
  <si>
    <t>NI20170117205751632310</t>
  </si>
  <si>
    <t>sub161225085749506</t>
  </si>
  <si>
    <t>NP20170117215635113132</t>
  </si>
  <si>
    <t>51170101520921</t>
  </si>
  <si>
    <t>NP20170117223900828779</t>
  </si>
  <si>
    <t>ghc170109143111868</t>
  </si>
  <si>
    <t>NP20170118075654889139</t>
  </si>
  <si>
    <t>tyx170117145930369</t>
  </si>
  <si>
    <t>NP20170118084514822326</t>
  </si>
  <si>
    <t>pzf161202114146532</t>
  </si>
  <si>
    <t>NP20170118090108025253</t>
  </si>
  <si>
    <t>zgl170117184002246</t>
  </si>
  <si>
    <t>NP20170118092236272012</t>
  </si>
  <si>
    <t>331051324693</t>
  </si>
  <si>
    <t>NP20170118095837477125</t>
  </si>
  <si>
    <t>0065274402</t>
  </si>
  <si>
    <t>NP20170118111907076947</t>
  </si>
  <si>
    <t>xep170110164611110</t>
  </si>
  <si>
    <t>NP20170118113137083042</t>
  </si>
  <si>
    <t>fna170110124717596</t>
  </si>
  <si>
    <t>NP20170118115228419437</t>
  </si>
  <si>
    <t>smf170117182742338</t>
  </si>
  <si>
    <t>NP20170118115123607007</t>
  </si>
  <si>
    <t>xep170111235926494</t>
  </si>
  <si>
    <t>NI20170118114001553215</t>
  </si>
  <si>
    <t>330995613291</t>
  </si>
  <si>
    <t>NP20170118120208386564</t>
  </si>
  <si>
    <t>331033288061</t>
  </si>
  <si>
    <t>NI20170118120842194653</t>
  </si>
  <si>
    <t>331055675000</t>
  </si>
  <si>
    <t>NP20170118132225449056</t>
  </si>
  <si>
    <t>pzf161212094902091</t>
  </si>
  <si>
    <t>NP20170118132812989605</t>
  </si>
  <si>
    <t>331055911401</t>
  </si>
  <si>
    <t>NP20170118134434942839</t>
  </si>
  <si>
    <t>331017874290</t>
  </si>
  <si>
    <t>NP20170118141822804695</t>
  </si>
  <si>
    <t>331055053400</t>
  </si>
  <si>
    <t>NI20170118142136391596</t>
  </si>
  <si>
    <t>331053341581</t>
  </si>
  <si>
    <t>NP20170118142644164813</t>
  </si>
  <si>
    <t>xep161231102537702</t>
  </si>
  <si>
    <t>NP20170118153216525782</t>
  </si>
  <si>
    <t>xep161229152834920</t>
  </si>
  <si>
    <t>NP20170118153606107083</t>
  </si>
  <si>
    <t>20161212214125WE274</t>
  </si>
  <si>
    <t>NP20170118164847749967</t>
  </si>
  <si>
    <t>xep170118072626462</t>
  </si>
  <si>
    <t>NP20170118173947053892</t>
  </si>
  <si>
    <t>331055539596</t>
  </si>
  <si>
    <t>NP20170118175318717984</t>
  </si>
  <si>
    <t>wyc170106200605408</t>
  </si>
  <si>
    <t>NP20170118220915620228</t>
  </si>
  <si>
    <t>331043365602</t>
  </si>
  <si>
    <t>NP20170118230109102442</t>
  </si>
  <si>
    <t>jzj170112154130254</t>
  </si>
  <si>
    <t>NP20170119004747719802</t>
  </si>
  <si>
    <t>jah170118203403631</t>
  </si>
  <si>
    <t>NC20170119011718066633</t>
  </si>
  <si>
    <t>331056594302</t>
  </si>
  <si>
    <t>NP20170119094810769617</t>
  </si>
  <si>
    <t>20161114105027TF434</t>
  </si>
  <si>
    <t>NP20170119112253271461</t>
  </si>
  <si>
    <t>tyx170102121101711</t>
  </si>
  <si>
    <t>NP20170119112428205049</t>
  </si>
  <si>
    <t>331055306017</t>
  </si>
  <si>
    <t>NP20170119112746691218</t>
  </si>
  <si>
    <t>kmb170102123212180</t>
  </si>
  <si>
    <t>NP20170119114027027376</t>
  </si>
  <si>
    <t>330963047274</t>
  </si>
  <si>
    <t>NP20170119120500962458</t>
  </si>
  <si>
    <t>yzl161210213631634</t>
  </si>
  <si>
    <t>NP20170119122233124010</t>
  </si>
  <si>
    <t>331056945571</t>
  </si>
  <si>
    <t>NC20170119124317080584</t>
  </si>
  <si>
    <t>srs170119122657504</t>
  </si>
  <si>
    <t>NP20170119125203311394</t>
  </si>
  <si>
    <t>331056592692</t>
  </si>
  <si>
    <t>NP20170119125245312064</t>
  </si>
  <si>
    <t>xep170119124538250</t>
  </si>
  <si>
    <t>NP20170119131742104371</t>
  </si>
  <si>
    <t>xep170118084612370</t>
  </si>
  <si>
    <t>NI20170119141223521550</t>
  </si>
  <si>
    <t>331049710392</t>
  </si>
  <si>
    <t>NP20170119150026432656</t>
  </si>
  <si>
    <t>330985074299</t>
  </si>
  <si>
    <t>NP20170119150156175264</t>
  </si>
  <si>
    <t>330985685916</t>
  </si>
  <si>
    <t>NP20170119152339461563</t>
  </si>
  <si>
    <t>hxz170119143351783</t>
  </si>
  <si>
    <t>NP20170119160001630834</t>
  </si>
  <si>
    <t>hiy161224110358363</t>
  </si>
  <si>
    <t>NP20170119162856945107</t>
  </si>
  <si>
    <t>kom170111233536769</t>
  </si>
  <si>
    <t>NP20170119163234702720</t>
  </si>
  <si>
    <t>330964066926</t>
  </si>
  <si>
    <t>NP20170119164557993071</t>
  </si>
  <si>
    <t>331042591156</t>
  </si>
  <si>
    <t>NP20170119173955953585</t>
  </si>
  <si>
    <t>nhq170111000204239</t>
  </si>
  <si>
    <t>NP20170119184409816558</t>
  </si>
  <si>
    <t>331054663305</t>
  </si>
  <si>
    <t>NP20170119222507673719</t>
  </si>
  <si>
    <t>cdh170101231609296</t>
  </si>
  <si>
    <t>NP20170119235211455617</t>
  </si>
  <si>
    <t>331049652320</t>
  </si>
  <si>
    <t>NP20170120101241844364</t>
  </si>
  <si>
    <t>201611091424346253</t>
  </si>
  <si>
    <t>fp_3_110</t>
  </si>
  <si>
    <t>NP20170120113927905706</t>
  </si>
  <si>
    <t>330926896300</t>
  </si>
  <si>
    <t>NP20170120114357118427</t>
  </si>
  <si>
    <t>xky170108191144876</t>
  </si>
  <si>
    <t>p_3_132</t>
  </si>
  <si>
    <t>NI20170120115644499477</t>
  </si>
  <si>
    <t>rhs170115234925012</t>
  </si>
  <si>
    <t>NP20170120130022735518</t>
  </si>
  <si>
    <t>331057623808</t>
  </si>
  <si>
    <t>NP20170120131715205447</t>
  </si>
  <si>
    <t>hiy170120115426474</t>
  </si>
  <si>
    <t>NP20170120135542059907</t>
  </si>
  <si>
    <t>331057366155</t>
  </si>
  <si>
    <t>NP20170120141418474104</t>
  </si>
  <si>
    <t>pzf170120101715086</t>
  </si>
  <si>
    <t>NP20170120142521307608</t>
  </si>
  <si>
    <t>ghc170101165229092</t>
  </si>
  <si>
    <t>NP20170120142055420766</t>
  </si>
  <si>
    <t>330974914978</t>
  </si>
  <si>
    <t>NI20170120142727028033</t>
  </si>
  <si>
    <t>330967914552</t>
  </si>
  <si>
    <t>NP20170120143658444533</t>
  </si>
  <si>
    <t>331055803437</t>
  </si>
  <si>
    <t>NI20170120150554865036</t>
  </si>
  <si>
    <t>331057628807</t>
  </si>
  <si>
    <t>NP20170120153516573644</t>
  </si>
  <si>
    <t>331055937122</t>
  </si>
  <si>
    <t>NP20170120154309716685</t>
  </si>
  <si>
    <t>331057754952</t>
  </si>
  <si>
    <t>NP20170120163818481804</t>
  </si>
  <si>
    <t>331019007765</t>
  </si>
  <si>
    <t>NP20170120180956665684</t>
  </si>
  <si>
    <t>xep170119134336286</t>
  </si>
  <si>
    <t>NP20170120194318408312</t>
  </si>
  <si>
    <t>331055547136</t>
  </si>
  <si>
    <t>NP20170120194909674775</t>
  </si>
  <si>
    <t>331057827562</t>
  </si>
  <si>
    <t>NP20170120204337349948</t>
  </si>
  <si>
    <t>pzf170120201103599</t>
  </si>
  <si>
    <t>NP20170120204509124984</t>
  </si>
  <si>
    <t>pzf170120202243102</t>
  </si>
  <si>
    <t>NI20170121063043809081</t>
  </si>
  <si>
    <t>330956619964</t>
  </si>
  <si>
    <t>NP20170121101948235176</t>
  </si>
  <si>
    <t>hiy170119224012419</t>
  </si>
  <si>
    <t>NP20170121114409367517</t>
  </si>
  <si>
    <t>331054288714</t>
  </si>
  <si>
    <t>NP20170121114611296017</t>
  </si>
  <si>
    <t>331003036334</t>
  </si>
  <si>
    <t>NP20170121132053438779</t>
  </si>
  <si>
    <t>xgx170117222151087</t>
  </si>
  <si>
    <t>NP20170121134856597919</t>
  </si>
  <si>
    <t>331033631517</t>
  </si>
  <si>
    <t>NP20170121142551490139</t>
  </si>
  <si>
    <t>331043702441</t>
  </si>
  <si>
    <t>NI20170121142509867404</t>
  </si>
  <si>
    <t>331055010143</t>
  </si>
  <si>
    <t>NP20170121143514412893</t>
  </si>
  <si>
    <t>2016121214364863</t>
  </si>
  <si>
    <t>NP20170121143306531799</t>
  </si>
  <si>
    <t>331018146422</t>
  </si>
  <si>
    <t>NP20170121145012062592</t>
  </si>
  <si>
    <t>doa170112201011746</t>
  </si>
  <si>
    <t>NP20170121150843182279</t>
  </si>
  <si>
    <t>331058551701</t>
  </si>
  <si>
    <t>NP20170121153320247299</t>
  </si>
  <si>
    <t>20170121005446TZ678</t>
  </si>
  <si>
    <t>NP20170121155627394790</t>
  </si>
  <si>
    <t>kqy170119110904057</t>
  </si>
  <si>
    <t>NP20170121160107899308</t>
  </si>
  <si>
    <t>331058417778</t>
  </si>
  <si>
    <t>NP20170121160830687990</t>
  </si>
  <si>
    <t>331023313905</t>
  </si>
  <si>
    <t>NP20170121161924876599</t>
  </si>
  <si>
    <t>331058318660</t>
  </si>
  <si>
    <t>NP20170121165247108964</t>
  </si>
  <si>
    <t>yck161226115532764</t>
  </si>
  <si>
    <t>NI20170121165254487004</t>
  </si>
  <si>
    <t>331042364430</t>
  </si>
  <si>
    <t>NP20170121174642566636</t>
  </si>
  <si>
    <t>20161230190055TZ683</t>
  </si>
  <si>
    <t>NP20170121180419061799</t>
  </si>
  <si>
    <t>bbw170119100707226</t>
  </si>
  <si>
    <t>NC20170121183500106340</t>
  </si>
  <si>
    <t>pgl170119104343054</t>
  </si>
  <si>
    <t>NP20170121183715680673</t>
  </si>
  <si>
    <t>scv161212141422757</t>
  </si>
  <si>
    <t>NP20170121194441107683</t>
  </si>
  <si>
    <t>331010829191</t>
  </si>
  <si>
    <t>NP20170121215640205428</t>
  </si>
  <si>
    <t>doa161209104654234</t>
  </si>
  <si>
    <t>NP20170122012049188212</t>
  </si>
  <si>
    <t>jql170119193837734</t>
  </si>
  <si>
    <t>NP20170122015855622638</t>
  </si>
  <si>
    <t>doa170113124923522</t>
  </si>
  <si>
    <t>NP20170122051518973625</t>
  </si>
  <si>
    <t>doa170118144740362</t>
  </si>
  <si>
    <t>NI20170122081216369774</t>
  </si>
  <si>
    <t>fna170109201210165</t>
  </si>
  <si>
    <t>NP20170122094417922968</t>
  </si>
  <si>
    <t>czc170115154118522</t>
  </si>
  <si>
    <t>NI20170122094727424158</t>
  </si>
  <si>
    <t>331057826562</t>
  </si>
  <si>
    <t>NP20170122104313922747</t>
  </si>
  <si>
    <t>330998561661</t>
  </si>
  <si>
    <t>NP20170122105344039864</t>
  </si>
  <si>
    <t>xeb170101211734052e8f1b</t>
  </si>
  <si>
    <t>NP20170122115155191734</t>
  </si>
  <si>
    <t>srs170120211257060</t>
  </si>
  <si>
    <t>NP20170122124606981534</t>
  </si>
  <si>
    <t>331059855459</t>
  </si>
  <si>
    <t>NI20170122125017435991</t>
  </si>
  <si>
    <t>xep170115153137774</t>
  </si>
  <si>
    <t>NP20170122134403119250</t>
  </si>
  <si>
    <t>xep161211193040487</t>
  </si>
  <si>
    <t>NP20170122135156113673</t>
  </si>
  <si>
    <t>331031013836</t>
  </si>
  <si>
    <t>NP20170122150346953031</t>
  </si>
  <si>
    <t>GD2017012215039752</t>
  </si>
  <si>
    <t>sp_3_081</t>
  </si>
  <si>
    <t>NI20170122153643363331</t>
  </si>
  <si>
    <t>qyp170120190540552</t>
  </si>
  <si>
    <t>NP20170122155911748138</t>
  </si>
  <si>
    <t>20161217235440TF360</t>
  </si>
  <si>
    <t>NP20170122162528041752</t>
  </si>
  <si>
    <t>cqh170113165300247</t>
  </si>
  <si>
    <t>NP20170122165009339779</t>
  </si>
  <si>
    <t>xep170122161816171</t>
  </si>
  <si>
    <t>NP20170122172836842526</t>
  </si>
  <si>
    <t>ylb170120000859218</t>
  </si>
  <si>
    <t>NP20170122183558691012</t>
  </si>
  <si>
    <t>331059922078</t>
  </si>
  <si>
    <t>NP20170122192508771751</t>
  </si>
  <si>
    <t>331049430610</t>
  </si>
  <si>
    <t>NP20170122202152714970</t>
  </si>
  <si>
    <t>C1701220064981</t>
  </si>
  <si>
    <t>NP20170122204743991448</t>
  </si>
  <si>
    <t>ysh161229113552804</t>
  </si>
  <si>
    <t>NP20170122212750180288</t>
  </si>
  <si>
    <t>331059011782</t>
  </si>
  <si>
    <t>NP20170123012718786051</t>
  </si>
  <si>
    <t>331044635748</t>
  </si>
  <si>
    <t>NI20170123084526952882</t>
  </si>
  <si>
    <t>331025413322</t>
  </si>
  <si>
    <t>NI20170123102333865233</t>
  </si>
  <si>
    <t>xep170106182052320</t>
  </si>
  <si>
    <t>NP20170123112104812428</t>
  </si>
  <si>
    <t>xep170123111838171</t>
  </si>
  <si>
    <t>NP20170123112324216385</t>
  </si>
  <si>
    <t>yyw170101111408342</t>
  </si>
  <si>
    <t>NP20170123130050524577</t>
  </si>
  <si>
    <t>xep161219160622894</t>
  </si>
  <si>
    <t>NI20170123130205333417</t>
  </si>
  <si>
    <t>xep170104141719669</t>
  </si>
  <si>
    <t>NP20170123131057437044</t>
  </si>
  <si>
    <t>xep161129115051968</t>
  </si>
  <si>
    <t>NP20170123135622511201</t>
  </si>
  <si>
    <t>51170117222353</t>
  </si>
  <si>
    <t>NP20170123140612433046</t>
  </si>
  <si>
    <t>sdc170111135859251</t>
  </si>
  <si>
    <t>NP20170123145324744871</t>
  </si>
  <si>
    <t>331056995261</t>
  </si>
  <si>
    <t>NP20170123152439660607</t>
  </si>
  <si>
    <t>xep170104191005504</t>
  </si>
  <si>
    <t>NP20170123153913963358</t>
  </si>
  <si>
    <t>yyw170112112701610</t>
  </si>
  <si>
    <t>NP20170123153952494869</t>
  </si>
  <si>
    <t>331011048562</t>
  </si>
  <si>
    <t>NP20170123162231204562</t>
  </si>
  <si>
    <t>nhq170114175602309</t>
  </si>
  <si>
    <t>NI20170123163210806018</t>
  </si>
  <si>
    <t>331060936746</t>
  </si>
  <si>
    <t>NP20170123164940492166</t>
  </si>
  <si>
    <t>xep170123131430220</t>
  </si>
  <si>
    <t>NP20170123165925126393</t>
  </si>
  <si>
    <t>sdc170123162650099</t>
  </si>
  <si>
    <t>NP20170123174601619396</t>
  </si>
  <si>
    <t>gll161130140711082</t>
  </si>
  <si>
    <t>NP20170123175108406017</t>
  </si>
  <si>
    <t>pzf170123174447283</t>
  </si>
  <si>
    <t>NI20170123180209844658</t>
  </si>
  <si>
    <t>331060486963</t>
  </si>
  <si>
    <t>NP20170123181300305431</t>
  </si>
  <si>
    <t>rnf170106142858970</t>
  </si>
  <si>
    <t>NP20170123193735917262</t>
  </si>
  <si>
    <t>xep170102175352829</t>
  </si>
  <si>
    <t>NP20170123194112141485</t>
  </si>
  <si>
    <t>xep170119115421738</t>
  </si>
  <si>
    <t>NP20170123194243639825</t>
  </si>
  <si>
    <t>331024497578</t>
  </si>
  <si>
    <t>NP20170123202811754329</t>
  </si>
  <si>
    <t>331060632045</t>
  </si>
  <si>
    <t>NI20170123213643112511</t>
  </si>
  <si>
    <t>bbw170123212733723</t>
  </si>
  <si>
    <t>NP20170123222100676501</t>
  </si>
  <si>
    <t>331049377481</t>
  </si>
  <si>
    <t>NP20170123225817342287</t>
  </si>
  <si>
    <t>hiy161220100543971</t>
  </si>
  <si>
    <t>NP20170123234740832716</t>
  </si>
  <si>
    <t>331060666145</t>
  </si>
  <si>
    <t>NP20170124000618937246</t>
  </si>
  <si>
    <t>gpw161230105903593</t>
  </si>
  <si>
    <t>NP20170124074153501259</t>
  </si>
  <si>
    <t>xep170111110128073</t>
  </si>
  <si>
    <t>NP20170124080601832887</t>
  </si>
  <si>
    <t>xuy170113175224152</t>
  </si>
  <si>
    <t>NP20170124091134564822</t>
  </si>
  <si>
    <t>bbw170117140856302</t>
  </si>
  <si>
    <t>NI20170124091414075054</t>
  </si>
  <si>
    <t>xep170122125036841</t>
  </si>
  <si>
    <t>NI20170124094437647785</t>
  </si>
  <si>
    <t>mir170120000939303</t>
  </si>
  <si>
    <t>NP20170124094803663287</t>
  </si>
  <si>
    <t>hly170118213959633</t>
  </si>
  <si>
    <t>NP20170124094738607820</t>
  </si>
  <si>
    <t>xep161226155140359</t>
  </si>
  <si>
    <t>NP20170124094548091453</t>
  </si>
  <si>
    <t>170113120619760d15x</t>
  </si>
  <si>
    <t>NP20170124103144593794</t>
  </si>
  <si>
    <t>fpw161227121754717</t>
  </si>
  <si>
    <t>NP20170124114821964027</t>
  </si>
  <si>
    <t>331060510298</t>
  </si>
  <si>
    <t>NP20170124124423879223</t>
  </si>
  <si>
    <t>xep170124100754855</t>
  </si>
  <si>
    <t>NP20170124132309764092</t>
  </si>
  <si>
    <t>330964540472</t>
  </si>
  <si>
    <t>NP20170124131324909928</t>
  </si>
  <si>
    <t>axo170114222619366</t>
  </si>
  <si>
    <t>p_3_054</t>
  </si>
  <si>
    <t>NP20170124134155086166</t>
  </si>
  <si>
    <t>asl161218215454233</t>
  </si>
  <si>
    <t>NI20170124134337061659</t>
  </si>
  <si>
    <t>331060421963</t>
  </si>
  <si>
    <t>NP20170124135951289583</t>
  </si>
  <si>
    <t>pzf170124131631381</t>
  </si>
  <si>
    <t>p_3_056</t>
  </si>
  <si>
    <t>NP20170124140110434227</t>
  </si>
  <si>
    <t>331020377104</t>
  </si>
  <si>
    <t>NP20170124143442795460</t>
  </si>
  <si>
    <t>cqh161208160952919</t>
  </si>
  <si>
    <t>NP20170124143754364151</t>
  </si>
  <si>
    <t>331050840578</t>
  </si>
  <si>
    <t>NP20170124154157932524</t>
  </si>
  <si>
    <t>331043986806</t>
  </si>
  <si>
    <t>bp_3_034</t>
  </si>
  <si>
    <t>NP20170124160441498043</t>
  </si>
  <si>
    <t>nxw161203170107369</t>
  </si>
  <si>
    <t>NP20170124160621534023</t>
  </si>
  <si>
    <t>qyp170124155947073</t>
  </si>
  <si>
    <t>NI20170124162128855814</t>
  </si>
  <si>
    <t>331061265270</t>
  </si>
  <si>
    <t>NP20170124180100632767</t>
  </si>
  <si>
    <t>byx161225195830447</t>
  </si>
  <si>
    <t>NP20170124175526670681</t>
  </si>
  <si>
    <t>hiy170110094739418</t>
  </si>
  <si>
    <t>p_3_140</t>
  </si>
  <si>
    <t>NI20170124190813410729</t>
  </si>
  <si>
    <t>bsx170122094258578</t>
  </si>
  <si>
    <t>NP20170124192614221145</t>
  </si>
  <si>
    <t>xep161230144957972</t>
  </si>
  <si>
    <t>NP20170124193102976563</t>
  </si>
  <si>
    <t>201609201919193292</t>
  </si>
  <si>
    <t>fp_3_109</t>
  </si>
  <si>
    <t>NP20170124194241253715</t>
  </si>
  <si>
    <t>xuy170124184526094</t>
  </si>
  <si>
    <t>NP20170124202348849788</t>
  </si>
  <si>
    <t>xpb170118104709444</t>
  </si>
  <si>
    <t>NP20170124210339708494</t>
  </si>
  <si>
    <t>pzf161211200037700</t>
  </si>
  <si>
    <t>NP20170124212857796928</t>
  </si>
  <si>
    <t>pzf170119004236644</t>
  </si>
  <si>
    <t>NP20170124214921262852</t>
  </si>
  <si>
    <t>331061142664</t>
  </si>
  <si>
    <t>NP20170125000038769822</t>
  </si>
  <si>
    <t>331047859677</t>
  </si>
  <si>
    <t>NP20170125092909384642</t>
  </si>
  <si>
    <t>xep170123134348819</t>
  </si>
  <si>
    <t>NP20170125104240077503</t>
  </si>
  <si>
    <t>xep161228175951235</t>
  </si>
  <si>
    <t>NP20170125110741906990</t>
  </si>
  <si>
    <t>xgx170125104124523</t>
  </si>
  <si>
    <t>NP20170125114350471271</t>
  </si>
  <si>
    <t>331041699052</t>
  </si>
  <si>
    <t>NP20170125123055617518</t>
  </si>
  <si>
    <t>fyx170115120229059</t>
  </si>
  <si>
    <t>NP20170125144443827002</t>
  </si>
  <si>
    <t>sme170121114016940</t>
  </si>
  <si>
    <t>NP20170125154602760695</t>
  </si>
  <si>
    <t>qya170106093017693</t>
  </si>
  <si>
    <t>NP20170125161912870334</t>
  </si>
  <si>
    <t>xep170125153145911</t>
  </si>
  <si>
    <t>NP20170125164135776327</t>
  </si>
  <si>
    <t>yyw170125124541110</t>
  </si>
  <si>
    <t>NP20170125174321724693</t>
  </si>
  <si>
    <t>201612301527005293</t>
  </si>
  <si>
    <t>NP20170125180701543343</t>
  </si>
  <si>
    <t>331059136421</t>
  </si>
  <si>
    <t>NP20170125181326104437</t>
  </si>
  <si>
    <t>yjw170112174610834</t>
  </si>
  <si>
    <t>NP20170125193149553391</t>
  </si>
  <si>
    <t>331062511579</t>
  </si>
  <si>
    <t>NP20170125230700256558</t>
  </si>
  <si>
    <t>ghc170125224236794</t>
  </si>
  <si>
    <t>NP20170126002202619726</t>
  </si>
  <si>
    <t>xep170106080823581</t>
  </si>
  <si>
    <t>NP20170126002139955707</t>
  </si>
  <si>
    <t>331027220593</t>
  </si>
  <si>
    <t>NC20170126023516343433</t>
  </si>
  <si>
    <t>srs170125154048513</t>
  </si>
  <si>
    <t>NP20170126094902934861</t>
  </si>
  <si>
    <t>hua170115170815919</t>
  </si>
  <si>
    <t>NP20170126101346390175</t>
  </si>
  <si>
    <t>331046134499</t>
  </si>
  <si>
    <t>NP20170126102036294637</t>
  </si>
  <si>
    <t>331062564198</t>
  </si>
  <si>
    <t>NP20170126105001316174</t>
  </si>
  <si>
    <t>xep161129173302617</t>
  </si>
  <si>
    <t>NP20170126110655747413</t>
  </si>
  <si>
    <t>ibi161230195404037</t>
  </si>
  <si>
    <t>NP20170126113557951170</t>
  </si>
  <si>
    <t>ebb161224191502328</t>
  </si>
  <si>
    <t>NP20170126135404298116</t>
  </si>
  <si>
    <t>xep170121222123806</t>
  </si>
  <si>
    <t>NP20170126144816159228</t>
  </si>
  <si>
    <t>331061343676</t>
  </si>
  <si>
    <t>NI20170126151651594388</t>
  </si>
  <si>
    <t>331063021218</t>
  </si>
  <si>
    <t>NP20170126153640699876</t>
  </si>
  <si>
    <t>xep170126144444029</t>
  </si>
  <si>
    <t>NP20170126175030056272</t>
  </si>
  <si>
    <t>xgx170123001726874</t>
  </si>
  <si>
    <t>NP20170126192822443342</t>
  </si>
  <si>
    <t>331063560121</t>
  </si>
  <si>
    <t>NP20170126195221729960</t>
  </si>
  <si>
    <t>331029416969</t>
  </si>
  <si>
    <t>NP20170126210516509331</t>
  </si>
  <si>
    <t>331057315611</t>
  </si>
  <si>
    <t>NP20170126221306370605</t>
  </si>
  <si>
    <t>331063932535</t>
  </si>
  <si>
    <t>NP20170126221620981223</t>
  </si>
  <si>
    <t>331063807017</t>
  </si>
  <si>
    <t>NC20170127010423542131</t>
  </si>
  <si>
    <t>331060904884</t>
  </si>
  <si>
    <t>NP20170127102431196359</t>
  </si>
  <si>
    <t>331043774087</t>
  </si>
  <si>
    <t>NP20170127105451747949</t>
  </si>
  <si>
    <t>331063297305</t>
  </si>
  <si>
    <t>NP20170127120805692022</t>
  </si>
  <si>
    <t>hiy170123201202123</t>
  </si>
  <si>
    <t>NP20170127121122525375</t>
  </si>
  <si>
    <t>tjf170123200921598</t>
  </si>
  <si>
    <t>NP20170127122513837991</t>
  </si>
  <si>
    <t>331064833174</t>
  </si>
  <si>
    <t>NP20170127132613592494</t>
  </si>
  <si>
    <t>331003699913</t>
  </si>
  <si>
    <t>NP20170127132937935289</t>
  </si>
  <si>
    <t>ltg170110170515122</t>
  </si>
  <si>
    <t>NP20170127141127418413</t>
  </si>
  <si>
    <t>331062010691</t>
  </si>
  <si>
    <t>NP20170127165700299436</t>
  </si>
  <si>
    <t>xep170125213546132</t>
  </si>
  <si>
    <t>NP20170127183336869437</t>
  </si>
  <si>
    <t>331064943580</t>
  </si>
  <si>
    <t>NP20170128042646811382</t>
  </si>
  <si>
    <t>331040327943</t>
  </si>
  <si>
    <t>NP20170128042645868135</t>
  </si>
  <si>
    <t>331040834226</t>
  </si>
  <si>
    <t>NI20170128092108740360</t>
  </si>
  <si>
    <t>yyw170123203605045</t>
  </si>
  <si>
    <t>NP20170128093809587080</t>
  </si>
  <si>
    <t>xgx170128093447186</t>
  </si>
  <si>
    <t>NP20170128102430303358</t>
  </si>
  <si>
    <t>331038105748</t>
  </si>
  <si>
    <t>NP20170128103706584485</t>
  </si>
  <si>
    <t>qyp161211154503723</t>
  </si>
  <si>
    <t>NP20170128110834725933</t>
  </si>
  <si>
    <t>pmo170125211719368</t>
  </si>
  <si>
    <t>NC20170128152801094716</t>
  </si>
  <si>
    <t>331065391881</t>
  </si>
  <si>
    <t>NP20170128155924357628</t>
  </si>
  <si>
    <t>xhp170104224915336</t>
  </si>
  <si>
    <t>NP20170128164012043003</t>
  </si>
  <si>
    <t>scv170118105808683</t>
  </si>
  <si>
    <t>NI20170128174050040199</t>
  </si>
  <si>
    <t>331065631970</t>
  </si>
  <si>
    <t>NP20170128190537753257</t>
  </si>
  <si>
    <t>ghc170128161354542</t>
  </si>
  <si>
    <t>NC20170128211448273508</t>
  </si>
  <si>
    <t>pma170124164132373</t>
  </si>
  <si>
    <t>NP20170129092819622752</t>
  </si>
  <si>
    <t>ppg170125010357572</t>
  </si>
  <si>
    <t>NP20170129105028944752</t>
  </si>
  <si>
    <t>0065918359</t>
  </si>
  <si>
    <t>fp_3_114</t>
  </si>
  <si>
    <t>NP20170129111715069437</t>
  </si>
  <si>
    <t>331009106107</t>
  </si>
  <si>
    <t>NP20170129113651777133</t>
  </si>
  <si>
    <t>lcr160627111951049e3d49</t>
  </si>
  <si>
    <t>NI20170129120430805153</t>
  </si>
  <si>
    <t>331021782110</t>
  </si>
  <si>
    <t>NI20170129121938477563</t>
  </si>
  <si>
    <t>331066670610</t>
  </si>
  <si>
    <t>NP20170129141517841116</t>
  </si>
  <si>
    <t>tys170120103415586</t>
  </si>
  <si>
    <t>NP20170129142528504635</t>
  </si>
  <si>
    <t>201701291407044105</t>
  </si>
  <si>
    <t>NI20170129170417522917</t>
  </si>
  <si>
    <t>331061756160</t>
  </si>
  <si>
    <t>NP20170129170714604024</t>
  </si>
  <si>
    <t>331057548888</t>
  </si>
  <si>
    <t>NP20170129194253244081</t>
  </si>
  <si>
    <t>331034253488</t>
  </si>
  <si>
    <t>NP20170129200542616306</t>
  </si>
  <si>
    <t>xep170117223409963</t>
  </si>
  <si>
    <t>NP20170129205218761627</t>
  </si>
  <si>
    <t>yyw170129204543079</t>
  </si>
  <si>
    <t>NP20170129220033168673</t>
  </si>
  <si>
    <t>330965344610</t>
  </si>
  <si>
    <t>NI20170129224527406367</t>
  </si>
  <si>
    <t>331034394950</t>
  </si>
  <si>
    <t>NP20170130082849077446</t>
  </si>
  <si>
    <t>331044732940</t>
  </si>
  <si>
    <t>NP20170130100138413489</t>
  </si>
  <si>
    <t>ghc170130095621709</t>
  </si>
  <si>
    <t>NP20170130112234172691</t>
  </si>
  <si>
    <t>xep161225212532814</t>
  </si>
  <si>
    <t>NP20170130114033960334</t>
  </si>
  <si>
    <t>fna170130113210673</t>
  </si>
  <si>
    <t>NP20170130120823018312</t>
  </si>
  <si>
    <t>lcf160627111951046e90a8</t>
  </si>
  <si>
    <t>NP20170130125054262379</t>
  </si>
  <si>
    <t>hiy170130122246141</t>
  </si>
  <si>
    <t>NI20170130134046081152</t>
  </si>
  <si>
    <t>331067049598</t>
  </si>
  <si>
    <t>NI20170130135125348494</t>
  </si>
  <si>
    <t>pzf161213112937778</t>
  </si>
  <si>
    <t>NP20170130141130508109</t>
  </si>
  <si>
    <t>ddb170103171503123</t>
  </si>
  <si>
    <t>NI20170130143634948261</t>
  </si>
  <si>
    <t>331062443972</t>
  </si>
  <si>
    <t>NP20170130144025319264</t>
  </si>
  <si>
    <t>331064589586</t>
  </si>
  <si>
    <t>NP20170130155941465774</t>
  </si>
  <si>
    <t>331023338169</t>
  </si>
  <si>
    <t>NP20170130160150822382</t>
  </si>
  <si>
    <t>331023389172</t>
  </si>
  <si>
    <t>NI20170130165909757089</t>
  </si>
  <si>
    <t>sub170113134032118</t>
  </si>
  <si>
    <t>NP20170130194059870476</t>
  </si>
  <si>
    <t>doa170130193149333</t>
  </si>
  <si>
    <t>NP20170130210348404782</t>
  </si>
  <si>
    <t>jah170130200141866</t>
  </si>
  <si>
    <t>NP20170130213102817683</t>
  </si>
  <si>
    <t>xep161022141754336</t>
  </si>
  <si>
    <t>NP20170131081817539565</t>
  </si>
  <si>
    <t>331065601220</t>
  </si>
  <si>
    <t>NP20170131090942202844</t>
  </si>
  <si>
    <t>yyw170129091851948</t>
  </si>
  <si>
    <t>NP20170131100049585889</t>
  </si>
  <si>
    <t>doa170119135042098</t>
  </si>
  <si>
    <t>NI20170131104835853293</t>
  </si>
  <si>
    <t>mir170123181443869</t>
  </si>
  <si>
    <t>NI20170131111740822576</t>
  </si>
  <si>
    <t>201701061618037C904</t>
  </si>
  <si>
    <t>NP20170131113314524735</t>
  </si>
  <si>
    <t>330818351850</t>
  </si>
  <si>
    <t>NI20170131114818205112</t>
  </si>
  <si>
    <t>scv170108103029405</t>
  </si>
  <si>
    <t>NP20170131130513163084</t>
  </si>
  <si>
    <t>331068183539</t>
  </si>
  <si>
    <t>NP20170131132928710806</t>
  </si>
  <si>
    <t>331032991296</t>
  </si>
  <si>
    <t>NP20170131135623185066</t>
  </si>
  <si>
    <t>331017720406</t>
  </si>
  <si>
    <t>NI20170131153737489912</t>
  </si>
  <si>
    <t>331064673291</t>
  </si>
  <si>
    <t>NP20170131160405215959</t>
  </si>
  <si>
    <t>ysh170124230708864</t>
  </si>
  <si>
    <t>NP20170131170847222218</t>
  </si>
  <si>
    <t>yyw170131121151544</t>
  </si>
  <si>
    <t>NI20170131175138071470</t>
  </si>
  <si>
    <t>330996320681</t>
  </si>
  <si>
    <t>NP20170131181643989730</t>
  </si>
  <si>
    <t>new170106221231984</t>
  </si>
  <si>
    <t>NC20170131182337427732</t>
  </si>
  <si>
    <t>331043237002</t>
  </si>
  <si>
    <t>NP20170131221329448164</t>
  </si>
  <si>
    <t>330952723277</t>
  </si>
  <si>
    <t>NP20170131233636706950</t>
  </si>
  <si>
    <t>331020327591</t>
  </si>
  <si>
    <t>NI20170201004545490509</t>
  </si>
  <si>
    <t>xgx170131202855110</t>
  </si>
  <si>
    <t>NP20170201005437036654</t>
  </si>
  <si>
    <t>331066158553</t>
  </si>
  <si>
    <t>NP20170201021402922206</t>
  </si>
  <si>
    <t>box170125121725753</t>
  </si>
  <si>
    <t>NP20170201081142185487</t>
  </si>
  <si>
    <t>doa170131193719221</t>
  </si>
  <si>
    <t>NI20170201085644924343</t>
  </si>
  <si>
    <t>331068851539</t>
  </si>
  <si>
    <t>NP20170201094230911994</t>
  </si>
  <si>
    <t>doa170201092710287</t>
  </si>
  <si>
    <t>NI20170201095604379230</t>
  </si>
  <si>
    <t>C1702010014502</t>
  </si>
  <si>
    <t>NI20170201101842734557</t>
  </si>
  <si>
    <t>331032927000</t>
  </si>
  <si>
    <t>NP20170201110118347190</t>
  </si>
  <si>
    <t>jxp170131185957198</t>
  </si>
  <si>
    <t>NP20170201112857080872</t>
  </si>
  <si>
    <t>331069966484</t>
  </si>
  <si>
    <t>NP20170201123047267828</t>
  </si>
  <si>
    <t>pmo170201052009291</t>
  </si>
  <si>
    <t>NP20170201125047906988</t>
  </si>
  <si>
    <t>pzf170125142103212</t>
  </si>
  <si>
    <t>NP20170201131421777662</t>
  </si>
  <si>
    <t>doa161230114850600</t>
  </si>
  <si>
    <t>NP20170201131725331614</t>
  </si>
  <si>
    <t>xep161208124609027</t>
  </si>
  <si>
    <t>NP20170201142710547377</t>
  </si>
  <si>
    <t>xep170201015603958</t>
  </si>
  <si>
    <t>NP20170201152737452425</t>
  </si>
  <si>
    <t>ssw170121105344329</t>
  </si>
  <si>
    <t>NP20170201153701748810</t>
  </si>
  <si>
    <t>cfs170201152211355</t>
  </si>
  <si>
    <t>NP20170201162235555049</t>
  </si>
  <si>
    <t>xep170117115051068</t>
  </si>
  <si>
    <t>NP20170201192703652963</t>
  </si>
  <si>
    <t>xep170125131346105</t>
  </si>
  <si>
    <t>NI20170201192007072707</t>
  </si>
  <si>
    <t>331011550568</t>
  </si>
  <si>
    <t>NP20170201204910679656</t>
  </si>
  <si>
    <t>wyh170201190033327</t>
  </si>
  <si>
    <t>NI20170201215132043358</t>
  </si>
  <si>
    <t>331069832470</t>
  </si>
  <si>
    <t>NI20170201220912785355</t>
  </si>
  <si>
    <t>331069558818</t>
  </si>
  <si>
    <t>NI20170201233557025503</t>
  </si>
  <si>
    <t>331069897470</t>
  </si>
  <si>
    <t>NP20170202032724314779</t>
  </si>
  <si>
    <t>331070455030</t>
  </si>
  <si>
    <t>NP20170202063744918461</t>
  </si>
  <si>
    <t>331066244026</t>
  </si>
  <si>
    <t>NP20170202080625404471</t>
  </si>
  <si>
    <t>xss170116162938064</t>
  </si>
  <si>
    <t>NP20170202100228317610</t>
  </si>
  <si>
    <t>331052587775</t>
  </si>
  <si>
    <t>NP20170202103446340055</t>
  </si>
  <si>
    <t>331052567776</t>
  </si>
  <si>
    <t>NP20170202103432365659</t>
  </si>
  <si>
    <t>331063992996</t>
  </si>
  <si>
    <t>bp_3_020</t>
  </si>
  <si>
    <t>NP20170202111049526812</t>
  </si>
  <si>
    <t>331070660399</t>
  </si>
  <si>
    <t>NP20170202121735163773</t>
  </si>
  <si>
    <t>331052071937</t>
  </si>
  <si>
    <t>NP20170202130657351410</t>
  </si>
  <si>
    <t>wxw170105171938056</t>
  </si>
  <si>
    <t>NP20170202130837182805</t>
  </si>
  <si>
    <t>jzj170105193319831</t>
  </si>
  <si>
    <t>NP20170202142817535667</t>
  </si>
  <si>
    <t>xep170117231321271</t>
  </si>
  <si>
    <t>NP20170202145618298195</t>
  </si>
  <si>
    <t>331056248176</t>
  </si>
  <si>
    <t>NP20170202160327097564</t>
  </si>
  <si>
    <t>czl170130152512635</t>
  </si>
  <si>
    <t>NP20170202163113807943</t>
  </si>
  <si>
    <t>331070469159</t>
  </si>
  <si>
    <t>NP20170202164520094268</t>
  </si>
  <si>
    <t>joy170127234203382</t>
  </si>
  <si>
    <t>NP20170202165708200841</t>
  </si>
  <si>
    <t>xep170116194604681</t>
  </si>
  <si>
    <t>NP20170202231818729088</t>
  </si>
  <si>
    <t>yse170201180839883</t>
  </si>
  <si>
    <t>NP20170202233413534439</t>
  </si>
  <si>
    <t>yyw170202231005521</t>
  </si>
  <si>
    <t>NP20170202235850133423</t>
  </si>
  <si>
    <t>331062590254</t>
  </si>
  <si>
    <t>NI20170203005553037788</t>
  </si>
  <si>
    <t>331070287970</t>
  </si>
  <si>
    <t>NP20170203085612957825</t>
  </si>
  <si>
    <t>331043996334</t>
  </si>
  <si>
    <t>NI20170203095619934172</t>
  </si>
  <si>
    <t>xhp170119121905399</t>
  </si>
  <si>
    <t>NP20170203111809687765</t>
  </si>
  <si>
    <t>yyw161129203257708</t>
  </si>
  <si>
    <t>NP20170203113245630705</t>
  </si>
  <si>
    <t>ysy170202224155049</t>
  </si>
  <si>
    <t>NP20170203113236589572</t>
  </si>
  <si>
    <t>331007728487</t>
  </si>
  <si>
    <t>NP20170203113944017852</t>
  </si>
  <si>
    <t>330959460216</t>
  </si>
  <si>
    <t>NI20170203115127139779</t>
  </si>
  <si>
    <t>czl170124093851016</t>
  </si>
  <si>
    <t>NP20170203120056394529</t>
  </si>
  <si>
    <t>331071385421</t>
  </si>
  <si>
    <t>NI20170203120549535641</t>
  </si>
  <si>
    <t>xep170131084613236</t>
  </si>
  <si>
    <t>NI20170203125034393592</t>
  </si>
  <si>
    <t>zgl170128173150265</t>
  </si>
  <si>
    <t>NP20170203140854552107</t>
  </si>
  <si>
    <t>qni161219221647539eb62e</t>
  </si>
  <si>
    <t>NP20170203140542771979</t>
  </si>
  <si>
    <t>sdc170120110414565</t>
  </si>
  <si>
    <t>NP20170203141126724681</t>
  </si>
  <si>
    <t>330997630932</t>
  </si>
  <si>
    <t>NP20170203152305259496</t>
  </si>
  <si>
    <t>liy170124234211513</t>
  </si>
  <si>
    <t>NI20170203153848467274</t>
  </si>
  <si>
    <t>331071382343</t>
  </si>
  <si>
    <t>NI20170203160139532811</t>
  </si>
  <si>
    <t>xep170130170513282</t>
  </si>
  <si>
    <t>NI20170203163024430049</t>
  </si>
  <si>
    <t>331067679265</t>
  </si>
  <si>
    <t>NP20170203171449220428</t>
  </si>
  <si>
    <t>xep170126120511177</t>
  </si>
  <si>
    <t>NP20170203180348054974</t>
  </si>
  <si>
    <t>xep170104101848552</t>
  </si>
  <si>
    <t>NP20170203190148004489</t>
  </si>
  <si>
    <t>331034904857</t>
  </si>
  <si>
    <t>NI20170203193535754504</t>
  </si>
  <si>
    <t>czc170130132707163</t>
  </si>
  <si>
    <t>NP20170203213959751896</t>
  </si>
  <si>
    <t>yyw170203183327768</t>
  </si>
  <si>
    <t>NP20170203220420223346</t>
  </si>
  <si>
    <t>doa170203201710592</t>
  </si>
  <si>
    <t>NP20170203220841067437</t>
  </si>
  <si>
    <t>331057824118</t>
  </si>
  <si>
    <t>NI20170203234753047385</t>
  </si>
  <si>
    <t>331071208840</t>
  </si>
  <si>
    <t>NP20170204000624996817</t>
  </si>
  <si>
    <t>330793668995</t>
  </si>
  <si>
    <t>NP20170204051215880697</t>
  </si>
  <si>
    <t>331070164157</t>
  </si>
  <si>
    <t>NP20170204055204346087</t>
  </si>
  <si>
    <t>331014534099</t>
  </si>
  <si>
    <t>NP20170204062851455133</t>
  </si>
  <si>
    <t>mxc170203154835129</t>
  </si>
  <si>
    <t>NP20170204074350703901</t>
  </si>
  <si>
    <t>ghc170102200502738</t>
  </si>
  <si>
    <t>NI20170204081415101207</t>
  </si>
  <si>
    <t>xep170124104426147</t>
  </si>
  <si>
    <t>NI20170204084757063302</t>
  </si>
  <si>
    <t>hxz170114082612290</t>
  </si>
  <si>
    <t>NP20170204091759427375</t>
  </si>
  <si>
    <t>ghc170203185705053</t>
  </si>
  <si>
    <t>NP20170204093232515293</t>
  </si>
  <si>
    <t>331072134166</t>
  </si>
  <si>
    <t>NP20170204094540137066</t>
  </si>
  <si>
    <t>mir170202152939853</t>
  </si>
  <si>
    <t>NI20170204095507348093</t>
  </si>
  <si>
    <t>doa161212115550161</t>
  </si>
  <si>
    <t>NI20170204100208001919</t>
  </si>
  <si>
    <t>yme170121115912630</t>
  </si>
  <si>
    <t>NP20170204101955168515</t>
  </si>
  <si>
    <t>331004586023</t>
  </si>
  <si>
    <t>NO20170204103328194088</t>
  </si>
  <si>
    <t>xep170204093608939</t>
  </si>
  <si>
    <t>NP20170204110603889626</t>
  </si>
  <si>
    <t>fna170204105254914</t>
  </si>
  <si>
    <t>NP20170204111409563905</t>
  </si>
  <si>
    <t>331072511677</t>
  </si>
  <si>
    <t>NP20170204112031941711</t>
  </si>
  <si>
    <t>txb170204105254913</t>
  </si>
  <si>
    <t>NP20170204112454033669</t>
  </si>
  <si>
    <t>xep161219131156778</t>
  </si>
  <si>
    <t>NP20170204113633629719</t>
  </si>
  <si>
    <t>pzf161222101814500</t>
  </si>
  <si>
    <t>NP20170204114732466754</t>
  </si>
  <si>
    <t>331071038319</t>
  </si>
  <si>
    <t>bp_3_018</t>
  </si>
  <si>
    <t>NP20170204114700331061</t>
  </si>
  <si>
    <t>201701141332436902</t>
  </si>
  <si>
    <t>NI20170204122452665736</t>
  </si>
  <si>
    <t>yyw170114091615147</t>
  </si>
  <si>
    <t>NP20170204125106765295</t>
  </si>
  <si>
    <t>331000009250</t>
  </si>
  <si>
    <t>NP20170204134339147575</t>
  </si>
  <si>
    <t>xgx170204092109340</t>
  </si>
  <si>
    <t>NP20170204134247192683</t>
  </si>
  <si>
    <t>sme170117145652679</t>
  </si>
  <si>
    <t>NP20170204145038496004</t>
  </si>
  <si>
    <t>331072070962</t>
  </si>
  <si>
    <t>bp_3_058</t>
  </si>
  <si>
    <t>NP20170204145550900557</t>
  </si>
  <si>
    <t>xep170128213830267</t>
  </si>
  <si>
    <t>NP20170204151117210691</t>
  </si>
  <si>
    <t>ysy170204090751551</t>
  </si>
  <si>
    <t>NP20170204152034637449</t>
  </si>
  <si>
    <t>20170204144838TF208</t>
  </si>
  <si>
    <t>fp_3_064</t>
  </si>
  <si>
    <t>NI20170204154310191488</t>
  </si>
  <si>
    <t>331016306064</t>
  </si>
  <si>
    <t>NP20170204155155825168</t>
  </si>
  <si>
    <t>331071186056</t>
  </si>
  <si>
    <t>NP20170204154605921531</t>
  </si>
  <si>
    <t>pzf170105114416772</t>
  </si>
  <si>
    <t>NI20170204170931283309</t>
  </si>
  <si>
    <t>330980773952</t>
  </si>
  <si>
    <t>NP20170204171445208610</t>
  </si>
  <si>
    <t>bbw170113162744874</t>
  </si>
  <si>
    <t>NO20170204173751898686</t>
  </si>
  <si>
    <t>330913679319</t>
  </si>
  <si>
    <t>NP20170204175809888375</t>
  </si>
  <si>
    <t>xgx170126084809240</t>
  </si>
  <si>
    <t>NP20170204180046186543</t>
  </si>
  <si>
    <t>331071600998</t>
  </si>
  <si>
    <t>NO20170204182632326280</t>
  </si>
  <si>
    <t>330995738966</t>
  </si>
  <si>
    <t>NP20170204191908725122</t>
  </si>
  <si>
    <t>wdy170125152737721</t>
  </si>
  <si>
    <t>NP20170204202449615444</t>
  </si>
  <si>
    <t>hua170201175624404</t>
  </si>
  <si>
    <t>NP20170204220414372638</t>
  </si>
  <si>
    <t>20170204215300TF769</t>
  </si>
  <si>
    <t>NI20170205003636786881</t>
  </si>
  <si>
    <t>xep170125224337997</t>
  </si>
  <si>
    <t>NP20170205004513593910</t>
  </si>
  <si>
    <t>331073201649</t>
  </si>
  <si>
    <t>NP20170205060329033048</t>
  </si>
  <si>
    <t>330994652024</t>
  </si>
  <si>
    <t>NP20170205072433574775</t>
  </si>
  <si>
    <t>xuy170204155813080</t>
  </si>
  <si>
    <t>NC20170205075417279629</t>
  </si>
  <si>
    <t>331073431782</t>
  </si>
  <si>
    <t>NP20170205100509487032</t>
  </si>
  <si>
    <t>xep170129115838194</t>
  </si>
  <si>
    <t>NP20170205103331893335</t>
  </si>
  <si>
    <t>331071249389</t>
  </si>
  <si>
    <t>NP20170205104015281163</t>
  </si>
  <si>
    <t>yyw170205103458908</t>
  </si>
  <si>
    <t>p_3_152</t>
  </si>
  <si>
    <t>NP20170205113515072698</t>
  </si>
  <si>
    <t>331072177445</t>
  </si>
  <si>
    <t>NP20170205115537356735</t>
  </si>
  <si>
    <t>331073858382</t>
  </si>
  <si>
    <t>NP20170205115859861779</t>
  </si>
  <si>
    <t>331048378824</t>
  </si>
  <si>
    <t>NP20170205122828718065</t>
  </si>
  <si>
    <t>tyx170205122001717</t>
  </si>
  <si>
    <t>NI20170205122546573340</t>
  </si>
  <si>
    <t>xep170111094602079</t>
  </si>
  <si>
    <t>NI20170205123007393794</t>
  </si>
  <si>
    <t>331073924713</t>
  </si>
  <si>
    <t>NP20170205123625766382</t>
  </si>
  <si>
    <t>331073009660</t>
  </si>
  <si>
    <t>NP20170205124242163358</t>
  </si>
  <si>
    <t>hfp170130144342560</t>
  </si>
  <si>
    <t>NP20170205124503952102</t>
  </si>
  <si>
    <t>331071519572</t>
  </si>
  <si>
    <t>NP20170205131121440901</t>
  </si>
  <si>
    <t>doa170121164519475</t>
  </si>
  <si>
    <t>NI20170205130858690251</t>
  </si>
  <si>
    <t>331072859892</t>
  </si>
  <si>
    <t>NP20170205133547395547</t>
  </si>
  <si>
    <t>331072776004</t>
  </si>
  <si>
    <t>NP20170205134836238518</t>
  </si>
  <si>
    <t>xep170205134012523</t>
  </si>
  <si>
    <t>NP20170205135935645423</t>
  </si>
  <si>
    <t>xep170118110828801</t>
  </si>
  <si>
    <t>NP20170205142248704935</t>
  </si>
  <si>
    <t>doa170119204032876</t>
  </si>
  <si>
    <t>NP20170205144839463522</t>
  </si>
  <si>
    <t>xep170205143326499</t>
  </si>
  <si>
    <t>NI20170205150533224912</t>
  </si>
  <si>
    <t>331054914369</t>
  </si>
  <si>
    <t>NP20170205163158667179</t>
  </si>
  <si>
    <t>331073804774</t>
  </si>
  <si>
    <t>NP20170205182925068579</t>
  </si>
  <si>
    <t>331062947947</t>
  </si>
  <si>
    <t>NP20170205183421891744</t>
  </si>
  <si>
    <t>331073248591</t>
  </si>
  <si>
    <t>NP20170205182947728565</t>
  </si>
  <si>
    <t>hxg170202125531192</t>
  </si>
  <si>
    <t>NP20170205210941294245</t>
  </si>
  <si>
    <t>331028377134</t>
  </si>
  <si>
    <t>NP20170205221118366288</t>
  </si>
  <si>
    <t>cfs161214161209835</t>
  </si>
  <si>
    <t>NP20170205223014090142</t>
  </si>
  <si>
    <t>yck170205222926984</t>
  </si>
  <si>
    <t>NP20170206051800969928</t>
  </si>
  <si>
    <t>330963931044</t>
  </si>
  <si>
    <t>NP20170206062122307539</t>
  </si>
  <si>
    <t>xep170124185526887</t>
  </si>
  <si>
    <t>NP20170206064203422366</t>
  </si>
  <si>
    <t>331074464290</t>
  </si>
  <si>
    <t>NP20170206082833226869</t>
  </si>
  <si>
    <t>xep170206082207446</t>
  </si>
  <si>
    <t>NP20170206084637414789</t>
  </si>
  <si>
    <t>hhz170119122330596</t>
  </si>
  <si>
    <t>NI20170206091718838865</t>
  </si>
  <si>
    <t>51170128305432</t>
  </si>
  <si>
    <t>NP20170206090435851645</t>
  </si>
  <si>
    <t>yyw170120224703473</t>
  </si>
  <si>
    <t>NP20170206095502679918</t>
  </si>
  <si>
    <t>20170123145301TF573</t>
  </si>
  <si>
    <t>NP20170206101538111282</t>
  </si>
  <si>
    <t>331061605881</t>
  </si>
  <si>
    <t>NP20170206102859869688</t>
  </si>
  <si>
    <t>hud170205095513741</t>
  </si>
  <si>
    <t>NC20170206105028319961</t>
  </si>
  <si>
    <t>xep170203121110272</t>
  </si>
  <si>
    <t>NP20170206120946856807</t>
  </si>
  <si>
    <t>tjf170126081658720</t>
  </si>
  <si>
    <t>NP20170206121927921098</t>
  </si>
  <si>
    <t>doa170206121508760</t>
  </si>
  <si>
    <t>p_3_146</t>
  </si>
  <si>
    <t>NP20170206121805106950</t>
  </si>
  <si>
    <t>pzf161225133400516</t>
  </si>
  <si>
    <t>NP20170206121825839322</t>
  </si>
  <si>
    <t>xep161130214324518</t>
  </si>
  <si>
    <t>NP20170206122749567296</t>
  </si>
  <si>
    <t>doa170117193452350</t>
  </si>
  <si>
    <t>NP20170206123445567416</t>
  </si>
  <si>
    <t>xep170116234437719</t>
  </si>
  <si>
    <t>NP20170206131513278737</t>
  </si>
  <si>
    <t>331060974341</t>
  </si>
  <si>
    <t>NP20170206132825242093</t>
  </si>
  <si>
    <t>20161228143635KE565</t>
  </si>
  <si>
    <t>NI20170206132543424148</t>
  </si>
  <si>
    <t>331071767200</t>
  </si>
  <si>
    <t>NP20170206133908711684</t>
  </si>
  <si>
    <t>nhq170130105933751</t>
  </si>
  <si>
    <t>NP20170206135728962763</t>
  </si>
  <si>
    <t>hiy170204201155276</t>
  </si>
  <si>
    <t>NP20170206140120952217</t>
  </si>
  <si>
    <t>pmo170123110850978</t>
  </si>
  <si>
    <t>NP20170206140051834052</t>
  </si>
  <si>
    <t>ghc170206134046170</t>
  </si>
  <si>
    <t>NP20170206140915830585</t>
  </si>
  <si>
    <t>330962261657</t>
  </si>
  <si>
    <t>NP20170206140953735189</t>
  </si>
  <si>
    <t>doa170112114315352</t>
  </si>
  <si>
    <t>NP20170206141332217575</t>
  </si>
  <si>
    <t>hiy170129131923205</t>
  </si>
  <si>
    <t>NP20170206142240011062</t>
  </si>
  <si>
    <t>xep161230152850477</t>
  </si>
  <si>
    <t>NP20170206143803569785</t>
  </si>
  <si>
    <t>doa170118162857526</t>
  </si>
  <si>
    <t>NP20170206144410812450</t>
  </si>
  <si>
    <t>201701021220304616</t>
  </si>
  <si>
    <t>NI20170206151724954164</t>
  </si>
  <si>
    <t>331066243334</t>
  </si>
  <si>
    <t>NP20170206145951666615</t>
  </si>
  <si>
    <t>331016136713</t>
  </si>
  <si>
    <t>NP20170206105102828494</t>
  </si>
  <si>
    <t>331016877193</t>
  </si>
  <si>
    <t>NP20170206153422760445</t>
  </si>
  <si>
    <t>tjf170116092816927</t>
  </si>
  <si>
    <t>NP20170206155422990597</t>
  </si>
  <si>
    <t>hiy170120093014988</t>
  </si>
  <si>
    <t>NP20170206161451459805</t>
  </si>
  <si>
    <t>czl170206154959058</t>
  </si>
  <si>
    <t>NC20170206163802051597</t>
  </si>
  <si>
    <t>yyw170122234036884</t>
  </si>
  <si>
    <t>NP20170206165508088056</t>
  </si>
  <si>
    <t>yjw170122233110475</t>
  </si>
  <si>
    <t>NP20170206165730912398</t>
  </si>
  <si>
    <t>xep170115185759252</t>
  </si>
  <si>
    <t>NP20170206170901259293</t>
  </si>
  <si>
    <t>331074673866</t>
  </si>
  <si>
    <t>NP20170206171050523761</t>
  </si>
  <si>
    <t>jah170206165801970</t>
  </si>
  <si>
    <t>NP20170206171517622437</t>
  </si>
  <si>
    <t>331063882086</t>
  </si>
  <si>
    <t>NP20170206173352640130</t>
  </si>
  <si>
    <t>doa170111204611800</t>
  </si>
  <si>
    <t>NP20170206174333552797</t>
  </si>
  <si>
    <t>xep170126082139183</t>
  </si>
  <si>
    <t>NP20170206180940847488</t>
  </si>
  <si>
    <t>xeb160905073513087e352f</t>
  </si>
  <si>
    <t>NP20170206181910304705</t>
  </si>
  <si>
    <t>xep161230210207437</t>
  </si>
  <si>
    <t>NI20170206182330848408</t>
  </si>
  <si>
    <t>331074152704</t>
  </si>
  <si>
    <t>NP20170206193035636267</t>
  </si>
  <si>
    <t>srs170204154614128</t>
  </si>
  <si>
    <t>NP20170206193745623840</t>
  </si>
  <si>
    <t>331061806075</t>
  </si>
  <si>
    <t>NP20170206200935705251</t>
  </si>
  <si>
    <t>331072325035</t>
  </si>
  <si>
    <t>NP20170206201415197678</t>
  </si>
  <si>
    <t>qyu170206170823626</t>
  </si>
  <si>
    <t>NP20170206201446131173</t>
  </si>
  <si>
    <t>201701051855419C877</t>
  </si>
  <si>
    <t>fp_3_061</t>
  </si>
  <si>
    <t>NP20170206202657433690</t>
  </si>
  <si>
    <t>xep170206201031087</t>
  </si>
  <si>
    <t>NP20170206205014654159</t>
  </si>
  <si>
    <t>yzl170201115839880</t>
  </si>
  <si>
    <t>NP20170206205636903687</t>
  </si>
  <si>
    <t>xep170111231111050</t>
  </si>
  <si>
    <t>NP20170206212542080686</t>
  </si>
  <si>
    <t>331032366606</t>
  </si>
  <si>
    <t>NP20170206214140293957</t>
  </si>
  <si>
    <t>tdt170130231844265</t>
  </si>
  <si>
    <t>NP20170206222828285099</t>
  </si>
  <si>
    <t>doa170117094039458</t>
  </si>
  <si>
    <t>NP20170206223645314772</t>
  </si>
  <si>
    <t>sme170114175039228</t>
  </si>
  <si>
    <t>NP20170206231121667459</t>
  </si>
  <si>
    <t>xep161116215141189</t>
  </si>
  <si>
    <t>NP20170207002421282772</t>
  </si>
  <si>
    <t>nhq170206194750601</t>
  </si>
  <si>
    <t>NP20170207060943088500</t>
  </si>
  <si>
    <t>331043241185</t>
  </si>
  <si>
    <t>NP20170207092128349934</t>
  </si>
  <si>
    <t>nhq170201110905236</t>
  </si>
  <si>
    <t>NP20170207092034114254</t>
  </si>
  <si>
    <t>qid170115100626464</t>
  </si>
  <si>
    <t>NP20170207092919795388</t>
  </si>
  <si>
    <t>jql170204142459413</t>
  </si>
  <si>
    <t>NP20170207093327167884</t>
  </si>
  <si>
    <t>lyw170204164006783</t>
  </si>
  <si>
    <t>NP20170207093908063736</t>
  </si>
  <si>
    <t>331047891615</t>
  </si>
  <si>
    <t>NP20170207094355291408</t>
  </si>
  <si>
    <t>20170204215514TF638</t>
  </si>
  <si>
    <t>NP20170207095655328344</t>
  </si>
  <si>
    <t>nhq170207095034502</t>
  </si>
  <si>
    <t>NP20170207095301605602</t>
  </si>
  <si>
    <t>331000649239</t>
  </si>
  <si>
    <t>NP20170207103557557064</t>
  </si>
  <si>
    <t>331074368903</t>
  </si>
  <si>
    <t>NP20170207103702657175</t>
  </si>
  <si>
    <t>201702050228143K518</t>
  </si>
  <si>
    <t>NP20170207104736886941</t>
  </si>
  <si>
    <t>dzc170121115229991</t>
  </si>
  <si>
    <t>NP20170207105053455555</t>
  </si>
  <si>
    <t>cqu160316112930109</t>
  </si>
  <si>
    <t>NP20170207105514056565</t>
  </si>
  <si>
    <t>331074338806</t>
  </si>
  <si>
    <t>NC20170207110436472686</t>
  </si>
  <si>
    <t>331053465154</t>
  </si>
  <si>
    <t>NP20170207121148713129</t>
  </si>
  <si>
    <t>yyw170115172229620</t>
  </si>
  <si>
    <t>NI20170207121313971531</t>
  </si>
  <si>
    <t>xep170206130135694</t>
  </si>
  <si>
    <t>NP20170207122638847674</t>
  </si>
  <si>
    <t>331075074432</t>
  </si>
  <si>
    <t>NP20170207124143161708</t>
  </si>
  <si>
    <t>qdu170207113547847</t>
  </si>
  <si>
    <t>NP20170207130359102594</t>
  </si>
  <si>
    <t>331020690385</t>
  </si>
  <si>
    <t>NC20170207133204395715</t>
  </si>
  <si>
    <t>331060848508</t>
  </si>
  <si>
    <t>NP20170207135310596927</t>
  </si>
  <si>
    <t>doa170202110641522</t>
  </si>
  <si>
    <t>NP20170207135308528758</t>
  </si>
  <si>
    <t>pgl170131100734357</t>
  </si>
  <si>
    <t>NP20170207142225120479</t>
  </si>
  <si>
    <t>331068576513</t>
  </si>
  <si>
    <t>NP20170207142257966279</t>
  </si>
  <si>
    <t>nhq170112140400926</t>
  </si>
  <si>
    <t>NP20170207144138039671</t>
  </si>
  <si>
    <t>xep170129105227394</t>
  </si>
  <si>
    <t>NP20170207145337783154</t>
  </si>
  <si>
    <t>pmo170118174023375</t>
  </si>
  <si>
    <t>NP20170207151451967322</t>
  </si>
  <si>
    <t>sdc170203160318602</t>
  </si>
  <si>
    <t>NP20170207153001248648</t>
  </si>
  <si>
    <t>201702010125139C225</t>
  </si>
  <si>
    <t>NP20170207161503874874</t>
  </si>
  <si>
    <t>xep170123160604808</t>
  </si>
  <si>
    <t>NP20170207164028519648</t>
  </si>
  <si>
    <t>tjf170119125533292</t>
  </si>
  <si>
    <t>NP20170207173052833499</t>
  </si>
  <si>
    <t>20170207012224TF443</t>
  </si>
  <si>
    <t>NO20170207174253603981</t>
  </si>
  <si>
    <t>hiy170207104405525</t>
  </si>
  <si>
    <t>NP20170207185546080048</t>
  </si>
  <si>
    <t>yme161225195542833</t>
  </si>
  <si>
    <t>NP20170207185522060301</t>
  </si>
  <si>
    <t>klf170102223456414</t>
  </si>
  <si>
    <t>NP20170207185431520431</t>
  </si>
  <si>
    <t>ltg170207184008489</t>
  </si>
  <si>
    <t>NP20170207185350283292</t>
  </si>
  <si>
    <t>hxg170207183607557</t>
  </si>
  <si>
    <t>NP20170207192732646523</t>
  </si>
  <si>
    <t>qni170207164955823eb427</t>
  </si>
  <si>
    <t>NP20170207192747057541</t>
  </si>
  <si>
    <t>20170207175504TZ569</t>
  </si>
  <si>
    <t>NP20170207193837297695</t>
  </si>
  <si>
    <t>yyw170129185121769</t>
  </si>
  <si>
    <t>NP20170207193204042829</t>
  </si>
  <si>
    <t>331074570299</t>
  </si>
  <si>
    <t>bp_3_076</t>
  </si>
  <si>
    <t>NP20170207201347215952</t>
  </si>
  <si>
    <t>sdc170206093913306</t>
  </si>
  <si>
    <t>NP20170207214333701791</t>
  </si>
  <si>
    <t>331058814488</t>
  </si>
  <si>
    <t>NI20170207221304932141</t>
  </si>
  <si>
    <t>331075244106</t>
  </si>
  <si>
    <t>NP20170207221748262098</t>
  </si>
  <si>
    <t>xep170207221504513</t>
  </si>
  <si>
    <t>NI20170207222732483907</t>
  </si>
  <si>
    <t>331075432080</t>
  </si>
  <si>
    <t>NP20170207224113297249</t>
  </si>
  <si>
    <t>331075898790</t>
  </si>
  <si>
    <t>NI20170207224607900253</t>
  </si>
  <si>
    <t>fna170207220619205</t>
  </si>
  <si>
    <t>NP20170208001221975117</t>
  </si>
  <si>
    <t>20161014114709TF211</t>
  </si>
  <si>
    <t>NI20170208005503859515</t>
  </si>
  <si>
    <t>xep170208003138767</t>
  </si>
  <si>
    <t>NI20170208071721628177</t>
  </si>
  <si>
    <t>nhq170127015811653</t>
  </si>
  <si>
    <t>NP20170208075503614278</t>
  </si>
  <si>
    <t>xep170208071304182</t>
  </si>
  <si>
    <t>NI20170208084747369053</t>
  </si>
  <si>
    <t>xep170207215718799</t>
  </si>
  <si>
    <t>NC20170208094321178148</t>
  </si>
  <si>
    <t>331018468035</t>
  </si>
  <si>
    <t>NP20170208102655391696</t>
  </si>
  <si>
    <t>331041049282</t>
  </si>
  <si>
    <t>NP20170208103821588739</t>
  </si>
  <si>
    <t>331076745292</t>
  </si>
  <si>
    <t>NP20170208111953614004</t>
  </si>
  <si>
    <t>sme170208102346999</t>
  </si>
  <si>
    <t>NP20170208112458583620</t>
  </si>
  <si>
    <t>yyw170117170556483</t>
  </si>
  <si>
    <t>NP20170208113209931523</t>
  </si>
  <si>
    <t>xep170207145946969</t>
  </si>
  <si>
    <t>NI20170208113028855369</t>
  </si>
  <si>
    <t>331071476617</t>
  </si>
  <si>
    <t>NC20170208113556614090</t>
  </si>
  <si>
    <t>mhl170112160741026</t>
  </si>
  <si>
    <t>NC20170208115616028654</t>
  </si>
  <si>
    <t>331004827146</t>
  </si>
  <si>
    <t>NP20170208120145779629</t>
  </si>
  <si>
    <t>wxw170125153459229</t>
  </si>
  <si>
    <t>NP20170208121604153632</t>
  </si>
  <si>
    <t>xep170208114457159</t>
  </si>
  <si>
    <t>NP20170208122509143739</t>
  </si>
  <si>
    <t>331003065204</t>
  </si>
  <si>
    <t>NP20170208130242341195</t>
  </si>
  <si>
    <t>nhq170207135109698</t>
  </si>
  <si>
    <t>NP20170208132628770858</t>
  </si>
  <si>
    <t>331075823801</t>
  </si>
  <si>
    <t>NP20170208134751265933</t>
  </si>
  <si>
    <t>331075395497</t>
  </si>
  <si>
    <t>NP20170208135828369088</t>
  </si>
  <si>
    <t>scv170124224443599</t>
  </si>
  <si>
    <t>NP20170208140155566657</t>
  </si>
  <si>
    <t>hiy170206165901190</t>
  </si>
  <si>
    <t>NP20170208140806653423</t>
  </si>
  <si>
    <t>17020713094063cf72x</t>
  </si>
  <si>
    <t>NP20170208144022381877</t>
  </si>
  <si>
    <t>ghc170118174231885</t>
  </si>
  <si>
    <t>NP20170208144317343948</t>
  </si>
  <si>
    <t>ebb170207144030679</t>
  </si>
  <si>
    <t>NP20170208144541738441</t>
  </si>
  <si>
    <t>jyk170207134424862</t>
  </si>
  <si>
    <t>NP20170208145103505350</t>
  </si>
  <si>
    <t>yyw170114225123284</t>
  </si>
  <si>
    <t>NP20170208145024678068</t>
  </si>
  <si>
    <t>331061400520</t>
  </si>
  <si>
    <t>NP20170208145639734426</t>
  </si>
  <si>
    <t>xep170111083506909</t>
  </si>
  <si>
    <t>NP20170208145851701331</t>
  </si>
  <si>
    <t>bhs170207153148895</t>
  </si>
  <si>
    <t>NP20170208150010408199</t>
  </si>
  <si>
    <t>doa170207114532169</t>
  </si>
  <si>
    <t>NI20170208153217513828</t>
  </si>
  <si>
    <t>331075498390</t>
  </si>
  <si>
    <t>NP20170208154721265262</t>
  </si>
  <si>
    <t>xep170115143438413</t>
  </si>
  <si>
    <t>NP20170208160238925779</t>
  </si>
  <si>
    <t>331052439159</t>
  </si>
  <si>
    <t>NP20170208161042985992</t>
  </si>
  <si>
    <t>331076378404</t>
  </si>
  <si>
    <t>NP20170208161816892316</t>
  </si>
  <si>
    <t>bbw161224071324992</t>
  </si>
  <si>
    <t>NP20170208161733243947</t>
  </si>
  <si>
    <t>201701112302357C580</t>
  </si>
  <si>
    <t>NP20170208162034910758</t>
  </si>
  <si>
    <t>330980402997</t>
  </si>
  <si>
    <t>NP20170208162543196120</t>
  </si>
  <si>
    <t>sub170117214109014</t>
  </si>
  <si>
    <t>NP20170208161711078871</t>
  </si>
  <si>
    <t>331063675795</t>
  </si>
  <si>
    <t>NP20170208163756293613</t>
  </si>
  <si>
    <t>qqd160729140457423e5a09</t>
  </si>
  <si>
    <t>NP20170208171200334403</t>
  </si>
  <si>
    <t>xdh170205140851662</t>
  </si>
  <si>
    <t>NP20170208171506067875</t>
  </si>
  <si>
    <t>330950538523</t>
  </si>
  <si>
    <t>NI20170208173852184203</t>
  </si>
  <si>
    <t>doa170206222517842</t>
  </si>
  <si>
    <t>NP20170208174909744107</t>
  </si>
  <si>
    <t>331072608669</t>
  </si>
  <si>
    <t>NP20170208180942597339</t>
  </si>
  <si>
    <t>331076413309</t>
  </si>
  <si>
    <t>NG20170208191649515291</t>
  </si>
  <si>
    <t>331059592559</t>
  </si>
  <si>
    <t>NP20170208195106186656</t>
  </si>
  <si>
    <t>331015783906</t>
  </si>
  <si>
    <t>NC20170208200435197543</t>
  </si>
  <si>
    <t>331056586146</t>
  </si>
  <si>
    <t>NP20170208200845204564</t>
  </si>
  <si>
    <t>331034443749</t>
  </si>
  <si>
    <t>NP20170208201716542885</t>
  </si>
  <si>
    <t>xuy170204195241478</t>
  </si>
  <si>
    <t>NI20170208202839295747</t>
  </si>
  <si>
    <t>ygx160520214008702</t>
  </si>
  <si>
    <t>NP20170208223849077960</t>
  </si>
  <si>
    <t>331070037467</t>
  </si>
  <si>
    <t>NP20170208224813024919</t>
  </si>
  <si>
    <t>331055423324</t>
  </si>
  <si>
    <t>NP20170208225407948837</t>
  </si>
  <si>
    <t>bsx170208104417802</t>
  </si>
  <si>
    <t>NP20170208232042562825</t>
  </si>
  <si>
    <t>330993431519</t>
  </si>
  <si>
    <t>NC20170209091259740921</t>
  </si>
  <si>
    <t>hiy170104115026977</t>
  </si>
  <si>
    <t>NP20170209094454061879</t>
  </si>
  <si>
    <t>qyu170103110834543</t>
  </si>
  <si>
    <t>NP20170209095841118803</t>
  </si>
  <si>
    <t>331073494596</t>
  </si>
  <si>
    <t>NP20170209100223158541</t>
  </si>
  <si>
    <t>pzf170206110305854</t>
  </si>
  <si>
    <t>NP20170209100218169678</t>
  </si>
  <si>
    <t>201701111006498531</t>
  </si>
  <si>
    <t>NP20170209100445528575</t>
  </si>
  <si>
    <t>0066661968</t>
  </si>
  <si>
    <t>NP20170209100443023370</t>
  </si>
  <si>
    <t>xep161005111025221</t>
  </si>
  <si>
    <t>NP20170209100752901946</t>
  </si>
  <si>
    <t>0066662226</t>
  </si>
  <si>
    <t>NP20170209101141663680</t>
  </si>
  <si>
    <t>sub170203151847992</t>
  </si>
  <si>
    <t>NP20170209101353449692</t>
  </si>
  <si>
    <t>331062449523</t>
  </si>
  <si>
    <t>NI20170209101949074969</t>
  </si>
  <si>
    <t>331075627893</t>
  </si>
  <si>
    <t>NP20170209102218173948</t>
  </si>
  <si>
    <t>xep161226195928445</t>
  </si>
  <si>
    <t>NP20170209113108487712</t>
  </si>
  <si>
    <t>jql170209085504230</t>
  </si>
  <si>
    <t>NP20170209112312201697</t>
  </si>
  <si>
    <t>51161201865026</t>
  </si>
  <si>
    <t>NP20170209113521538433</t>
  </si>
  <si>
    <t>fna170209112737106</t>
  </si>
  <si>
    <t>NP20170209114715535190</t>
  </si>
  <si>
    <t>331016099646</t>
  </si>
  <si>
    <t>NP20170209122535269206</t>
  </si>
  <si>
    <t>wyc170123174538434</t>
  </si>
  <si>
    <t>NP20170209124013778928</t>
  </si>
  <si>
    <t>331032495879</t>
  </si>
  <si>
    <t>NP20170209125349385168</t>
  </si>
  <si>
    <t>331053099205</t>
  </si>
  <si>
    <t>NP20170209131605315332</t>
  </si>
  <si>
    <t>hiy161123234533687</t>
  </si>
  <si>
    <t>NP20170209131746293652</t>
  </si>
  <si>
    <t>doa161227125224440</t>
  </si>
  <si>
    <t>NP20170209132235155184</t>
  </si>
  <si>
    <t>331075793256</t>
  </si>
  <si>
    <t>NP20170209133319270819</t>
  </si>
  <si>
    <t>xep170209124251451</t>
  </si>
  <si>
    <t>NP20170209134932586620</t>
  </si>
  <si>
    <t>doa170110161147624</t>
  </si>
  <si>
    <t>NP20170209135418842989</t>
  </si>
  <si>
    <t>ztp160522000838494e8ca9</t>
  </si>
  <si>
    <t>NP20170209135809785580</t>
  </si>
  <si>
    <t>qyu170204221030634</t>
  </si>
  <si>
    <t>NP20170209134801674126</t>
  </si>
  <si>
    <t>330901241032</t>
  </si>
  <si>
    <t>NP20170209141457846216</t>
  </si>
  <si>
    <t>xep170105163619925</t>
  </si>
  <si>
    <t>NP20170209144211740726</t>
  </si>
  <si>
    <t>xep170203194825327</t>
  </si>
  <si>
    <t>NP20170209152010923291</t>
  </si>
  <si>
    <t>doa161031091749085</t>
  </si>
  <si>
    <t>NP20170209152417262971</t>
  </si>
  <si>
    <t>ebb170202165132756</t>
  </si>
  <si>
    <t>NP20170209152507163984</t>
  </si>
  <si>
    <t>hiy170209151935733</t>
  </si>
  <si>
    <t>NP20170209153011090192</t>
  </si>
  <si>
    <t>ffs170119221434438</t>
  </si>
  <si>
    <t>NP20170209154444182119</t>
  </si>
  <si>
    <t>331071740260</t>
  </si>
  <si>
    <t>NP20170209160336893742</t>
  </si>
  <si>
    <t>331076899208</t>
  </si>
  <si>
    <t>NP20170209155645422542</t>
  </si>
  <si>
    <t>330997081482</t>
  </si>
  <si>
    <t>NP20170209160759545100</t>
  </si>
  <si>
    <t>sub170209160511328</t>
  </si>
  <si>
    <t>NP20170209160756971865</t>
  </si>
  <si>
    <t>331042902262</t>
  </si>
  <si>
    <t>NP20170209170704757750</t>
  </si>
  <si>
    <t>331077202468</t>
  </si>
  <si>
    <t>NP20170209172640614285</t>
  </si>
  <si>
    <t>doa170207112155269</t>
  </si>
  <si>
    <t>NP20170209172926271551</t>
  </si>
  <si>
    <t>hiy161205061211825</t>
  </si>
  <si>
    <t>NP20170209173259667275</t>
  </si>
  <si>
    <t>xep170209171711547</t>
  </si>
  <si>
    <t>NP20170209173644786144</t>
  </si>
  <si>
    <t>xuy160821142612217</t>
  </si>
  <si>
    <t>NP20170209194542570338</t>
  </si>
  <si>
    <t>srs170209132311377</t>
  </si>
  <si>
    <t>NC20170209200400777371</t>
  </si>
  <si>
    <t>331077468609</t>
  </si>
  <si>
    <t>NP20170209200109992185</t>
  </si>
  <si>
    <t>C1702090082193</t>
  </si>
  <si>
    <t>NP20170209201120562523</t>
  </si>
  <si>
    <t>330984846924</t>
  </si>
  <si>
    <t>NP20170209204258866319</t>
  </si>
  <si>
    <t>nhq170123211419878</t>
  </si>
  <si>
    <t>NP20170209205010907950</t>
  </si>
  <si>
    <t>331046663185</t>
  </si>
  <si>
    <t>NP20170209210636690220</t>
  </si>
  <si>
    <t>20161207093042KE116</t>
  </si>
  <si>
    <t>NP20170209213434607487</t>
  </si>
  <si>
    <t>pma170130082358697</t>
  </si>
  <si>
    <t>NP20170209214626105884</t>
  </si>
  <si>
    <t>yyw170118193133201</t>
  </si>
  <si>
    <t>NP20170209222736806523</t>
  </si>
  <si>
    <t>cxf170209221651686</t>
  </si>
  <si>
    <t>NP20170209230526855891</t>
  </si>
  <si>
    <t>331077884283</t>
  </si>
  <si>
    <t>NP20170209235106953984</t>
  </si>
  <si>
    <t>xep170209222736982</t>
  </si>
  <si>
    <t>NP20170210000146490900</t>
  </si>
  <si>
    <t>330973260959</t>
  </si>
  <si>
    <t>NP20170210023213504489</t>
  </si>
  <si>
    <t>331075714753</t>
  </si>
  <si>
    <t>NP20170210064259025082</t>
  </si>
  <si>
    <t>sly170209145813211</t>
  </si>
  <si>
    <t>NP20170210082953798315</t>
  </si>
  <si>
    <t>330990863737</t>
  </si>
  <si>
    <t>NP20170210084121344164</t>
  </si>
  <si>
    <t>yyw170115082748038</t>
  </si>
  <si>
    <t>NP20170210084155146631</t>
  </si>
  <si>
    <t>xep170209235628578</t>
  </si>
  <si>
    <t>NP20170210084615680093</t>
  </si>
  <si>
    <t>tyx170204104632852</t>
  </si>
  <si>
    <t>NP20170210084925780379</t>
  </si>
  <si>
    <t>20161222155603TF980</t>
  </si>
  <si>
    <t>NP20170210090427786000</t>
  </si>
  <si>
    <t>331033923397</t>
  </si>
  <si>
    <t>NP20170210092002652170</t>
  </si>
  <si>
    <t>331077461605</t>
  </si>
  <si>
    <t>NP20170210093101800480</t>
  </si>
  <si>
    <t>331061118004</t>
  </si>
  <si>
    <t>NP20170210094401394898</t>
  </si>
  <si>
    <t>yyw170115082117306</t>
  </si>
  <si>
    <t>NP20170210094506599948</t>
  </si>
  <si>
    <t>sdc170110163155117</t>
  </si>
  <si>
    <t>NP20170210095941895029</t>
  </si>
  <si>
    <t>smf170206131735462</t>
  </si>
  <si>
    <t>NP20170210101330505577</t>
  </si>
  <si>
    <t>331077375382</t>
  </si>
  <si>
    <t>NP20170210101049266489</t>
  </si>
  <si>
    <t>doa170206163951449</t>
  </si>
  <si>
    <t>NP20170210102310514435</t>
  </si>
  <si>
    <t>331054055815</t>
  </si>
  <si>
    <t>NP20170210101911866388</t>
  </si>
  <si>
    <t>xep170207192239700</t>
  </si>
  <si>
    <t>NP20170210102833490726</t>
  </si>
  <si>
    <t>hiy170122070455481</t>
  </si>
  <si>
    <t>NP20170210103843956677</t>
  </si>
  <si>
    <t>bbw170120193022700</t>
  </si>
  <si>
    <t>NP20170210104015984350</t>
  </si>
  <si>
    <t>330984100642</t>
  </si>
  <si>
    <t>NP20170210103951735736</t>
  </si>
  <si>
    <t>lyt170209114040994</t>
  </si>
  <si>
    <t>NP20170210110232391825</t>
  </si>
  <si>
    <t>knd170119185248214</t>
  </si>
  <si>
    <t>NP20170210112725282047</t>
  </si>
  <si>
    <t>xep170210110836133</t>
  </si>
  <si>
    <t>NI20170210112652752137</t>
  </si>
  <si>
    <t>dzc170113085101708</t>
  </si>
  <si>
    <t>NP20170210113353649334</t>
  </si>
  <si>
    <t>331054178888</t>
  </si>
  <si>
    <t>NP20170210113408222412</t>
  </si>
  <si>
    <t>331016589046</t>
  </si>
  <si>
    <t>NP20170210114912632942</t>
  </si>
  <si>
    <t>xep170109001352609</t>
  </si>
  <si>
    <t>NP20170210114708087947</t>
  </si>
  <si>
    <t>331060797011</t>
  </si>
  <si>
    <t>NP20170210114430945600</t>
  </si>
  <si>
    <t>jql170209212533452</t>
  </si>
  <si>
    <t>NP20170210115941072019</t>
  </si>
  <si>
    <t>yyw170205095750601</t>
  </si>
  <si>
    <t>NP20170210121031735753</t>
  </si>
  <si>
    <t>201702100706003K503</t>
  </si>
  <si>
    <t>NI20170210121459060706</t>
  </si>
  <si>
    <t>331077915676</t>
  </si>
  <si>
    <t>NP20170210122408997201</t>
  </si>
  <si>
    <t>klf170209155539005</t>
  </si>
  <si>
    <t>NP20170210122137717471</t>
  </si>
  <si>
    <t>jtg170210103126839</t>
  </si>
  <si>
    <t>NP20170210122732132640</t>
  </si>
  <si>
    <t>yxh150805135314736</t>
  </si>
  <si>
    <t>NI20170210124158159779</t>
  </si>
  <si>
    <t>scv170203193726725</t>
  </si>
  <si>
    <t>NP20170210124607488669</t>
  </si>
  <si>
    <t>xep161119211137654</t>
  </si>
  <si>
    <t>NP20170210130039827529</t>
  </si>
  <si>
    <t>sub170210112215390</t>
  </si>
  <si>
    <t>NP20170210130331990994</t>
  </si>
  <si>
    <t>331078157656</t>
  </si>
  <si>
    <t>NP20170210131830627295</t>
  </si>
  <si>
    <t>xep170117175346642</t>
  </si>
  <si>
    <t>NP20170210133823607067</t>
  </si>
  <si>
    <t>xep170204162726517</t>
  </si>
  <si>
    <t>NP20170210134848697199</t>
  </si>
  <si>
    <t>331064990026</t>
  </si>
  <si>
    <t>NI20170210135816884011</t>
  </si>
  <si>
    <t>sub170104163302717</t>
  </si>
  <si>
    <t>NI20170210140737929427</t>
  </si>
  <si>
    <t>201701162019057884</t>
  </si>
  <si>
    <t>NP20170210141203619233</t>
  </si>
  <si>
    <t>331021883172</t>
  </si>
  <si>
    <t>NP20170210141312794266</t>
  </si>
  <si>
    <t>doa161127223235561</t>
  </si>
  <si>
    <t>NP20170210142131586615</t>
  </si>
  <si>
    <t>331076344109</t>
  </si>
  <si>
    <t>NP20170210144828201131</t>
  </si>
  <si>
    <t>scv161208174546543</t>
  </si>
  <si>
    <t>NI20170210144547554625</t>
  </si>
  <si>
    <t>ghc170207010203941</t>
  </si>
  <si>
    <t>NP20170210145519650703</t>
  </si>
  <si>
    <t>yyw170206145925568</t>
  </si>
  <si>
    <t>NP20170210144751670150</t>
  </si>
  <si>
    <t>txb170204112451838</t>
  </si>
  <si>
    <t>NC20170210150327466636</t>
  </si>
  <si>
    <t>xuy170209152543290</t>
  </si>
  <si>
    <t>NP20170210151045546765</t>
  </si>
  <si>
    <t>ghc170112110913405</t>
  </si>
  <si>
    <t>NP20170210151544986835</t>
  </si>
  <si>
    <t>331078032114</t>
  </si>
  <si>
    <t>NP20170210151740372499</t>
  </si>
  <si>
    <t>xep170210151105217</t>
  </si>
  <si>
    <t>p_3_153</t>
  </si>
  <si>
    <t>NP20170210153322623620</t>
  </si>
  <si>
    <t>kmb170210113158313</t>
  </si>
  <si>
    <t>NP20170210153454815397</t>
  </si>
  <si>
    <t>hiy170210152100733</t>
  </si>
  <si>
    <t>NP20170210153534938223</t>
  </si>
  <si>
    <t>xuy170209172603808</t>
  </si>
  <si>
    <t>NP20170210154736805908</t>
  </si>
  <si>
    <t>xep161129215516881</t>
  </si>
  <si>
    <t>NP20170210155231595922</t>
  </si>
  <si>
    <t>hhn170106093844917</t>
  </si>
  <si>
    <t>NP20170210155310267481</t>
  </si>
  <si>
    <t>hiy170129135908728</t>
  </si>
  <si>
    <t>NP20170210155308724885</t>
  </si>
  <si>
    <t>331078317126</t>
  </si>
  <si>
    <t>NI20170210160259665566</t>
  </si>
  <si>
    <t>jzj170210154351658</t>
  </si>
  <si>
    <t>NP20170210162055518264</t>
  </si>
  <si>
    <t>xep170125171801787</t>
  </si>
  <si>
    <t>NP20170210162313817668</t>
  </si>
  <si>
    <t>hiy170122133410086</t>
  </si>
  <si>
    <t>NP20170210162550373638</t>
  </si>
  <si>
    <t>ghc170107172812702</t>
  </si>
  <si>
    <t>NP20170210162723250522</t>
  </si>
  <si>
    <t>ghc170208131216765</t>
  </si>
  <si>
    <t>NC20170210163721513772</t>
  </si>
  <si>
    <t>331040452401</t>
  </si>
  <si>
    <t>NP20170210163541329219</t>
  </si>
  <si>
    <t>yhb170123102634499</t>
  </si>
  <si>
    <t>NP20170210164532480621</t>
  </si>
  <si>
    <t>czl170206132105070</t>
  </si>
  <si>
    <t>NP20170210165306863339</t>
  </si>
  <si>
    <t>331031518687</t>
  </si>
  <si>
    <t>NP20170210170930550184</t>
  </si>
  <si>
    <t>sdc170210165109225</t>
  </si>
  <si>
    <t>NP20170210173503366518</t>
  </si>
  <si>
    <t>txb170210164022455</t>
  </si>
  <si>
    <t>NP20170210174006014808</t>
  </si>
  <si>
    <t>sdc161228162137410</t>
  </si>
  <si>
    <t>NI20170210173607273539</t>
  </si>
  <si>
    <t>0065102885</t>
  </si>
  <si>
    <t>fp_3_034</t>
  </si>
  <si>
    <t>NP20170210182554952678</t>
  </si>
  <si>
    <t>pzf170206205741339</t>
  </si>
  <si>
    <t>NI20170210182912851367</t>
  </si>
  <si>
    <t>331063947030</t>
  </si>
  <si>
    <t>NP20170210190219225575</t>
  </si>
  <si>
    <t>331077749884</t>
  </si>
  <si>
    <t>NP20170210192248708356</t>
  </si>
  <si>
    <t>331078653405</t>
  </si>
  <si>
    <t>NP20170210200507612787</t>
  </si>
  <si>
    <t>xuy170210195247902</t>
  </si>
  <si>
    <t>NP20170210200917104894</t>
  </si>
  <si>
    <t>czl170210012727316</t>
  </si>
  <si>
    <t>NP20170210203728662754</t>
  </si>
  <si>
    <t>xyx170205083239385</t>
  </si>
  <si>
    <t>NP20170210204701094799</t>
  </si>
  <si>
    <t>xuy161031224530976</t>
  </si>
  <si>
    <t>NI20170210205730810054</t>
  </si>
  <si>
    <t>331078302427</t>
  </si>
  <si>
    <t>NP20170210205813743094</t>
  </si>
  <si>
    <t>kmb170208201811237</t>
  </si>
  <si>
    <t>NP20170210204647564987</t>
  </si>
  <si>
    <t>331051554613</t>
  </si>
  <si>
    <t>NC20170210211439134918</t>
  </si>
  <si>
    <t>331014074334</t>
  </si>
  <si>
    <t>NC20170210211659568284</t>
  </si>
  <si>
    <t>51170204961728</t>
  </si>
  <si>
    <t>NP20170210212648168949</t>
  </si>
  <si>
    <t>ghc161228143727556</t>
  </si>
  <si>
    <t>NP20170210213629151467</t>
  </si>
  <si>
    <t>331078881156</t>
  </si>
  <si>
    <t>NP20170210214831677000</t>
  </si>
  <si>
    <t>331074372351</t>
  </si>
  <si>
    <t>NP20170210221425680317</t>
  </si>
  <si>
    <t>xuy170210220459344</t>
  </si>
  <si>
    <t>NI20170210223747936487</t>
  </si>
  <si>
    <t>jql170209133640195</t>
  </si>
  <si>
    <t>NP20170210224843870117</t>
  </si>
  <si>
    <t>331050979446</t>
  </si>
  <si>
    <t>NP20170210230252240167</t>
  </si>
  <si>
    <t>331014187136</t>
  </si>
  <si>
    <t>NP20170210230749896323</t>
  </si>
  <si>
    <t>ysh170210225408511</t>
  </si>
  <si>
    <t>NP20170210230758497874</t>
  </si>
  <si>
    <t>ymz170209224251133</t>
  </si>
  <si>
    <t>NP20170211001728476657</t>
  </si>
  <si>
    <t>xuy170128121701485</t>
  </si>
  <si>
    <t>NC20170211012227077218</t>
  </si>
  <si>
    <t>331075895297</t>
  </si>
  <si>
    <t>NP20170211025519438411</t>
  </si>
  <si>
    <t>sub170210201757438</t>
  </si>
  <si>
    <t>NP20170211051949748779</t>
  </si>
  <si>
    <t>331074441243</t>
  </si>
  <si>
    <t>NP20170211055700712810</t>
  </si>
  <si>
    <t>331073305669</t>
  </si>
  <si>
    <t>NP20170211073341296160</t>
  </si>
  <si>
    <t>tyx170208214848535</t>
  </si>
  <si>
    <t>NP20170211080359932962</t>
  </si>
  <si>
    <t>331075792707</t>
  </si>
  <si>
    <t>NP20170211081505659367</t>
  </si>
  <si>
    <t>331079928221</t>
  </si>
  <si>
    <t>NP20170211090133339127</t>
  </si>
  <si>
    <t>nhq170112121614711</t>
  </si>
  <si>
    <t>NI20170211091455701956</t>
  </si>
  <si>
    <t>qyp170211090607078</t>
  </si>
  <si>
    <t>NP20170211091455714427</t>
  </si>
  <si>
    <t>nij161222193154417</t>
  </si>
  <si>
    <t>NP20170211092903995990</t>
  </si>
  <si>
    <t>331075725954</t>
  </si>
  <si>
    <t>NP20170211094211236696</t>
  </si>
  <si>
    <t>331047950109</t>
  </si>
  <si>
    <t>NP20170211094459235736</t>
  </si>
  <si>
    <t>331075883304</t>
  </si>
  <si>
    <t>NP20170211100145109697</t>
  </si>
  <si>
    <t>331075693397</t>
  </si>
  <si>
    <t>NP20170211100939759726</t>
  </si>
  <si>
    <t>331071460411</t>
  </si>
  <si>
    <t>NP20170211103043251870</t>
  </si>
  <si>
    <t>331069742562</t>
  </si>
  <si>
    <t>NP20170211103312380221</t>
  </si>
  <si>
    <t>331078516031</t>
  </si>
  <si>
    <t>NP20170211104918591887</t>
  </si>
  <si>
    <t>331072812956</t>
  </si>
  <si>
    <t>NI20170211105603677662</t>
  </si>
  <si>
    <t>qyp170207205600979</t>
  </si>
  <si>
    <t>NP20170211105836047803</t>
  </si>
  <si>
    <t>pzf170207150359192</t>
  </si>
  <si>
    <t>NP20170211110151738354</t>
  </si>
  <si>
    <t>knd170205214705934</t>
  </si>
  <si>
    <t>NP20170211110752011671</t>
  </si>
  <si>
    <t>czl170119093146457</t>
  </si>
  <si>
    <t>NP20170211113345399327</t>
  </si>
  <si>
    <t>20170120202323TF369</t>
  </si>
  <si>
    <t>NC20170211113706512791</t>
  </si>
  <si>
    <t>xep170207203537864</t>
  </si>
  <si>
    <t>NP20170211115802279537</t>
  </si>
  <si>
    <t>xep170210072528412</t>
  </si>
  <si>
    <t>NP20170211120918155655</t>
  </si>
  <si>
    <t>qyp170116194026357</t>
  </si>
  <si>
    <t>NC20170211123649132013</t>
  </si>
  <si>
    <t>331077439588</t>
  </si>
  <si>
    <t>NP20170211125415636768</t>
  </si>
  <si>
    <t>20170210112544WE531</t>
  </si>
  <si>
    <t>NP20170211131554404553</t>
  </si>
  <si>
    <t>331061242021</t>
  </si>
  <si>
    <t>NI20170211132116509025</t>
  </si>
  <si>
    <t>331078545499</t>
  </si>
  <si>
    <t>NP20170211134318533093</t>
  </si>
  <si>
    <t>xep170112074358687</t>
  </si>
  <si>
    <t>NP20170211135746585794</t>
  </si>
  <si>
    <t>pgl170211123356440</t>
  </si>
  <si>
    <t>NP20170211140633502428</t>
  </si>
  <si>
    <t>xep170125194250294</t>
  </si>
  <si>
    <t>NP20170211140648929611</t>
  </si>
  <si>
    <t>xep170210220245819</t>
  </si>
  <si>
    <t>p_3_087</t>
  </si>
  <si>
    <t>NP20170211141424990225</t>
  </si>
  <si>
    <t>331079256350</t>
  </si>
  <si>
    <t>NP20170211142814868837</t>
  </si>
  <si>
    <t>331078218896</t>
  </si>
  <si>
    <t>NP20170211144350424084</t>
  </si>
  <si>
    <t>pzf170109152643135</t>
  </si>
  <si>
    <t>NP20170211150006732112</t>
  </si>
  <si>
    <t>xep170211101606435</t>
  </si>
  <si>
    <t>NP20170211150934481366</t>
  </si>
  <si>
    <t>331027069419</t>
  </si>
  <si>
    <t>NP20170211151231009014</t>
  </si>
  <si>
    <t>ysh170122121912631</t>
  </si>
  <si>
    <t>NI20170211150758633668</t>
  </si>
  <si>
    <t>ssw170122133423134</t>
  </si>
  <si>
    <t>NP20170211152605594533</t>
  </si>
  <si>
    <t>hiy161211224855751</t>
  </si>
  <si>
    <t>NP20170211152907857413</t>
  </si>
  <si>
    <t>xep161230162335270</t>
  </si>
  <si>
    <t>NP20170211153728790106</t>
  </si>
  <si>
    <t>xep170211130713782</t>
  </si>
  <si>
    <t>NP20170211154515237437</t>
  </si>
  <si>
    <t>xgx160623111156873</t>
  </si>
  <si>
    <t>NP20170211161946943699</t>
  </si>
  <si>
    <t>331078566032</t>
  </si>
  <si>
    <t>NI20170211163637064511</t>
  </si>
  <si>
    <t>xep170205172021045</t>
  </si>
  <si>
    <t>NP20170211165037311556</t>
  </si>
  <si>
    <t>lah160711095854922</t>
  </si>
  <si>
    <t>NP20170211170734569745</t>
  </si>
  <si>
    <t>tyx170112115850909</t>
  </si>
  <si>
    <t>NP20170211172731413556</t>
  </si>
  <si>
    <t>fna170201234210233</t>
  </si>
  <si>
    <t>NP20170211173531220448</t>
  </si>
  <si>
    <t>331053987784</t>
  </si>
  <si>
    <t>NC20170211173957053304</t>
  </si>
  <si>
    <t>331055584415</t>
  </si>
  <si>
    <t>NP20170211174003387465</t>
  </si>
  <si>
    <t>xuy170207222200164</t>
  </si>
  <si>
    <t>NP20170211174610781986</t>
  </si>
  <si>
    <t>xep160818073841796</t>
  </si>
  <si>
    <t>NP20170211175730336301</t>
  </si>
  <si>
    <t>xfz170121192608660</t>
  </si>
  <si>
    <t>NP20170211181034913727</t>
  </si>
  <si>
    <t>330994234505</t>
  </si>
  <si>
    <t>NP20170211182555788533</t>
  </si>
  <si>
    <t>331023224219</t>
  </si>
  <si>
    <t>NP20170211182911321292</t>
  </si>
  <si>
    <t>jqa170206123934015</t>
  </si>
  <si>
    <t>NC20170211191331479058</t>
  </si>
  <si>
    <t>331078042625</t>
  </si>
  <si>
    <t>NP20170211192100921297</t>
  </si>
  <si>
    <t>xuy170211121507320</t>
  </si>
  <si>
    <t>NP20170211192919119129</t>
  </si>
  <si>
    <t>pzf170114200657683</t>
  </si>
  <si>
    <t>NI20170211203659585228</t>
  </si>
  <si>
    <t>xep170211160949879</t>
  </si>
  <si>
    <t>p_3_046</t>
  </si>
  <si>
    <t>NP20170211210304367273</t>
  </si>
  <si>
    <t>xep170208214457143</t>
  </si>
  <si>
    <t>p_3_127</t>
  </si>
  <si>
    <t>NI20170211210807424752</t>
  </si>
  <si>
    <t>pzf170131190911934</t>
  </si>
  <si>
    <t>NI20170211211922672642</t>
  </si>
  <si>
    <t>331055358517</t>
  </si>
  <si>
    <t>NP20170211212100036635</t>
  </si>
  <si>
    <t>xep170211204042189</t>
  </si>
  <si>
    <t>NP20170211223559258354</t>
  </si>
  <si>
    <t>330967012512</t>
  </si>
  <si>
    <t>NP20170211223806399545</t>
  </si>
  <si>
    <t>330967308169</t>
  </si>
  <si>
    <t>NI20170211230408098607</t>
  </si>
  <si>
    <t>331079379548</t>
  </si>
  <si>
    <t>NP20170211234933193882</t>
  </si>
  <si>
    <t>331062620442</t>
  </si>
  <si>
    <t>NI20170211235708877471</t>
  </si>
  <si>
    <t>331075961036</t>
  </si>
  <si>
    <t>NP20170212003716417892</t>
  </si>
  <si>
    <t>331075939030</t>
  </si>
  <si>
    <t>NP20170212074645347114</t>
  </si>
  <si>
    <t>fna170211172130849</t>
  </si>
  <si>
    <t>NP20170212075641028372</t>
  </si>
  <si>
    <t>gll161222111215316</t>
  </si>
  <si>
    <t>NP20170212083229013430</t>
  </si>
  <si>
    <t>331078679691</t>
  </si>
  <si>
    <t>NI20170212090253555833</t>
  </si>
  <si>
    <t>331080075560</t>
  </si>
  <si>
    <t>NP20170212091027813532</t>
  </si>
  <si>
    <t>xep170212070136923</t>
  </si>
  <si>
    <t>NP20170212094232268648</t>
  </si>
  <si>
    <t>sxg150608154549648c741d</t>
  </si>
  <si>
    <t>NP20170212100709340239</t>
  </si>
  <si>
    <t>yse170209161349638</t>
  </si>
  <si>
    <t>p_3_128</t>
  </si>
  <si>
    <t>NP20170212103155962953</t>
  </si>
  <si>
    <t>xpb170203213137825</t>
  </si>
  <si>
    <t>NI20170212104922673653</t>
  </si>
  <si>
    <t>331079786856</t>
  </si>
  <si>
    <t>NP20170212110932673632</t>
  </si>
  <si>
    <t>xep170208151634451</t>
  </si>
  <si>
    <t>NP20170212114249605731</t>
  </si>
  <si>
    <t>331041309151</t>
  </si>
  <si>
    <t>NI20170212115747893872</t>
  </si>
  <si>
    <t>331044571832</t>
  </si>
  <si>
    <t>NI20170212123058056986</t>
  </si>
  <si>
    <t>201702072225337002</t>
  </si>
  <si>
    <t>NP20170212124912194443</t>
  </si>
  <si>
    <t>xep170212123154411</t>
  </si>
  <si>
    <t>NP20170212130559917785</t>
  </si>
  <si>
    <t>xep170207144639298</t>
  </si>
  <si>
    <t>NP20170212131354538130</t>
  </si>
  <si>
    <t>fna170212095045137</t>
  </si>
  <si>
    <t>NP20170212132810132779</t>
  </si>
  <si>
    <t>331080000674</t>
  </si>
  <si>
    <t>NO20170212133950756123</t>
  </si>
  <si>
    <t>pzf170118123746119</t>
  </si>
  <si>
    <t>NP20170212135358077536</t>
  </si>
  <si>
    <t>331040855778</t>
  </si>
  <si>
    <t>NP20170212135718802687</t>
  </si>
  <si>
    <t>xep170210111635621</t>
  </si>
  <si>
    <t>NP20170212140413051630</t>
  </si>
  <si>
    <t>331080534267</t>
  </si>
  <si>
    <t>NP20170212141055648050</t>
  </si>
  <si>
    <t>yyw170211222140453</t>
  </si>
  <si>
    <t>NI20170212142307441375</t>
  </si>
  <si>
    <t>pzf170127140922771</t>
  </si>
  <si>
    <t>NP20170212144534430266</t>
  </si>
  <si>
    <t>bbw170201201443377</t>
  </si>
  <si>
    <t>NP20170212145625747518</t>
  </si>
  <si>
    <t>xyz170119110811814</t>
  </si>
  <si>
    <t>NI20170212142747290379</t>
  </si>
  <si>
    <t>doa170203213212963</t>
  </si>
  <si>
    <t>NP20170212150812021631</t>
  </si>
  <si>
    <t>331037850844</t>
  </si>
  <si>
    <t>NP20170212151017308877</t>
  </si>
  <si>
    <t>331073084476</t>
  </si>
  <si>
    <t>NI20170212151019620147</t>
  </si>
  <si>
    <t>170105184232c28ed3x</t>
  </si>
  <si>
    <t>NP20170212151915517596</t>
  </si>
  <si>
    <t>xgx170130084300836</t>
  </si>
  <si>
    <t>NI20170212152341008577</t>
  </si>
  <si>
    <t>jql170120005026472</t>
  </si>
  <si>
    <t>NP20170212152849604340</t>
  </si>
  <si>
    <t>srs170207224604768</t>
  </si>
  <si>
    <t>NP20170212154124878134</t>
  </si>
  <si>
    <t>xep170212123221520</t>
  </si>
  <si>
    <t>NP20170212155000879395</t>
  </si>
  <si>
    <t>331071263551</t>
  </si>
  <si>
    <t>NP20170212155658059276</t>
  </si>
  <si>
    <t>331072819943</t>
  </si>
  <si>
    <t>NP20170212160437365159</t>
  </si>
  <si>
    <t>201702102219442555</t>
  </si>
  <si>
    <t>fp_3_028</t>
  </si>
  <si>
    <t>NP20170212160623999449</t>
  </si>
  <si>
    <t>201702102219389984</t>
  </si>
  <si>
    <t>NP20170212162235268949</t>
  </si>
  <si>
    <t>jxp170212161339789</t>
  </si>
  <si>
    <t>NP20170212164229869147</t>
  </si>
  <si>
    <t>nhq170125102500889</t>
  </si>
  <si>
    <t>NP20170212163154045996</t>
  </si>
  <si>
    <t>xep170118140411234</t>
  </si>
  <si>
    <t>NP20170212164632634759</t>
  </si>
  <si>
    <t>xep170206122651668</t>
  </si>
  <si>
    <t>NP20170212164955960906</t>
  </si>
  <si>
    <t>GD2017021216492363</t>
  </si>
  <si>
    <t>NP20170212165827240414</t>
  </si>
  <si>
    <t>331048933533</t>
  </si>
  <si>
    <t>NP20170212170057864163</t>
  </si>
  <si>
    <t>330921094581</t>
  </si>
  <si>
    <t>NP20170212170712817223</t>
  </si>
  <si>
    <t>330921670262</t>
  </si>
  <si>
    <t>NP20170212171955900334</t>
  </si>
  <si>
    <t>330921669932</t>
  </si>
  <si>
    <t>NP20170212172055473181</t>
  </si>
  <si>
    <t>330992249665</t>
  </si>
  <si>
    <t>NI20170212172349323364</t>
  </si>
  <si>
    <t>hxz170209174005116</t>
  </si>
  <si>
    <t>NP20170212173321751789</t>
  </si>
  <si>
    <t>xep170206194337649</t>
  </si>
  <si>
    <t>NP20170212173515071695</t>
  </si>
  <si>
    <t>331080768874</t>
  </si>
  <si>
    <t>NP20170212174147398944</t>
  </si>
  <si>
    <t>331017012138</t>
  </si>
  <si>
    <t>NP20170212174439675377</t>
  </si>
  <si>
    <t>331061755967</t>
  </si>
  <si>
    <t>NP20170212174916220755</t>
  </si>
  <si>
    <t>xep170123181936857</t>
  </si>
  <si>
    <t>NP20170212182422289692</t>
  </si>
  <si>
    <t>331079799039</t>
  </si>
  <si>
    <t>NP20170212183646032740</t>
  </si>
  <si>
    <t>yse170212183030494</t>
  </si>
  <si>
    <t>NP20170212183847640081</t>
  </si>
  <si>
    <t>wxw170204221554928</t>
  </si>
  <si>
    <t>NI20170212183922358501</t>
  </si>
  <si>
    <t>xep170202202203044</t>
  </si>
  <si>
    <t>NC20170212184732869362</t>
  </si>
  <si>
    <t>wdy170126095137875</t>
  </si>
  <si>
    <t>NP20170212184819219954</t>
  </si>
  <si>
    <t>xep170210140559845</t>
  </si>
  <si>
    <t>NP20170212190331262044</t>
  </si>
  <si>
    <t>331047644880</t>
  </si>
  <si>
    <t>NP20170212191043091069</t>
  </si>
  <si>
    <t>xuy170118013807821</t>
  </si>
  <si>
    <t>NP20170212191151531120</t>
  </si>
  <si>
    <t>yhs170206155055330</t>
  </si>
  <si>
    <t>NP20170212192112578446</t>
  </si>
  <si>
    <t>yaj170212184321509ebebd</t>
  </si>
  <si>
    <t>NP20170212192518432027</t>
  </si>
  <si>
    <t>tyx170207124906394</t>
  </si>
  <si>
    <t>NP20170212192727077032</t>
  </si>
  <si>
    <t>tyx170207124906395</t>
  </si>
  <si>
    <t>NC20170212194322332954</t>
  </si>
  <si>
    <t>yfu170212112456329</t>
  </si>
  <si>
    <t>NP20170212195051980572</t>
  </si>
  <si>
    <t>sme170211184928172</t>
  </si>
  <si>
    <t>NP20170212194947427127</t>
  </si>
  <si>
    <t>0066897771</t>
  </si>
  <si>
    <t>NP20170212194412279832</t>
  </si>
  <si>
    <t>zgl170209140738753</t>
  </si>
  <si>
    <t>NC20170212200831878307</t>
  </si>
  <si>
    <t>xep170211222204060</t>
  </si>
  <si>
    <t>p_3_129</t>
  </si>
  <si>
    <t>NP20170212201255150845</t>
  </si>
  <si>
    <t>zse161105202809936</t>
  </si>
  <si>
    <t>NP20170212212508247279</t>
  </si>
  <si>
    <t>xep170211094118305</t>
  </si>
  <si>
    <t>NP20170212215500497635</t>
  </si>
  <si>
    <t>sme170211211133328</t>
  </si>
  <si>
    <t>NP20170212222144186402</t>
  </si>
  <si>
    <t>tys170212124332184</t>
  </si>
  <si>
    <t>NP20170212222351488025</t>
  </si>
  <si>
    <t>hiy170212215534940</t>
  </si>
  <si>
    <t>NP20170212222647116746</t>
  </si>
  <si>
    <t>yyw170210164919726</t>
  </si>
  <si>
    <t>NP20170212222712911341</t>
  </si>
  <si>
    <t>yyw170210132630289</t>
  </si>
  <si>
    <t>NP20170212223410720703</t>
  </si>
  <si>
    <t>sdc170113092611908</t>
  </si>
  <si>
    <t>NP20170212225655854709</t>
  </si>
  <si>
    <t>xep170117171449624</t>
  </si>
  <si>
    <t>NP20170212230225655246</t>
  </si>
  <si>
    <t>cyo170207115118672</t>
  </si>
  <si>
    <t>NP20170213015847562091</t>
  </si>
  <si>
    <t>qyp170213005043331</t>
  </si>
  <si>
    <t>NC20170213072935774106</t>
  </si>
  <si>
    <t>331080521602</t>
  </si>
  <si>
    <t>NP20170213075229652457</t>
  </si>
  <si>
    <t>xep170213074243601</t>
  </si>
  <si>
    <t>NP20170213075507396362</t>
  </si>
  <si>
    <t>0066788733</t>
  </si>
  <si>
    <t>fp_3_046</t>
  </si>
  <si>
    <t>NP20170213080052397005</t>
  </si>
  <si>
    <t>czc170213075215203</t>
  </si>
  <si>
    <t>NP20170213084556123641</t>
  </si>
  <si>
    <t>pma170204130310504</t>
  </si>
  <si>
    <t>NP20170213084722075882</t>
  </si>
  <si>
    <t>fny170204130310503</t>
  </si>
  <si>
    <t>NI20170213083529279294</t>
  </si>
  <si>
    <t>doa170207210019106</t>
  </si>
  <si>
    <t>NP20170213085453787266</t>
  </si>
  <si>
    <t>hiy170205103016500</t>
  </si>
  <si>
    <t>NP20170213085808444209</t>
  </si>
  <si>
    <t>C1701240020128</t>
  </si>
  <si>
    <t>NP20170213090111898653</t>
  </si>
  <si>
    <t>ghc170203181711018</t>
  </si>
  <si>
    <t>NP20170213091217973527</t>
  </si>
  <si>
    <t>fxu170118083321586</t>
  </si>
  <si>
    <t>NI20170213091157741776</t>
  </si>
  <si>
    <t>ppg170213085133469</t>
  </si>
  <si>
    <t>NP20170213091932739983</t>
  </si>
  <si>
    <t>ghc170205115527551</t>
  </si>
  <si>
    <t>NP20170213093055344762</t>
  </si>
  <si>
    <t>xep170206103049748</t>
  </si>
  <si>
    <t>NP20170213093953833851</t>
  </si>
  <si>
    <t>331040542527</t>
  </si>
  <si>
    <t>NP20170213094225354556</t>
  </si>
  <si>
    <t>yyw170119230616968</t>
  </si>
  <si>
    <t>NP20170213094715769033</t>
  </si>
  <si>
    <t>scv170105211423943</t>
  </si>
  <si>
    <t>NP20170213094513463509</t>
  </si>
  <si>
    <t>331073718717</t>
  </si>
  <si>
    <t>NP20170213095358556597</t>
  </si>
  <si>
    <t>xuy170213094139406</t>
  </si>
  <si>
    <t>NP20170213095530596646</t>
  </si>
  <si>
    <t>doa170208134007604</t>
  </si>
  <si>
    <t>NP20170213095704513141</t>
  </si>
  <si>
    <t>pzf170124150448410</t>
  </si>
  <si>
    <t>NP20170213095841612080</t>
  </si>
  <si>
    <t>xep170213095227781</t>
  </si>
  <si>
    <t>NP20170213100502639147</t>
  </si>
  <si>
    <t>xep170209142728112</t>
  </si>
  <si>
    <t>NP20170213101903640211</t>
  </si>
  <si>
    <t>ffs161103132328413</t>
  </si>
  <si>
    <t>NP20170213103746393030</t>
  </si>
  <si>
    <t>201702130901063K254</t>
  </si>
  <si>
    <t>NI20170213103308046211</t>
  </si>
  <si>
    <t>sat170105145403074</t>
  </si>
  <si>
    <t>NP20170213103019740359</t>
  </si>
  <si>
    <t>qyu170208102858456</t>
  </si>
  <si>
    <t>NP20170213104258244252</t>
  </si>
  <si>
    <t>201702130900583K028</t>
  </si>
  <si>
    <t>NP20170213104307693697</t>
  </si>
  <si>
    <t>331067538681</t>
  </si>
  <si>
    <t>NP20170213103842018080</t>
  </si>
  <si>
    <t>xdr160508005059831</t>
  </si>
  <si>
    <t>NP20170213105646078197</t>
  </si>
  <si>
    <t>rhs170113210212806</t>
  </si>
  <si>
    <t>NP20170213105458080896</t>
  </si>
  <si>
    <t>xeb160819215713079ea0f5</t>
  </si>
  <si>
    <t>NP20170213105802991110</t>
  </si>
  <si>
    <t>20160829141011TR755</t>
  </si>
  <si>
    <t>NP20170213105336720051</t>
  </si>
  <si>
    <t>331081452038</t>
  </si>
  <si>
    <t>NC20170213111218723887</t>
  </si>
  <si>
    <t>bbw170120174321212</t>
  </si>
  <si>
    <t>NP20170213111519907101</t>
  </si>
  <si>
    <t>pzf170213103749073</t>
  </si>
  <si>
    <t>NP20170213111611853739</t>
  </si>
  <si>
    <t>pgl170207095003357</t>
  </si>
  <si>
    <t>NI20170213112335686534</t>
  </si>
  <si>
    <t>201701241853109C217</t>
  </si>
  <si>
    <t>fp_3_108</t>
  </si>
  <si>
    <t>NI20170213112139815874</t>
  </si>
  <si>
    <t>0062993199</t>
  </si>
  <si>
    <t>NI20170213112635594397</t>
  </si>
  <si>
    <t>331021698359</t>
  </si>
  <si>
    <t>NI20170213105827997961</t>
  </si>
  <si>
    <t>fhr170126211957079</t>
  </si>
  <si>
    <t>NP20170213113252082367</t>
  </si>
  <si>
    <t>331081817264</t>
  </si>
  <si>
    <t>NC20170213114352342859</t>
  </si>
  <si>
    <t>331077991496</t>
  </si>
  <si>
    <t>NP20170213114849469849</t>
  </si>
  <si>
    <t>331080366823</t>
  </si>
  <si>
    <t>NP20170213115204660579</t>
  </si>
  <si>
    <t>xep170207145043479</t>
  </si>
  <si>
    <t>NP20170213120046098046</t>
  </si>
  <si>
    <t>ghc170210144150572</t>
  </si>
  <si>
    <t>NP20170213120043782564</t>
  </si>
  <si>
    <t>xhp161222234257778</t>
  </si>
  <si>
    <t>NP20170213120057235194</t>
  </si>
  <si>
    <t>xep170127200110798</t>
  </si>
  <si>
    <t>NP20170213120636199462</t>
  </si>
  <si>
    <t>331081483083</t>
  </si>
  <si>
    <t>NC20170213121631510617</t>
  </si>
  <si>
    <t>331065895918</t>
  </si>
  <si>
    <t>NP20170213122242515228</t>
  </si>
  <si>
    <t>hiy170208184220192</t>
  </si>
  <si>
    <t>NP20170213122258970529</t>
  </si>
  <si>
    <t>nhq170120222525832</t>
  </si>
  <si>
    <t>NP20170213122342190773</t>
  </si>
  <si>
    <t>331050064853</t>
  </si>
  <si>
    <t>NP20170213123248769185</t>
  </si>
  <si>
    <t>331039914538</t>
  </si>
  <si>
    <t>NP20170213122341805942</t>
  </si>
  <si>
    <t>331050970721</t>
  </si>
  <si>
    <t>NP20170213123611453224</t>
  </si>
  <si>
    <t>xuy170116100740171</t>
  </si>
  <si>
    <t>NP20170213124332085216</t>
  </si>
  <si>
    <t>xep170206154803529</t>
  </si>
  <si>
    <t>NP20170213124247324470</t>
  </si>
  <si>
    <t>xep170213123904929</t>
  </si>
  <si>
    <t>NP20170213124446665144</t>
  </si>
  <si>
    <t>331058409683</t>
  </si>
  <si>
    <t>NP20170213125101496614</t>
  </si>
  <si>
    <t>pzf161215131410183</t>
  </si>
  <si>
    <t>NI20170213125510749913</t>
  </si>
  <si>
    <t>yyw170207163917352</t>
  </si>
  <si>
    <t>NP20170213131318360126</t>
  </si>
  <si>
    <t>pzf170122133915259</t>
  </si>
  <si>
    <t>NP20170213131518018651</t>
  </si>
  <si>
    <t>330983491871</t>
  </si>
  <si>
    <t>NC20170213131621446650</t>
  </si>
  <si>
    <t>doa161230152320967</t>
  </si>
  <si>
    <t>NI20170213132058270367</t>
  </si>
  <si>
    <t>201612291151077599</t>
  </si>
  <si>
    <t>NP20170213133204086150</t>
  </si>
  <si>
    <t>jql170104221955656</t>
  </si>
  <si>
    <t>NP20170213133246619974</t>
  </si>
  <si>
    <t>xep170211131932608</t>
  </si>
  <si>
    <t>NP20170213134000736429</t>
  </si>
  <si>
    <t>331071196151</t>
  </si>
  <si>
    <t>NP20170213135107173800</t>
  </si>
  <si>
    <t>330992418738</t>
  </si>
  <si>
    <t>NP20170213134833469916</t>
  </si>
  <si>
    <t>331057946355</t>
  </si>
  <si>
    <t>NP20170213135629462851</t>
  </si>
  <si>
    <t>hiy170118082930096</t>
  </si>
  <si>
    <t>NP20170213135646811806</t>
  </si>
  <si>
    <t>331057056074</t>
  </si>
  <si>
    <t>NP20170213135410630724</t>
  </si>
  <si>
    <t>20160729183022XW171</t>
  </si>
  <si>
    <t>NP20170213135833099750</t>
  </si>
  <si>
    <t>srs170209133223936</t>
  </si>
  <si>
    <t>NP20170213135617653907</t>
  </si>
  <si>
    <t>2017020615642260</t>
  </si>
  <si>
    <t>NP20170213140645108773</t>
  </si>
  <si>
    <t>trs170211131109697</t>
  </si>
  <si>
    <t>NP20170213140610066693</t>
  </si>
  <si>
    <t>liy170210110608382</t>
  </si>
  <si>
    <t>NC20170213140926295928</t>
  </si>
  <si>
    <t>331042249290</t>
  </si>
  <si>
    <t>NP20170213140945873019</t>
  </si>
  <si>
    <t>yhs170213095415633</t>
  </si>
  <si>
    <t>NI20170213141101923014</t>
  </si>
  <si>
    <t>hyd170207135706377</t>
  </si>
  <si>
    <t>NP20170213141823406181</t>
  </si>
  <si>
    <t>doa170119084816131</t>
  </si>
  <si>
    <t>NP20170213142257272154</t>
  </si>
  <si>
    <t>tjf170121153208745</t>
  </si>
  <si>
    <t>NP20170213142249631235</t>
  </si>
  <si>
    <t>doa170206174455081</t>
  </si>
  <si>
    <t>NP20170213142255250106</t>
  </si>
  <si>
    <t>wxw170120093014983</t>
  </si>
  <si>
    <t>NP20170213142953370240</t>
  </si>
  <si>
    <t>331077267820</t>
  </si>
  <si>
    <t>NC20170213143433772915</t>
  </si>
  <si>
    <t>331080893420</t>
  </si>
  <si>
    <t>NP20170213143507926293</t>
  </si>
  <si>
    <t>jch170118145329856</t>
  </si>
  <si>
    <t>NP20170213142619592500</t>
  </si>
  <si>
    <t>czc170111233500671</t>
  </si>
  <si>
    <t>NI20170213143953737887</t>
  </si>
  <si>
    <t>331081462940</t>
  </si>
  <si>
    <t>NI20170213144003801004</t>
  </si>
  <si>
    <t>331081688874</t>
  </si>
  <si>
    <t>NP20170213144113705778</t>
  </si>
  <si>
    <t>xep170116132359299</t>
  </si>
  <si>
    <t>NP20170213144737378105</t>
  </si>
  <si>
    <t>331081409485</t>
  </si>
  <si>
    <t>NP20170213144811624401</t>
  </si>
  <si>
    <t>ysh170211223147702</t>
  </si>
  <si>
    <t>NP20170213144829034315</t>
  </si>
  <si>
    <t>201611211047515866</t>
  </si>
  <si>
    <t>NP20170213145710077448</t>
  </si>
  <si>
    <t>cqh170213112902509</t>
  </si>
  <si>
    <t>NP20170213150401864774</t>
  </si>
  <si>
    <t>331079593189</t>
  </si>
  <si>
    <t>NP20170213150340960395</t>
  </si>
  <si>
    <t>jzj170111123638617</t>
  </si>
  <si>
    <t>NP20170213151012384031</t>
  </si>
  <si>
    <t>kqy170211142518004</t>
  </si>
  <si>
    <t>NP20170213152604028282</t>
  </si>
  <si>
    <t>xep170131104237928</t>
  </si>
  <si>
    <t>NP20170213152836547290</t>
  </si>
  <si>
    <t>xep170109122822415</t>
  </si>
  <si>
    <t>NO20170213152842036225</t>
  </si>
  <si>
    <t>xep161230102857518</t>
  </si>
  <si>
    <t>NP20170213153230480122</t>
  </si>
  <si>
    <t>331081859264</t>
  </si>
  <si>
    <t>NP20170213154019971936</t>
  </si>
  <si>
    <t>331020698182</t>
  </si>
  <si>
    <t>NP20170213153507399322</t>
  </si>
  <si>
    <t>331070031347</t>
  </si>
  <si>
    <t>NP20170213155054921728</t>
  </si>
  <si>
    <t>hiy170118120522118</t>
  </si>
  <si>
    <t>NI20170213155613769582</t>
  </si>
  <si>
    <t>xep170213154543164</t>
  </si>
  <si>
    <t>NP20170213160248290828</t>
  </si>
  <si>
    <t>xep170211173407055</t>
  </si>
  <si>
    <t>NP20170213160249951759</t>
  </si>
  <si>
    <t>331054633499</t>
  </si>
  <si>
    <t>NP20170213160715175872</t>
  </si>
  <si>
    <t>331043280707</t>
  </si>
  <si>
    <t>NP20170213161205024232</t>
  </si>
  <si>
    <t>xgx170125012253065</t>
  </si>
  <si>
    <t>NI20170213162100557792</t>
  </si>
  <si>
    <t>nhq170208093739404</t>
  </si>
  <si>
    <t>NP20170213162222574584</t>
  </si>
  <si>
    <t>srw170213160720534</t>
  </si>
  <si>
    <t>NP20170213161215727665</t>
  </si>
  <si>
    <t>330963262047</t>
  </si>
  <si>
    <t>NP20170213162524093607</t>
  </si>
  <si>
    <t>20170123001209TF274</t>
  </si>
  <si>
    <t>NP20170213162800814939</t>
  </si>
  <si>
    <t>20170123000519TF496</t>
  </si>
  <si>
    <t>NP20170213155712888784</t>
  </si>
  <si>
    <t>scv170122190022497</t>
  </si>
  <si>
    <t>NC20170213163126228013</t>
  </si>
  <si>
    <t>doa170209192929196</t>
  </si>
  <si>
    <t>NP20170213163229735540</t>
  </si>
  <si>
    <t>xep170111221409354</t>
  </si>
  <si>
    <t>NP20170213163420030109</t>
  </si>
  <si>
    <t>331060844438</t>
  </si>
  <si>
    <t>NC20170213163537424843</t>
  </si>
  <si>
    <t>331068900649</t>
  </si>
  <si>
    <t>NP20170213163541781149</t>
  </si>
  <si>
    <t>331081942072</t>
  </si>
  <si>
    <t>NP20170213164632770231</t>
  </si>
  <si>
    <t>xep170123143642332</t>
  </si>
  <si>
    <t>NP20170213164711405292</t>
  </si>
  <si>
    <t>ffs170206185518912</t>
  </si>
  <si>
    <t>NC20170213165413902216</t>
  </si>
  <si>
    <t>ghc170204115942299</t>
  </si>
  <si>
    <t>NI20170213165330985713</t>
  </si>
  <si>
    <t>hpw160111113232511</t>
  </si>
  <si>
    <t>NP20170213165439583012</t>
  </si>
  <si>
    <t>scv161225114615593</t>
  </si>
  <si>
    <t>NP20170213165240574467</t>
  </si>
  <si>
    <t>331037617651</t>
  </si>
  <si>
    <t>NP20170213165734562800</t>
  </si>
  <si>
    <t>jcg170206130146754</t>
  </si>
  <si>
    <t>NP20170213165712231175</t>
  </si>
  <si>
    <t>xep170120143837563</t>
  </si>
  <si>
    <t>NI20170213165744698257</t>
  </si>
  <si>
    <t>xep170206095518500</t>
  </si>
  <si>
    <t>NP20170213170109264380</t>
  </si>
  <si>
    <t>mhw170120143138873</t>
  </si>
  <si>
    <t>NP20170213170510051116</t>
  </si>
  <si>
    <t>ppg170113152059028</t>
  </si>
  <si>
    <t>NP20170213170557519170</t>
  </si>
  <si>
    <t>xuy170213095131955</t>
  </si>
  <si>
    <t>NP20170213170828308018</t>
  </si>
  <si>
    <t>nhq161229122628565</t>
  </si>
  <si>
    <t>NP20170213170847734355</t>
  </si>
  <si>
    <t>xep170104130445478</t>
  </si>
  <si>
    <t>NP20170213171058230470</t>
  </si>
  <si>
    <t>331045275110</t>
  </si>
  <si>
    <t>NP20170213171224876241</t>
  </si>
  <si>
    <t>ghc170114181209541</t>
  </si>
  <si>
    <t>NP20170213171245824144</t>
  </si>
  <si>
    <t>331045122325</t>
  </si>
  <si>
    <t>NP20170213171330364573</t>
  </si>
  <si>
    <t>czc170115104726786</t>
  </si>
  <si>
    <t>NP20170213171611511862</t>
  </si>
  <si>
    <t>331048865531</t>
  </si>
  <si>
    <t>NP20170213171631932038</t>
  </si>
  <si>
    <t>331075413760</t>
  </si>
  <si>
    <t>NP20170213171429545768</t>
  </si>
  <si>
    <t>331081290208</t>
  </si>
  <si>
    <t>NP20170213171655109682</t>
  </si>
  <si>
    <t>331075142485</t>
  </si>
  <si>
    <t>NP20170213171742801183</t>
  </si>
  <si>
    <t>331054138253</t>
  </si>
  <si>
    <t>NC20170213171956132176</t>
  </si>
  <si>
    <t>331074979453</t>
  </si>
  <si>
    <t>NC20170213172005013021</t>
  </si>
  <si>
    <t>331075087726</t>
  </si>
  <si>
    <t>NP20170213172913855049</t>
  </si>
  <si>
    <t>srs170208125635246</t>
  </si>
  <si>
    <t>NP20170213173234278897</t>
  </si>
  <si>
    <t>fna170106113016342</t>
  </si>
  <si>
    <t>NP20170213173251483223</t>
  </si>
  <si>
    <t>sme170121105717149</t>
  </si>
  <si>
    <t>NP20170213174819165549</t>
  </si>
  <si>
    <t>331081913645</t>
  </si>
  <si>
    <t>NP20170213175050775804</t>
  </si>
  <si>
    <t>czc170123130221572</t>
  </si>
  <si>
    <t>NP20170213175106682140</t>
  </si>
  <si>
    <t>xep170110014837603</t>
  </si>
  <si>
    <t>NP20170213175638620441</t>
  </si>
  <si>
    <t>hiy170208143619822</t>
  </si>
  <si>
    <t>NP20170213175821342079</t>
  </si>
  <si>
    <t>GD2017021317586424</t>
  </si>
  <si>
    <t>NP20170213175749737165</t>
  </si>
  <si>
    <t>xuy170202192006740</t>
  </si>
  <si>
    <t>NP20170213175710361283</t>
  </si>
  <si>
    <t>331081513949</t>
  </si>
  <si>
    <t>NP20170213180145837465</t>
  </si>
  <si>
    <t>331081833818</t>
  </si>
  <si>
    <t>NC20170213181710101911</t>
  </si>
  <si>
    <t>srs161219230602189</t>
  </si>
  <si>
    <t>NP20170213182208568526</t>
  </si>
  <si>
    <t>zgo170213180539400</t>
  </si>
  <si>
    <t>NP20170213181823292539</t>
  </si>
  <si>
    <t>331079522619</t>
  </si>
  <si>
    <t>NI20170213183119554388</t>
  </si>
  <si>
    <t>xep170212202748724</t>
  </si>
  <si>
    <t>NP20170213183855307000</t>
  </si>
  <si>
    <t>331081223407</t>
  </si>
  <si>
    <t>NP20170213185234043901</t>
  </si>
  <si>
    <t>xep170204100807753</t>
  </si>
  <si>
    <t>NP20170213185305379107</t>
  </si>
  <si>
    <t>331080737711</t>
  </si>
  <si>
    <t>NP20170213190656185052</t>
  </si>
  <si>
    <t>pma170110140854516</t>
  </si>
  <si>
    <t>NP20170213191140262546</t>
  </si>
  <si>
    <t>331076939128</t>
  </si>
  <si>
    <t>NP20170213191613787939</t>
  </si>
  <si>
    <t>331081231629</t>
  </si>
  <si>
    <t>NI20170213191449088047</t>
  </si>
  <si>
    <t>fna170115122655052</t>
  </si>
  <si>
    <t>p_3_130</t>
  </si>
  <si>
    <t>NI20170213192243320705</t>
  </si>
  <si>
    <t>331059450756</t>
  </si>
  <si>
    <t>NP20170213191834783438</t>
  </si>
  <si>
    <t>331077542490</t>
  </si>
  <si>
    <t>NP20170213193239454812</t>
  </si>
  <si>
    <t>xep170112181638869</t>
  </si>
  <si>
    <t>NP20170213193352272603</t>
  </si>
  <si>
    <t>hiy170211191438897</t>
  </si>
  <si>
    <t>NP20170213193700395865</t>
  </si>
  <si>
    <t>doa170203212612523</t>
  </si>
  <si>
    <t>NI20170213194542103485</t>
  </si>
  <si>
    <t>knd170213160534048</t>
  </si>
  <si>
    <t>NP20170213194904447388</t>
  </si>
  <si>
    <t>xep170210214633312</t>
  </si>
  <si>
    <t>NP20170213195657729850</t>
  </si>
  <si>
    <t>331013375129</t>
  </si>
  <si>
    <t>NP20170213195847327875</t>
  </si>
  <si>
    <t>20170213191231KE008</t>
  </si>
  <si>
    <t>fp_3_081</t>
  </si>
  <si>
    <t>NI20170213200109295507</t>
  </si>
  <si>
    <t>xep170131181500018</t>
  </si>
  <si>
    <t>NP20170213200438501503</t>
  </si>
  <si>
    <t>20170204215636TF332</t>
  </si>
  <si>
    <t>NP20170213200515477250</t>
  </si>
  <si>
    <t>331072993894</t>
  </si>
  <si>
    <t>NP20170213200541433374</t>
  </si>
  <si>
    <t>20170204221231TF188</t>
  </si>
  <si>
    <t>NP20170213202402743762</t>
  </si>
  <si>
    <t>scv170102113515177</t>
  </si>
  <si>
    <t>NP20170213203042072244</t>
  </si>
  <si>
    <t>331042876471</t>
  </si>
  <si>
    <t>NP20170213203025219382</t>
  </si>
  <si>
    <t>331081970709</t>
  </si>
  <si>
    <t>NI20170213203807390298</t>
  </si>
  <si>
    <t>doa161017152611101</t>
  </si>
  <si>
    <t>NI20170213203828605895</t>
  </si>
  <si>
    <t>xdr160520220047631</t>
  </si>
  <si>
    <t>NP20170213203714684504</t>
  </si>
  <si>
    <t>331081591886</t>
  </si>
  <si>
    <t>NP20170213205537615044</t>
  </si>
  <si>
    <t>ghc170213114342425</t>
  </si>
  <si>
    <t>NP20170213211600340044</t>
  </si>
  <si>
    <t>xep170105153548769</t>
  </si>
  <si>
    <t>NP20170213211724705481</t>
  </si>
  <si>
    <t>xep170105154307824</t>
  </si>
  <si>
    <t>NP20170213213651932861</t>
  </si>
  <si>
    <t>srs170210113655802</t>
  </si>
  <si>
    <t>NI20170213213651998588</t>
  </si>
  <si>
    <t>sme170208191915492</t>
  </si>
  <si>
    <t>NP20170213220414245134</t>
  </si>
  <si>
    <t>331053815366</t>
  </si>
  <si>
    <t>NP20170213220758118357</t>
  </si>
  <si>
    <t>pmo170110161000146</t>
  </si>
  <si>
    <t>NP20170213221203393418</t>
  </si>
  <si>
    <t>xau170208131400237</t>
  </si>
  <si>
    <t>NP20170213222929912363</t>
  </si>
  <si>
    <t>331072801397</t>
  </si>
  <si>
    <t>NP20170213224808395222</t>
  </si>
  <si>
    <t>331055970938</t>
  </si>
  <si>
    <t>NP20170213224607390966</t>
  </si>
  <si>
    <t>lxh170213221657105</t>
  </si>
  <si>
    <t>p_3_137</t>
  </si>
  <si>
    <t>NC20170213225811009845</t>
  </si>
  <si>
    <t>yyw170131213923451</t>
  </si>
  <si>
    <t>NP20170213230451305189</t>
  </si>
  <si>
    <t>331081153349</t>
  </si>
  <si>
    <t>NP20170213232221835286</t>
  </si>
  <si>
    <t>tfa170209200007007</t>
  </si>
  <si>
    <t>NP20170214000027722149</t>
  </si>
  <si>
    <t>ghc170213232428014</t>
  </si>
  <si>
    <t>NI20170214005148901082</t>
  </si>
  <si>
    <t>331081258255</t>
  </si>
  <si>
    <t>NP20170214014015119130</t>
  </si>
  <si>
    <t>tyx170124143246851</t>
  </si>
  <si>
    <t>NP20170214020112371269</t>
  </si>
  <si>
    <t>yyw170129235953079</t>
  </si>
  <si>
    <t>NP20170214065105657013</t>
  </si>
  <si>
    <t>331021705650</t>
  </si>
  <si>
    <t>NP20170214073323629353</t>
  </si>
  <si>
    <t>331076262725</t>
  </si>
  <si>
    <t>NP20170214080201952826</t>
  </si>
  <si>
    <t>331019554258</t>
  </si>
  <si>
    <t>NP20170214080224566740</t>
  </si>
  <si>
    <t>xep170120162454857</t>
  </si>
  <si>
    <t>NP20170214080653025439</t>
  </si>
  <si>
    <t>tjf170201214204729</t>
  </si>
  <si>
    <t>NP20170214081250733293</t>
  </si>
  <si>
    <t>ghc170210095716187</t>
  </si>
  <si>
    <t>NP20170214082040369241</t>
  </si>
  <si>
    <t>xep170213121328523</t>
  </si>
  <si>
    <t>NP20170214083051536590</t>
  </si>
  <si>
    <t>ysh170207092608027</t>
  </si>
  <si>
    <t>NP20170214083244200983</t>
  </si>
  <si>
    <t>qyp161212123042060</t>
  </si>
  <si>
    <t>NP20170214083131017059</t>
  </si>
  <si>
    <t>fna170214081305330</t>
  </si>
  <si>
    <t>NP20170214083536443074</t>
  </si>
  <si>
    <t>ysh170207092605999</t>
  </si>
  <si>
    <t>NP20170214083625513699</t>
  </si>
  <si>
    <t>jql170125084401631</t>
  </si>
  <si>
    <t>NP20170214083659743201</t>
  </si>
  <si>
    <t>xep170124225804173</t>
  </si>
  <si>
    <t>NP20170214083719282799</t>
  </si>
  <si>
    <t>ghc170124224754213</t>
  </si>
  <si>
    <t>NP20170214083740101693</t>
  </si>
  <si>
    <t>xep170123224910215</t>
  </si>
  <si>
    <t>NP20170214083756806226</t>
  </si>
  <si>
    <t>hiy170119230451664</t>
  </si>
  <si>
    <t>NP20170214083811807530</t>
  </si>
  <si>
    <t>xep170118162301051</t>
  </si>
  <si>
    <t>NP20170214083833216318</t>
  </si>
  <si>
    <t>xep170117085913796</t>
  </si>
  <si>
    <t>NP20170214083850220786</t>
  </si>
  <si>
    <t>xep170117085326775</t>
  </si>
  <si>
    <t>NP20170214083907410188</t>
  </si>
  <si>
    <t>zgl170116192509749</t>
  </si>
  <si>
    <t>NP20170214084009819337</t>
  </si>
  <si>
    <t>xep170114232119592</t>
  </si>
  <si>
    <t>NP20170214084105455099</t>
  </si>
  <si>
    <t>xep170113174924453</t>
  </si>
  <si>
    <t>NP20170214084122309552</t>
  </si>
  <si>
    <t>xep170112181757079</t>
  </si>
  <si>
    <t>NP20170214084137653573</t>
  </si>
  <si>
    <t>jql170112171332801</t>
  </si>
  <si>
    <t>NP20170214084153330768</t>
  </si>
  <si>
    <t>jql170112144437600</t>
  </si>
  <si>
    <t>NP20170214084212270416</t>
  </si>
  <si>
    <t>ysh170112143653497</t>
  </si>
  <si>
    <t>NP20170214084228145228</t>
  </si>
  <si>
    <t>ghc170112143220290</t>
  </si>
  <si>
    <t>NP20170214084247694282</t>
  </si>
  <si>
    <t>ghc170112143010749</t>
  </si>
  <si>
    <t>NP20170214084518702661</t>
  </si>
  <si>
    <t>xep170112142512369</t>
  </si>
  <si>
    <t>NP20170214084534201700</t>
  </si>
  <si>
    <t>ghc170112141618095</t>
  </si>
  <si>
    <t>NP20170214084549156988</t>
  </si>
  <si>
    <t>hiy170112141158963</t>
  </si>
  <si>
    <t>NP20170214084606633557</t>
  </si>
  <si>
    <t>nxw170112135311165</t>
  </si>
  <si>
    <t>NP20170214084621209519</t>
  </si>
  <si>
    <t>nxw170112134940271</t>
  </si>
  <si>
    <t>NP20170214084638166333</t>
  </si>
  <si>
    <t>nxw170112134335684</t>
  </si>
  <si>
    <t>NP20170214084652949266</t>
  </si>
  <si>
    <t>nxw170112133923509</t>
  </si>
  <si>
    <t>NP20170214084708262978</t>
  </si>
  <si>
    <t>xep170112092232330</t>
  </si>
  <si>
    <t>NP20170214084726920693</t>
  </si>
  <si>
    <t>xep170111085559436</t>
  </si>
  <si>
    <t>NP20170214084742387532</t>
  </si>
  <si>
    <t>ysh170106120244354</t>
  </si>
  <si>
    <t>NP20170214084756671337</t>
  </si>
  <si>
    <t>yyw170103171656665</t>
  </si>
  <si>
    <t>NP20170214084814759260</t>
  </si>
  <si>
    <t>xep170103165848355</t>
  </si>
  <si>
    <t>NP20170214084918163964</t>
  </si>
  <si>
    <t>xep161230144233994</t>
  </si>
  <si>
    <t>NP20170214084958750470</t>
  </si>
  <si>
    <t>xep161229151643635</t>
  </si>
  <si>
    <t>NP20170214085036076290</t>
  </si>
  <si>
    <t>nhq161229135353031</t>
  </si>
  <si>
    <t>NP20170214085109401740</t>
  </si>
  <si>
    <t>nxw170112171207594</t>
  </si>
  <si>
    <t>NP20170214085123496561</t>
  </si>
  <si>
    <t>nxw170112171209384</t>
  </si>
  <si>
    <t>NP20170214085142739063</t>
  </si>
  <si>
    <t>xep161228203239233</t>
  </si>
  <si>
    <t>NP20170214085202538408</t>
  </si>
  <si>
    <t>xep161227134801790</t>
  </si>
  <si>
    <t>NP20170214085217933249</t>
  </si>
  <si>
    <t>xep161226152541818</t>
  </si>
  <si>
    <t>NP20170214085234153793</t>
  </si>
  <si>
    <t>nxw161226145516745</t>
  </si>
  <si>
    <t>NP20170214085304898306</t>
  </si>
  <si>
    <t>xep161224134515093</t>
  </si>
  <si>
    <t>NP20170214085342957933</t>
  </si>
  <si>
    <t>qyu161224093704049</t>
  </si>
  <si>
    <t>NP20170214085357831736</t>
  </si>
  <si>
    <t>tyx161222142457455</t>
  </si>
  <si>
    <t>NP20170214085417824235</t>
  </si>
  <si>
    <t>wxw161222105001039</t>
  </si>
  <si>
    <t>NP20170214085435643176</t>
  </si>
  <si>
    <t>yyw161220160303130</t>
  </si>
  <si>
    <t>NP20170214085450332782</t>
  </si>
  <si>
    <t>yyw161220160040436</t>
  </si>
  <si>
    <t>NP20170214085546603579</t>
  </si>
  <si>
    <t>yyw161220150400459</t>
  </si>
  <si>
    <t>NP20170214085614445364</t>
  </si>
  <si>
    <t>yyw161220145807636</t>
  </si>
  <si>
    <t>NP20170214085709854808</t>
  </si>
  <si>
    <t>pmo161220091051928</t>
  </si>
  <si>
    <t>NP20170214085724784674</t>
  </si>
  <si>
    <t>tyx161220084849352</t>
  </si>
  <si>
    <t>NP20170214085743356379</t>
  </si>
  <si>
    <t>xep161220084105975</t>
  </si>
  <si>
    <t>NP20170214085758476594</t>
  </si>
  <si>
    <t>xep161219162244825</t>
  </si>
  <si>
    <t>NP20170214084911469070</t>
  </si>
  <si>
    <t>xep170213193335751</t>
  </si>
  <si>
    <t>NP20170214085812485875</t>
  </si>
  <si>
    <t>xep161219161315981</t>
  </si>
  <si>
    <t>NP20170214085826008704</t>
  </si>
  <si>
    <t>xgx161219144339582</t>
  </si>
  <si>
    <t>NP20170214085855654214</t>
  </si>
  <si>
    <t>xep161219141924131</t>
  </si>
  <si>
    <t>NP20170214090055362709</t>
  </si>
  <si>
    <t>jwe161219141710379</t>
  </si>
  <si>
    <t>NP20170214090113951078</t>
  </si>
  <si>
    <t>xep161219141303974</t>
  </si>
  <si>
    <t>NP20170214090129840610</t>
  </si>
  <si>
    <t>xep161219140226758</t>
  </si>
  <si>
    <t>NP20170214090145222983</t>
  </si>
  <si>
    <t>sdc161219135715135</t>
  </si>
  <si>
    <t>NP20170214090209449963</t>
  </si>
  <si>
    <t>xep161216180342706</t>
  </si>
  <si>
    <t>NP20170214090414594303</t>
  </si>
  <si>
    <t>doa170211135307015</t>
  </si>
  <si>
    <t>NC20170214090429994115</t>
  </si>
  <si>
    <t>pgl170209161343616</t>
  </si>
  <si>
    <t>NP20170214090947759793</t>
  </si>
  <si>
    <t>doa170210144150573</t>
  </si>
  <si>
    <t>NP20170214091245589926</t>
  </si>
  <si>
    <t>17020710044474a16dx</t>
  </si>
  <si>
    <t>NP20170214091137880965</t>
  </si>
  <si>
    <t>xep170106230903123</t>
  </si>
  <si>
    <t>NP20170214091635151894</t>
  </si>
  <si>
    <t>331077540455</t>
  </si>
  <si>
    <t>NP20170214091722740134</t>
  </si>
  <si>
    <t>C1702130082105</t>
  </si>
  <si>
    <t>NP20170214092418693521</t>
  </si>
  <si>
    <t>ghc170202174813722</t>
  </si>
  <si>
    <t>NP20170214092542841967</t>
  </si>
  <si>
    <t>doa170209152831029</t>
  </si>
  <si>
    <t>NP20170214091615739918</t>
  </si>
  <si>
    <t>331072878557</t>
  </si>
  <si>
    <t>NP20170214092851746614</t>
  </si>
  <si>
    <t>161105161422e53349x</t>
  </si>
  <si>
    <t>NP20170214093312456676</t>
  </si>
  <si>
    <t>331032438992</t>
  </si>
  <si>
    <t>NC20170214093517381125</t>
  </si>
  <si>
    <t>czc170119162921415</t>
  </si>
  <si>
    <t>NP20170214093722039076</t>
  </si>
  <si>
    <t>ydl170120155130101</t>
  </si>
  <si>
    <t>NP20170214093708677702</t>
  </si>
  <si>
    <t>331026929546</t>
  </si>
  <si>
    <t>NP20170214093739119281</t>
  </si>
  <si>
    <t>xuy170213082326678</t>
  </si>
  <si>
    <t>NP20170214094537121091</t>
  </si>
  <si>
    <t>cyo170214094214811</t>
  </si>
  <si>
    <t>NP20170214094347688953</t>
  </si>
  <si>
    <t>ppg170214092840483</t>
  </si>
  <si>
    <t>NP20170214091755919438</t>
  </si>
  <si>
    <t>nhq170207093350138</t>
  </si>
  <si>
    <t>NP20170214095227265925</t>
  </si>
  <si>
    <t>331059391011</t>
  </si>
  <si>
    <t>NP20170214095342824835</t>
  </si>
  <si>
    <t>331016923240</t>
  </si>
  <si>
    <t>NP20170214095705550521</t>
  </si>
  <si>
    <t>tyx170130230106538</t>
  </si>
  <si>
    <t>NP20170214095638644504</t>
  </si>
  <si>
    <t>330988144135</t>
  </si>
  <si>
    <t>bp_3_055</t>
  </si>
  <si>
    <t>NP20170214100710109623</t>
  </si>
  <si>
    <t>xep170125130653672</t>
  </si>
  <si>
    <t>NP20170214100802150815</t>
  </si>
  <si>
    <t>srs170204205340629</t>
  </si>
  <si>
    <t>NP20170214100912451910</t>
  </si>
  <si>
    <t>czl170203195049914</t>
  </si>
  <si>
    <t>NI20170214100650495314</t>
  </si>
  <si>
    <t>hiy170115153501489</t>
  </si>
  <si>
    <t>NP20170214101627845918</t>
  </si>
  <si>
    <t>0066040847</t>
  </si>
  <si>
    <t>NI20170214102229664556</t>
  </si>
  <si>
    <t>331082162531</t>
  </si>
  <si>
    <t>NP20170214102719519195</t>
  </si>
  <si>
    <t>yck170208163652452</t>
  </si>
  <si>
    <t>NP20170214103030369208</t>
  </si>
  <si>
    <t>331082757956</t>
  </si>
  <si>
    <t>NP20170214102501754348</t>
  </si>
  <si>
    <t>jwe170209130748825</t>
  </si>
  <si>
    <t>NP20170214103248977237</t>
  </si>
  <si>
    <t>331079649981</t>
  </si>
  <si>
    <t>NP20170214103351231878</t>
  </si>
  <si>
    <t>330991564632</t>
  </si>
  <si>
    <t>NP20170214103423322894</t>
  </si>
  <si>
    <t>331074584965</t>
  </si>
  <si>
    <t>NP20170214103502595621</t>
  </si>
  <si>
    <t>xep170212103659633</t>
  </si>
  <si>
    <t>NC20170214103552833251</t>
  </si>
  <si>
    <t>331080053647</t>
  </si>
  <si>
    <t>NP20170214103227526508</t>
  </si>
  <si>
    <t>qdu170116131613038</t>
  </si>
  <si>
    <t>NC20170214103711008050</t>
  </si>
  <si>
    <t>331071573210</t>
  </si>
  <si>
    <t>NP20170214101514693527</t>
  </si>
  <si>
    <t>xep170125130653671</t>
  </si>
  <si>
    <t>NP20170214104054969757</t>
  </si>
  <si>
    <t>331026011228</t>
  </si>
  <si>
    <t>NP20170214104004273830</t>
  </si>
  <si>
    <t>331028903712</t>
  </si>
  <si>
    <t>NI20170214103058825694</t>
  </si>
  <si>
    <t>tjf170213211610868</t>
  </si>
  <si>
    <t>NP20170214104707005434</t>
  </si>
  <si>
    <t>xep170117094040469</t>
  </si>
  <si>
    <t>NP20170214104937679317</t>
  </si>
  <si>
    <t>xep170126085829562</t>
  </si>
  <si>
    <t>NP20170214105012180987</t>
  </si>
  <si>
    <t>ghc170208113505929</t>
  </si>
  <si>
    <t>NP20170214105030250009</t>
  </si>
  <si>
    <t>xuy170131094011470</t>
  </si>
  <si>
    <t>NP20170214105138783495</t>
  </si>
  <si>
    <t>ebb170207145528779</t>
  </si>
  <si>
    <t>NP20170214104855210695</t>
  </si>
  <si>
    <t>pzf170110124234084</t>
  </si>
  <si>
    <t>NP20170214105207869730</t>
  </si>
  <si>
    <t>GD2017021410527239</t>
  </si>
  <si>
    <t>NP20170214105123299167</t>
  </si>
  <si>
    <t>xhp170208182935406</t>
  </si>
  <si>
    <t>NP20170214103602798913</t>
  </si>
  <si>
    <t>20170214003243AC029</t>
  </si>
  <si>
    <t>NI20170214104822594527</t>
  </si>
  <si>
    <t>xep170213213859565</t>
  </si>
  <si>
    <t>NP20170214105710224556</t>
  </si>
  <si>
    <t>331081018093</t>
  </si>
  <si>
    <t>NI20170214105607642008</t>
  </si>
  <si>
    <t>331047850650</t>
  </si>
  <si>
    <t>NP20170214105942975519</t>
  </si>
  <si>
    <t>331021509342</t>
  </si>
  <si>
    <t>NP20170214110036338425</t>
  </si>
  <si>
    <t>331021784460</t>
  </si>
  <si>
    <t>NP20170214110408622605</t>
  </si>
  <si>
    <t>331082550630</t>
  </si>
  <si>
    <t>NP20170214110629769780</t>
  </si>
  <si>
    <t>nxw170207110838665</t>
  </si>
  <si>
    <t>NC20170214110734736316</t>
  </si>
  <si>
    <t>nxw170110124757823</t>
  </si>
  <si>
    <t>NI20170214110109680078</t>
  </si>
  <si>
    <t>xep161209230752976</t>
  </si>
  <si>
    <t>NP20170214110753033864</t>
  </si>
  <si>
    <t>xuy170103150304273</t>
  </si>
  <si>
    <t>NP20170214110346664282</t>
  </si>
  <si>
    <t>xuy170212143921377</t>
  </si>
  <si>
    <t>NP20170214111142094570</t>
  </si>
  <si>
    <t>331019877942</t>
  </si>
  <si>
    <t>NP20170214111207917571</t>
  </si>
  <si>
    <t>331014241239</t>
  </si>
  <si>
    <t>NC20170214111218751241</t>
  </si>
  <si>
    <t>yhs170214110435449</t>
  </si>
  <si>
    <t>NP20170214111316860886</t>
  </si>
  <si>
    <t>330978552203</t>
  </si>
  <si>
    <t>NP20170214110835266377</t>
  </si>
  <si>
    <t>xto161207094138422</t>
  </si>
  <si>
    <t>NP20170214111344201693</t>
  </si>
  <si>
    <t>330977649477</t>
  </si>
  <si>
    <t>NP20170214111622144609</t>
  </si>
  <si>
    <t>xep161207094138423</t>
  </si>
  <si>
    <t>NP20170214111713227462</t>
  </si>
  <si>
    <t>ylr170214110149581</t>
  </si>
  <si>
    <t>NP20170214111914225836</t>
  </si>
  <si>
    <t>xhp170214094548011</t>
  </si>
  <si>
    <t>NP20170214112158039394</t>
  </si>
  <si>
    <t>ghc170204221637095</t>
  </si>
  <si>
    <t>NP20170214112451054566</t>
  </si>
  <si>
    <t>yyw170213151107450</t>
  </si>
  <si>
    <t>NP20170214112810676865</t>
  </si>
  <si>
    <t>ghc170121210445033</t>
  </si>
  <si>
    <t>NI20170214113043495135</t>
  </si>
  <si>
    <t>hiy170116105301068</t>
  </si>
  <si>
    <t>NP20170214113242086651</t>
  </si>
  <si>
    <t>331040334297</t>
  </si>
  <si>
    <t>NP20170214114044930888</t>
  </si>
  <si>
    <t>tjf170111182510990</t>
  </si>
  <si>
    <t>NP20170214114326840095</t>
  </si>
  <si>
    <t>bls170111103211123</t>
  </si>
  <si>
    <t>NP20170214114229739531</t>
  </si>
  <si>
    <t>srs170205065351294</t>
  </si>
  <si>
    <t>NP20170214112412137971</t>
  </si>
  <si>
    <t>xgx161214164353160</t>
  </si>
  <si>
    <t>NP20170214114411529463</t>
  </si>
  <si>
    <t>xep170214110118427</t>
  </si>
  <si>
    <t>p_3_139</t>
  </si>
  <si>
    <t>NP20170214114902621123</t>
  </si>
  <si>
    <t>zgl170209222555635</t>
  </si>
  <si>
    <t>NP20170214115143898162</t>
  </si>
  <si>
    <t>xep161219231050317</t>
  </si>
  <si>
    <t>NP20170214115421836802</t>
  </si>
  <si>
    <t>GD2017021411547561</t>
  </si>
  <si>
    <t>sp_3_036</t>
  </si>
  <si>
    <t>NP20170214115427867873</t>
  </si>
  <si>
    <t>tlh170210112831308</t>
  </si>
  <si>
    <t>NP20170214120545741331</t>
  </si>
  <si>
    <t>kmb170119132309913</t>
  </si>
  <si>
    <t>NP20170214115742334701</t>
  </si>
  <si>
    <t>331082213788</t>
  </si>
  <si>
    <t>NI20170214115323657980</t>
  </si>
  <si>
    <t>kns170214114216827</t>
  </si>
  <si>
    <t>NP20170214120757303724</t>
  </si>
  <si>
    <t>ffs170101123631574</t>
  </si>
  <si>
    <t>NP20170214120919691838</t>
  </si>
  <si>
    <t>jql170213210956343</t>
  </si>
  <si>
    <t>NP20170214121102440986</t>
  </si>
  <si>
    <t>sub170104235659568</t>
  </si>
  <si>
    <t>NP20170214121127806384</t>
  </si>
  <si>
    <t>doa170114171401603</t>
  </si>
  <si>
    <t>NP20170214121203387670</t>
  </si>
  <si>
    <t>331082595841</t>
  </si>
  <si>
    <t>NP20170214121139262941</t>
  </si>
  <si>
    <t>331082073028</t>
  </si>
  <si>
    <t>NI20170214121729099227</t>
  </si>
  <si>
    <t>331082752959</t>
  </si>
  <si>
    <t>NP20170214121737093636</t>
  </si>
  <si>
    <t>331081352047</t>
  </si>
  <si>
    <t>NP20170214121935513673</t>
  </si>
  <si>
    <t>331079862700</t>
  </si>
  <si>
    <t>bp_3_014</t>
  </si>
  <si>
    <t>NP20170214121625189184</t>
  </si>
  <si>
    <t>331082936566</t>
  </si>
  <si>
    <t>NP20170214122144425679</t>
  </si>
  <si>
    <t>xep170125130255808</t>
  </si>
  <si>
    <t>NP20170214122450218502</t>
  </si>
  <si>
    <t>xtw170207140726253</t>
  </si>
  <si>
    <t>NP20170214122634970550</t>
  </si>
  <si>
    <t>doa170126160818714</t>
  </si>
  <si>
    <t>NP20170214122623875158</t>
  </si>
  <si>
    <t>dzc170212080926549</t>
  </si>
  <si>
    <t>NP20170214122854393435</t>
  </si>
  <si>
    <t>ldf170113211749126e5e13</t>
  </si>
  <si>
    <t>NI20170214122548291994</t>
  </si>
  <si>
    <t>xep170123221654726</t>
  </si>
  <si>
    <t>NP20170214123007293075</t>
  </si>
  <si>
    <t>jqa170213125529839</t>
  </si>
  <si>
    <t>NP20170214122207691049</t>
  </si>
  <si>
    <t>331077121176</t>
  </si>
  <si>
    <t>NP20170214123454922087</t>
  </si>
  <si>
    <t>331050818172</t>
  </si>
  <si>
    <t>NP20170214123526174891</t>
  </si>
  <si>
    <t>331050620916</t>
  </si>
  <si>
    <t>NP20170214125023747772</t>
  </si>
  <si>
    <t>cyo170214111541395</t>
  </si>
  <si>
    <t>NP20170214125057128977</t>
  </si>
  <si>
    <t>wmq170214123744123</t>
  </si>
  <si>
    <t>NP20170214125510501373</t>
  </si>
  <si>
    <t>331063785449</t>
  </si>
  <si>
    <t>NP20170214125240949027</t>
  </si>
  <si>
    <t>ebb161212133057277</t>
  </si>
  <si>
    <t>NP20170214125905019043</t>
  </si>
  <si>
    <t>xgx170203192552921</t>
  </si>
  <si>
    <t>NP20170214122405254283</t>
  </si>
  <si>
    <t>pmo161219142203972</t>
  </si>
  <si>
    <t>NP20170214125935631508</t>
  </si>
  <si>
    <t>qda161215161628697</t>
  </si>
  <si>
    <t>NP20170214125951174938</t>
  </si>
  <si>
    <t>czc161129102546454</t>
  </si>
  <si>
    <t>NP20170214130013136977</t>
  </si>
  <si>
    <t>ebb161121145839338</t>
  </si>
  <si>
    <t>NP20170214130111739630</t>
  </si>
  <si>
    <t>cqh170119102051848</t>
  </si>
  <si>
    <t>NP20170214130110378268</t>
  </si>
  <si>
    <t>nxw170208185425855</t>
  </si>
  <si>
    <t>NP20170214130223363404</t>
  </si>
  <si>
    <t>331029169187</t>
  </si>
  <si>
    <t>NP20170214125644169265</t>
  </si>
  <si>
    <t>xep170208100132581</t>
  </si>
  <si>
    <t>NP20170214130642292524</t>
  </si>
  <si>
    <t>331049435861</t>
  </si>
  <si>
    <t>NP20170214131128500067</t>
  </si>
  <si>
    <t>hga170118211459567</t>
  </si>
  <si>
    <t>NI20170214131303546782</t>
  </si>
  <si>
    <t>51170126146111</t>
  </si>
  <si>
    <t>NI20170214131511482704</t>
  </si>
  <si>
    <t>331063881266</t>
  </si>
  <si>
    <t>NP20170214132248577568</t>
  </si>
  <si>
    <t>0064974597</t>
  </si>
  <si>
    <t>NP20170214132315288457</t>
  </si>
  <si>
    <t>0065293643</t>
  </si>
  <si>
    <t>NP20170214132620558531</t>
  </si>
  <si>
    <t>smf161110124352334</t>
  </si>
  <si>
    <t>NI20170214132434307436</t>
  </si>
  <si>
    <t>xgx170207134841046</t>
  </si>
  <si>
    <t>NP20170214133111226971</t>
  </si>
  <si>
    <t>331062074433</t>
  </si>
  <si>
    <t>NI20170214133027502394</t>
  </si>
  <si>
    <t>0065473199</t>
  </si>
  <si>
    <t>NP20170214132319889825</t>
  </si>
  <si>
    <t>GD2017021413234719</t>
  </si>
  <si>
    <t>NP20170214133634415468</t>
  </si>
  <si>
    <t>ghc170106083012285</t>
  </si>
  <si>
    <t>NI20170214133650661144</t>
  </si>
  <si>
    <t>331050436884</t>
  </si>
  <si>
    <t>NP20170214133948849150</t>
  </si>
  <si>
    <t>331068318286</t>
  </si>
  <si>
    <t>NI20170214133936126305</t>
  </si>
  <si>
    <t>330998520630</t>
  </si>
  <si>
    <t>NP20170214134320241709</t>
  </si>
  <si>
    <t>331060668278</t>
  </si>
  <si>
    <t>bp_3_060</t>
  </si>
  <si>
    <t>NI20170214134239851586</t>
  </si>
  <si>
    <t>331082172837</t>
  </si>
  <si>
    <t>NP20170214134752675120</t>
  </si>
  <si>
    <t>pzf170130190611767</t>
  </si>
  <si>
    <t>NP20170214135246695215</t>
  </si>
  <si>
    <t>sxb161228143551050</t>
  </si>
  <si>
    <t>NP20170214135523011621</t>
  </si>
  <si>
    <t>xep170131110616046</t>
  </si>
  <si>
    <t>NP20170214135545663465</t>
  </si>
  <si>
    <t>nhq170127230724799</t>
  </si>
  <si>
    <t>NP20170214135554853139</t>
  </si>
  <si>
    <t>xgx170124232730308</t>
  </si>
  <si>
    <t>NP20170214135709818956</t>
  </si>
  <si>
    <t>331050058849</t>
  </si>
  <si>
    <t>NP20170214140055862862</t>
  </si>
  <si>
    <t>331082332622</t>
  </si>
  <si>
    <t>NP20170214140422126513</t>
  </si>
  <si>
    <t>331074466291</t>
  </si>
  <si>
    <t>NP20170214140545490143</t>
  </si>
  <si>
    <t>331069784082</t>
  </si>
  <si>
    <t>NP20170214140719293525</t>
  </si>
  <si>
    <t>yhs170211133908048</t>
  </si>
  <si>
    <t>NI20170214135137610859</t>
  </si>
  <si>
    <t>pzf170130191939090</t>
  </si>
  <si>
    <t>NI20170214141302325616</t>
  </si>
  <si>
    <t>yyw170111214240269</t>
  </si>
  <si>
    <t>NP20170214141722605828</t>
  </si>
  <si>
    <t>xep161231214042797</t>
  </si>
  <si>
    <t>NP20170214142000646668</t>
  </si>
  <si>
    <t>doa161028225618146</t>
  </si>
  <si>
    <t>NP20170214141719356988</t>
  </si>
  <si>
    <t>jcg170214135506975</t>
  </si>
  <si>
    <t>NP20170214142129049066</t>
  </si>
  <si>
    <t>xuy170214133156484</t>
  </si>
  <si>
    <t>NP20170214142940589886</t>
  </si>
  <si>
    <t>331045832681</t>
  </si>
  <si>
    <t>NP20170214143011938991</t>
  </si>
  <si>
    <t>331082094397</t>
  </si>
  <si>
    <t>NI20170214141635363844</t>
  </si>
  <si>
    <t>hkt170212104014350</t>
  </si>
  <si>
    <t>NP20170214144125560697</t>
  </si>
  <si>
    <t>doa170213095343494</t>
  </si>
  <si>
    <t>NP20170214144216756742</t>
  </si>
  <si>
    <t>pzf170209183327363</t>
  </si>
  <si>
    <t>NP20170214145305758956</t>
  </si>
  <si>
    <t>331082793062</t>
  </si>
  <si>
    <t>NP20170214150426718384</t>
  </si>
  <si>
    <t>hiy161206132503528</t>
  </si>
  <si>
    <t>NI20170214150539247364</t>
  </si>
  <si>
    <t>331053145222</t>
  </si>
  <si>
    <t>NP20170214151216589036</t>
  </si>
  <si>
    <t>331047620805</t>
  </si>
  <si>
    <t>NP20170214151602052413</t>
  </si>
  <si>
    <t>kmb170121222423439</t>
  </si>
  <si>
    <t>NP20170214151717563367</t>
  </si>
  <si>
    <t>hyd170116081026178</t>
  </si>
  <si>
    <t>NP20170214151829137579</t>
  </si>
  <si>
    <t>201612031527193K203</t>
  </si>
  <si>
    <t>NP20170214151949886676</t>
  </si>
  <si>
    <t>331020023504</t>
  </si>
  <si>
    <t>NP20170214151946557375</t>
  </si>
  <si>
    <t>ghc170214151026057</t>
  </si>
  <si>
    <t>NP20170214152152367007</t>
  </si>
  <si>
    <t>331069698068</t>
  </si>
  <si>
    <t>NP20170214150746431206</t>
  </si>
  <si>
    <t>331008624410</t>
  </si>
  <si>
    <t>NP20170214152753423852</t>
  </si>
  <si>
    <t>cdh170125091013322</t>
  </si>
  <si>
    <t>NP20170214152919647723</t>
  </si>
  <si>
    <t>doa170214140804184</t>
  </si>
  <si>
    <t>NI20170214153011299250</t>
  </si>
  <si>
    <t>xep161210073635433</t>
  </si>
  <si>
    <t>NP20170214153401200488</t>
  </si>
  <si>
    <t>331033221698</t>
  </si>
  <si>
    <t>NP20170214153727338024</t>
  </si>
  <si>
    <t>yyw170126131834083</t>
  </si>
  <si>
    <t>NI20170214154027805898</t>
  </si>
  <si>
    <t>qyu170128113348091</t>
  </si>
  <si>
    <t>NI20170214154004302705</t>
  </si>
  <si>
    <t>331082902717</t>
  </si>
  <si>
    <t>NP20170214154620369064</t>
  </si>
  <si>
    <t>nij170206152449449</t>
  </si>
  <si>
    <t>NP20170214154908322914</t>
  </si>
  <si>
    <t>hiy170127190430129</t>
  </si>
  <si>
    <t>NP20170214155129806560</t>
  </si>
  <si>
    <t>ghc170205101121156</t>
  </si>
  <si>
    <t>NP20170214155411195418</t>
  </si>
  <si>
    <t>331082109017</t>
  </si>
  <si>
    <t>NP20170214155232736166</t>
  </si>
  <si>
    <t>doa170205120543534</t>
  </si>
  <si>
    <t>NP20170214155605017180</t>
  </si>
  <si>
    <t>331042617852</t>
  </si>
  <si>
    <t>NP20170214155829954612</t>
  </si>
  <si>
    <t>nhq161230164306494</t>
  </si>
  <si>
    <t>NP20170214155810320600</t>
  </si>
  <si>
    <t>xep170117194745355</t>
  </si>
  <si>
    <t>NP20170214155302942551</t>
  </si>
  <si>
    <t>51170104829155</t>
  </si>
  <si>
    <t>fp_3_083</t>
  </si>
  <si>
    <t>NP20170214160213420051</t>
  </si>
  <si>
    <t>xep170208163907037</t>
  </si>
  <si>
    <t>NP20170214155900949202</t>
  </si>
  <si>
    <t>331081329694</t>
  </si>
  <si>
    <t>NI20170214160329470357</t>
  </si>
  <si>
    <t>zgl170114214928385</t>
  </si>
  <si>
    <t>NI20170214161001670673</t>
  </si>
  <si>
    <t>331033669022</t>
  </si>
  <si>
    <t>NP20170214161038114730</t>
  </si>
  <si>
    <t>pgl170213130525691</t>
  </si>
  <si>
    <t>NP20170214161554333937</t>
  </si>
  <si>
    <t>51161106063605</t>
  </si>
  <si>
    <t>NP20170214161530420269</t>
  </si>
  <si>
    <t>331000241737</t>
  </si>
  <si>
    <t>NP20170214161947577916</t>
  </si>
  <si>
    <t>331050884156</t>
  </si>
  <si>
    <t>NP20170214162013929426</t>
  </si>
  <si>
    <t>xep161221181527655</t>
  </si>
  <si>
    <t>p_3_107</t>
  </si>
  <si>
    <t>NP20170214162020043365</t>
  </si>
  <si>
    <t>aya160416161303996eb72b</t>
  </si>
  <si>
    <t>NP20170214162224894683</t>
  </si>
  <si>
    <t>jah170113113817471</t>
  </si>
  <si>
    <t>NC20170214162650235236</t>
  </si>
  <si>
    <t>331082051182</t>
  </si>
  <si>
    <t>NP20170214162554814053</t>
  </si>
  <si>
    <t>331078410960</t>
  </si>
  <si>
    <t>NP20170214162918689073</t>
  </si>
  <si>
    <t>sub161222093334102</t>
  </si>
  <si>
    <t>NP20170214163035481148</t>
  </si>
  <si>
    <t>331082366792</t>
  </si>
  <si>
    <t>NC20170214163734933603</t>
  </si>
  <si>
    <t>330868905119</t>
  </si>
  <si>
    <t>NP20170214163741527293</t>
  </si>
  <si>
    <t>hiy170202183534690</t>
  </si>
  <si>
    <t>NP20170214163928904177</t>
  </si>
  <si>
    <t>pmo161202060028728</t>
  </si>
  <si>
    <t>NP20170214163910622922</t>
  </si>
  <si>
    <t>qyp170212013430518</t>
  </si>
  <si>
    <t>NP20170214164120250460</t>
  </si>
  <si>
    <t>mir170104123406666</t>
  </si>
  <si>
    <t>NP20170214164254428427</t>
  </si>
  <si>
    <t>doa170119183542672</t>
  </si>
  <si>
    <t>NP20170214163338062251</t>
  </si>
  <si>
    <t>330954036085</t>
  </si>
  <si>
    <t>NP20170214164756920685</t>
  </si>
  <si>
    <t>xgx170201135700293</t>
  </si>
  <si>
    <t>NP20170214164819165952</t>
  </si>
  <si>
    <t>cfs170108151439687</t>
  </si>
  <si>
    <t>NP20170214164640893377</t>
  </si>
  <si>
    <t>xep170206150605377</t>
  </si>
  <si>
    <t>NP20170214165056677925</t>
  </si>
  <si>
    <t>yjp170107113537096</t>
  </si>
  <si>
    <t>NP20170214165523133533</t>
  </si>
  <si>
    <t>pzf170206213821763</t>
  </si>
  <si>
    <t>NP20170214170009078131</t>
  </si>
  <si>
    <t>tjf170214164915474</t>
  </si>
  <si>
    <t>NP20170214165808244271</t>
  </si>
  <si>
    <t>331082081844</t>
  </si>
  <si>
    <t>NP20170214165947525440</t>
  </si>
  <si>
    <t>xep161223152653898</t>
  </si>
  <si>
    <t>NP20170214170337569035</t>
  </si>
  <si>
    <t>scv170212214140078</t>
  </si>
  <si>
    <t>NP20170214170517020267</t>
  </si>
  <si>
    <t>xep170116081409497</t>
  </si>
  <si>
    <t>NI20170214170702926374</t>
  </si>
  <si>
    <t>xuy161114122318382</t>
  </si>
  <si>
    <t>NI20170214170701262261</t>
  </si>
  <si>
    <t>xuy161114122318381</t>
  </si>
  <si>
    <t>NI20170214170903224394</t>
  </si>
  <si>
    <t>kys161227104627726</t>
  </si>
  <si>
    <t>NP20170214171148479961</t>
  </si>
  <si>
    <t>ssw170202120623041</t>
  </si>
  <si>
    <t>NP20170214170918855045</t>
  </si>
  <si>
    <t>331082926501</t>
  </si>
  <si>
    <t>NP20170214171113748481</t>
  </si>
  <si>
    <t>331025475559</t>
  </si>
  <si>
    <t>NP20170214171744592391</t>
  </si>
  <si>
    <t>nhq170115145312255</t>
  </si>
  <si>
    <t>NP20170214171309518228</t>
  </si>
  <si>
    <t>xep170213203955834</t>
  </si>
  <si>
    <t>NP20170214171900956049</t>
  </si>
  <si>
    <t>xep170213204359726</t>
  </si>
  <si>
    <t>NP20170214171246932121</t>
  </si>
  <si>
    <t>yht170210134020050</t>
  </si>
  <si>
    <t>NI20170214171859746914</t>
  </si>
  <si>
    <t>xuy170210160036145</t>
  </si>
  <si>
    <t>NP20170214172536391001</t>
  </si>
  <si>
    <t>ghc170208140835347</t>
  </si>
  <si>
    <t>NP20170214172547215571</t>
  </si>
  <si>
    <t>srs170208140537577</t>
  </si>
  <si>
    <t>NI20170214172759311746</t>
  </si>
  <si>
    <t>hiy170211174751461</t>
  </si>
  <si>
    <t>NI20170214172819387722</t>
  </si>
  <si>
    <t>aak170107095427604</t>
  </si>
  <si>
    <t>NC20170214173306749574</t>
  </si>
  <si>
    <t>pzf161208210553068</t>
  </si>
  <si>
    <t>NP20170214173107493004</t>
  </si>
  <si>
    <t>qni160407125726881e4171</t>
  </si>
  <si>
    <t>NP20170214172302677093</t>
  </si>
  <si>
    <t>xuy170204010011092</t>
  </si>
  <si>
    <t>NP20170214173802494569</t>
  </si>
  <si>
    <t>hiy161128165756077</t>
  </si>
  <si>
    <t>NP20170214172944101641</t>
  </si>
  <si>
    <t>331005063996</t>
  </si>
  <si>
    <t>NP20170214174319564279</t>
  </si>
  <si>
    <t>jql170110134028500</t>
  </si>
  <si>
    <t>NP20170214174328508533</t>
  </si>
  <si>
    <t>331077450775</t>
  </si>
  <si>
    <t>NI20170214173700422476</t>
  </si>
  <si>
    <t>331082822472</t>
  </si>
  <si>
    <t>NP20170214174708687796</t>
  </si>
  <si>
    <t>txb170214174106492</t>
  </si>
  <si>
    <t>NP20170214175018303794</t>
  </si>
  <si>
    <t>331082428847</t>
  </si>
  <si>
    <t>NP20170214175426836041</t>
  </si>
  <si>
    <t>yyw170213150559075</t>
  </si>
  <si>
    <t>NP20170214175453049059</t>
  </si>
  <si>
    <t>hiy170103233245471</t>
  </si>
  <si>
    <t>NP20170214175553578903</t>
  </si>
  <si>
    <t>331082346126</t>
  </si>
  <si>
    <t>NP20170214175748925624</t>
  </si>
  <si>
    <t>xep170210092246094</t>
  </si>
  <si>
    <t>NP20170214180219363990</t>
  </si>
  <si>
    <t>0066052854</t>
  </si>
  <si>
    <t>NP20170214180318776685</t>
  </si>
  <si>
    <t>331082367622</t>
  </si>
  <si>
    <t>NP20170214180410370201</t>
  </si>
  <si>
    <t>scv170210104949289</t>
  </si>
  <si>
    <t>NP20170214180636963190</t>
  </si>
  <si>
    <t>doa161203220351932</t>
  </si>
  <si>
    <t>NP20170214180910547059</t>
  </si>
  <si>
    <t>xyz170210182316607</t>
  </si>
  <si>
    <t>NP20170214181418911028</t>
  </si>
  <si>
    <t>czc170105171938055</t>
  </si>
  <si>
    <t>NP20170214181437744514</t>
  </si>
  <si>
    <t>srs170102091142564</t>
  </si>
  <si>
    <t>NP20170214181500674590</t>
  </si>
  <si>
    <t>xuy161228124615213</t>
  </si>
  <si>
    <t>NP20170214171504862720</t>
  </si>
  <si>
    <t>xep161231160539001</t>
  </si>
  <si>
    <t>NP20170214181455555485</t>
  </si>
  <si>
    <t>xep170203094158709</t>
  </si>
  <si>
    <t>NP20170214182004152691</t>
  </si>
  <si>
    <t>kls170130142452082</t>
  </si>
  <si>
    <t>NP20170214181822755914</t>
  </si>
  <si>
    <t>xep161226182119836</t>
  </si>
  <si>
    <t>NP20170214182704266832</t>
  </si>
  <si>
    <t>331075095133</t>
  </si>
  <si>
    <t>NI20170214182125687395</t>
  </si>
  <si>
    <t>pzf170214172037430</t>
  </si>
  <si>
    <t>NP20170214183039006955</t>
  </si>
  <si>
    <t>czc170124211908866</t>
  </si>
  <si>
    <t>NI20170214183444220388</t>
  </si>
  <si>
    <t>nhq170205204924039</t>
  </si>
  <si>
    <t>NP20170214183406815383</t>
  </si>
  <si>
    <t>xuy170211104629506</t>
  </si>
  <si>
    <t>NP20170214183253072137</t>
  </si>
  <si>
    <t>201702062221138895</t>
  </si>
  <si>
    <t>NP20170214184346761394</t>
  </si>
  <si>
    <t>hxg170208085942395</t>
  </si>
  <si>
    <t>NP20170214184629838439</t>
  </si>
  <si>
    <t>xgx170214143638781</t>
  </si>
  <si>
    <t>p_3_147</t>
  </si>
  <si>
    <t>NP20170214185406080221</t>
  </si>
  <si>
    <t>331046613709</t>
  </si>
  <si>
    <t>NI20170214185232307120</t>
  </si>
  <si>
    <t>ghc170127190641358</t>
  </si>
  <si>
    <t>NP20170214184753335791</t>
  </si>
  <si>
    <t>ysh170209174638635</t>
  </si>
  <si>
    <t>NP20170214185323794481</t>
  </si>
  <si>
    <t>mhw170110204321918</t>
  </si>
  <si>
    <t>NP20170214185326043954</t>
  </si>
  <si>
    <t>xnz161226194028670e51ba</t>
  </si>
  <si>
    <t>NI20170214185638051306</t>
  </si>
  <si>
    <t>xuy170210141738954</t>
  </si>
  <si>
    <t>NP20170214190439105383</t>
  </si>
  <si>
    <t>xgx170122121511688</t>
  </si>
  <si>
    <t>NP20170214190304267481</t>
  </si>
  <si>
    <t>tyx170209172158742</t>
  </si>
  <si>
    <t>NP20170214190526386681</t>
  </si>
  <si>
    <t>doa161217192328501</t>
  </si>
  <si>
    <t>NP20170214191327275691</t>
  </si>
  <si>
    <t>nhq170208104949684</t>
  </si>
  <si>
    <t>NP20170214191107621221</t>
  </si>
  <si>
    <t>51170116149886</t>
  </si>
  <si>
    <t>NP20170214191519677638</t>
  </si>
  <si>
    <t>331053911581</t>
  </si>
  <si>
    <t>NP20170214185120006460</t>
  </si>
  <si>
    <t>jah170213224427669</t>
  </si>
  <si>
    <t>NP20170214192352718443</t>
  </si>
  <si>
    <t>sub170213170707117</t>
  </si>
  <si>
    <t>NP20170214192403520419</t>
  </si>
  <si>
    <t>ghc170207151350959</t>
  </si>
  <si>
    <t>p_3_135</t>
  </si>
  <si>
    <t>NP20170214192209250291</t>
  </si>
  <si>
    <t>szv170214184929566</t>
  </si>
  <si>
    <t>NP20170214193314138350</t>
  </si>
  <si>
    <t>sxb170214191837712</t>
  </si>
  <si>
    <t>p_3_021</t>
  </si>
  <si>
    <t>NP20170214194334383094</t>
  </si>
  <si>
    <t>330992385159</t>
  </si>
  <si>
    <t>NP20170214194651427797</t>
  </si>
  <si>
    <t>xau170117000110142</t>
  </si>
  <si>
    <t>NI20170214194546458719</t>
  </si>
  <si>
    <t>cqh170207123540186</t>
  </si>
  <si>
    <t>NI20170214194124517479</t>
  </si>
  <si>
    <t>xkw170213213022434</t>
  </si>
  <si>
    <t>NP20170214195041454019</t>
  </si>
  <si>
    <t>czc170214194046568</t>
  </si>
  <si>
    <t>NP20170214195541096427</t>
  </si>
  <si>
    <t>sub170104102833730</t>
  </si>
  <si>
    <t>NP20170214195527525618</t>
  </si>
  <si>
    <t>331080099964</t>
  </si>
  <si>
    <t>NP20170214195421040032</t>
  </si>
  <si>
    <t>GD2017021419541779</t>
  </si>
  <si>
    <t>NP20170214200617491540</t>
  </si>
  <si>
    <t>ghc170201222023864</t>
  </si>
  <si>
    <t>NP20170214200938458204</t>
  </si>
  <si>
    <t>ghc170214044923084</t>
  </si>
  <si>
    <t>NC20170214201411679023</t>
  </si>
  <si>
    <t>331081165434</t>
  </si>
  <si>
    <t>NP20170214201535374520</t>
  </si>
  <si>
    <t>tyx170214194257011</t>
  </si>
  <si>
    <t>NP20170214202359938880</t>
  </si>
  <si>
    <t>331078693226</t>
  </si>
  <si>
    <t>NP20170214201818920316</t>
  </si>
  <si>
    <t>0064222488</t>
  </si>
  <si>
    <t>NP20170214203027566322</t>
  </si>
  <si>
    <t>xep170208172648634</t>
  </si>
  <si>
    <t>NP20170214203118361594</t>
  </si>
  <si>
    <t>xep170203190903892</t>
  </si>
  <si>
    <t>NP20170214203325443129</t>
  </si>
  <si>
    <t>xep170206181022343</t>
  </si>
  <si>
    <t>NP20170214203415548822</t>
  </si>
  <si>
    <t>srs161221171143637</t>
  </si>
  <si>
    <t>NP20170214203937449749</t>
  </si>
  <si>
    <t>czc170129165657112</t>
  </si>
  <si>
    <t>NP20170214204006942647</t>
  </si>
  <si>
    <t>nhq170117111210822</t>
  </si>
  <si>
    <t>NP20170214204043789917</t>
  </si>
  <si>
    <t>pzf170212150522493</t>
  </si>
  <si>
    <t>NP20170214203906430050</t>
  </si>
  <si>
    <t>331082916308</t>
  </si>
  <si>
    <t>NP20170214203959005150</t>
  </si>
  <si>
    <t>qid170214201420816</t>
  </si>
  <si>
    <t>NP20170214204814120253</t>
  </si>
  <si>
    <t>hgb170213232220055e8d00</t>
  </si>
  <si>
    <t>NC20170214205255953785</t>
  </si>
  <si>
    <t>331081164873</t>
  </si>
  <si>
    <t>NC20170214205706308332</t>
  </si>
  <si>
    <t>czl170129221408983</t>
  </si>
  <si>
    <t>NC20170214205713848726</t>
  </si>
  <si>
    <t>qid170214205015746</t>
  </si>
  <si>
    <t>NP20170214210054171720</t>
  </si>
  <si>
    <t>doa170207140136659</t>
  </si>
  <si>
    <t>NP20170214211016756936</t>
  </si>
  <si>
    <t>rnf161212215354585</t>
  </si>
  <si>
    <t>NP20170214211012757782</t>
  </si>
  <si>
    <t>rhs170207222921996</t>
  </si>
  <si>
    <t>NP20170214211456327338</t>
  </si>
  <si>
    <t>331077190962</t>
  </si>
  <si>
    <t>NP20170214212040075487</t>
  </si>
  <si>
    <t>doa170211084557169</t>
  </si>
  <si>
    <t>NP20170214212421548407</t>
  </si>
  <si>
    <t>xep170122102657692</t>
  </si>
  <si>
    <t>NP20170214212440318063</t>
  </si>
  <si>
    <t>txb170213222600289</t>
  </si>
  <si>
    <t>NP20170214212722135957</t>
  </si>
  <si>
    <t>tjf170203191646697</t>
  </si>
  <si>
    <t>NP20170214213318158795</t>
  </si>
  <si>
    <t>xep170121075405753</t>
  </si>
  <si>
    <t>NP20170214213306440019</t>
  </si>
  <si>
    <t>hiy170118173916121</t>
  </si>
  <si>
    <t>NP20170214213204805370</t>
  </si>
  <si>
    <t>pzf170214210823578</t>
  </si>
  <si>
    <t>NP20170214212056339157</t>
  </si>
  <si>
    <t>20170214204832TF920</t>
  </si>
  <si>
    <t>NP20170214214033880570</t>
  </si>
  <si>
    <t>20170203162950OZ551</t>
  </si>
  <si>
    <t>NI20170214214025004267</t>
  </si>
  <si>
    <t>331082169076</t>
  </si>
  <si>
    <t>NP20170214214331407991</t>
  </si>
  <si>
    <t>331081741772</t>
  </si>
  <si>
    <t>NP20170214215256252308</t>
  </si>
  <si>
    <t>hiy161228153259541</t>
  </si>
  <si>
    <t>NP20170214215425399973</t>
  </si>
  <si>
    <t>doa170125131906158</t>
  </si>
  <si>
    <t>NP20170214215657906549</t>
  </si>
  <si>
    <t>20170104135227TR232</t>
  </si>
  <si>
    <t>NP20170214220136825059</t>
  </si>
  <si>
    <t>ghc170119133049928</t>
  </si>
  <si>
    <t>NP20170214220233061240</t>
  </si>
  <si>
    <t>hiy170206104507273</t>
  </si>
  <si>
    <t>NI20170214220433775431</t>
  </si>
  <si>
    <t>331082545235</t>
  </si>
  <si>
    <t>NP20170214220323072880</t>
  </si>
  <si>
    <t>xep170120185013341</t>
  </si>
  <si>
    <t>NI20170214221112268766</t>
  </si>
  <si>
    <t>xep170207113721436</t>
  </si>
  <si>
    <t>NP20170214221525148726</t>
  </si>
  <si>
    <t>pzf170212114612660</t>
  </si>
  <si>
    <t>NP20170214222704824582</t>
  </si>
  <si>
    <t>331082400234</t>
  </si>
  <si>
    <t>NC20170214222735782105</t>
  </si>
  <si>
    <t>tjf170206121028409</t>
  </si>
  <si>
    <t>NI20170214223534735979</t>
  </si>
  <si>
    <t>pzf170212080345111</t>
  </si>
  <si>
    <t>NI20170214224430562151</t>
  </si>
  <si>
    <t>331081856981</t>
  </si>
  <si>
    <t>NP20170214224704335077</t>
  </si>
  <si>
    <t>331082242272</t>
  </si>
  <si>
    <t>NP20170214225014343075</t>
  </si>
  <si>
    <t>ghc170118184447915</t>
  </si>
  <si>
    <t>NP20170214225619251428</t>
  </si>
  <si>
    <t>xep170214140912467</t>
  </si>
  <si>
    <t>NP20170214225545878698</t>
  </si>
  <si>
    <t>hiy170214224144812</t>
  </si>
  <si>
    <t>NP20170214230208522510</t>
  </si>
  <si>
    <t>201611141252346722</t>
  </si>
  <si>
    <t>NP20170214231632821914</t>
  </si>
  <si>
    <t>pzf170214105206211</t>
  </si>
  <si>
    <t>NP20170214231941550838</t>
  </si>
  <si>
    <t>xep170214222008136</t>
  </si>
  <si>
    <t>NP20170214232154391215</t>
  </si>
  <si>
    <t>331082505109</t>
  </si>
  <si>
    <t>NP20170214233343549432</t>
  </si>
  <si>
    <t>ghc170214230847322</t>
  </si>
  <si>
    <t>NI20170214233057146670</t>
  </si>
  <si>
    <t>331082796621</t>
  </si>
  <si>
    <t>NP20170214234452926010</t>
  </si>
  <si>
    <t>331082612659</t>
  </si>
  <si>
    <t>NP20170214234932491146</t>
  </si>
  <si>
    <t>331068985037</t>
  </si>
  <si>
    <t>NP20170216000159535259</t>
  </si>
  <si>
    <t>331083975488</t>
  </si>
  <si>
    <t>NP20170216000110292361</t>
  </si>
  <si>
    <t>331083884658</t>
  </si>
  <si>
    <t>NI20170215014103568576</t>
  </si>
  <si>
    <t>331083458919</t>
  </si>
  <si>
    <t>NP20170215015917025497</t>
  </si>
  <si>
    <t>51170208537572</t>
  </si>
  <si>
    <t>NP20170215020438691857</t>
  </si>
  <si>
    <t>yqs170215012130723</t>
  </si>
  <si>
    <t>NP20170215021156669298</t>
  </si>
  <si>
    <t>hiy170214191543049</t>
  </si>
  <si>
    <t>NP20170215021335537166</t>
  </si>
  <si>
    <t>331083929584</t>
  </si>
  <si>
    <t>NP20170215025522958344</t>
  </si>
  <si>
    <t>331083422850</t>
  </si>
  <si>
    <t>NI20170215031837604597</t>
  </si>
  <si>
    <t>ghc170110165731177</t>
  </si>
  <si>
    <t>NP20170215033429690359</t>
  </si>
  <si>
    <t>331082032331</t>
  </si>
  <si>
    <t>NI20170215033035555696</t>
  </si>
  <si>
    <t>331081914487</t>
  </si>
  <si>
    <t>NI20170215033611471444</t>
  </si>
  <si>
    <t>331082290859</t>
  </si>
  <si>
    <t>NI20170215033622813736</t>
  </si>
  <si>
    <t>331082343678</t>
  </si>
  <si>
    <t>NI20170215033633809303</t>
  </si>
  <si>
    <t>331082435412</t>
  </si>
  <si>
    <t>NI20170215045803324000</t>
  </si>
  <si>
    <t>20170209223834TF078</t>
  </si>
  <si>
    <t>NP20170215052135388056</t>
  </si>
  <si>
    <t>czc170211230503293</t>
  </si>
  <si>
    <t>NP20170215055010353575</t>
  </si>
  <si>
    <t>330962008289</t>
  </si>
  <si>
    <t>NP20170215055154142041</t>
  </si>
  <si>
    <t>331083146947</t>
  </si>
  <si>
    <t>NP20170215064057539418</t>
  </si>
  <si>
    <t>yyw170215063920474</t>
  </si>
  <si>
    <t>NI20170215070330324487</t>
  </si>
  <si>
    <t>cyo170214230402372</t>
  </si>
  <si>
    <t>NI20170215070452294877</t>
  </si>
  <si>
    <t>xuy170214230024652</t>
  </si>
  <si>
    <t>NP20170215070944483057</t>
  </si>
  <si>
    <t>xep170211093202603</t>
  </si>
  <si>
    <t>NP20170215072953002396</t>
  </si>
  <si>
    <t>hiy170214200125977</t>
  </si>
  <si>
    <t>NI20170215075731690947</t>
  </si>
  <si>
    <t>331004896737</t>
  </si>
  <si>
    <t>NC20170215080417121350</t>
  </si>
  <si>
    <t>331082895164</t>
  </si>
  <si>
    <t>NP20170215080507036043</t>
  </si>
  <si>
    <t>klc170207135805689</t>
  </si>
  <si>
    <t>NP20170215080608928551</t>
  </si>
  <si>
    <t>nhq170205141143362</t>
  </si>
  <si>
    <t>NC20170215080836726771</t>
  </si>
  <si>
    <t>331082897936</t>
  </si>
  <si>
    <t>NP20170215081116249340</t>
  </si>
  <si>
    <t>cqh170108184120084</t>
  </si>
  <si>
    <t>NP20170215080801228280</t>
  </si>
  <si>
    <t>yyw170204112256206</t>
  </si>
  <si>
    <t>NP20170215082201548923</t>
  </si>
  <si>
    <t>fna170120141747462</t>
  </si>
  <si>
    <t>NP20170215082345222941</t>
  </si>
  <si>
    <t>ghc170114215609847</t>
  </si>
  <si>
    <t>NP20170215082802366658</t>
  </si>
  <si>
    <t>jah170211143026051</t>
  </si>
  <si>
    <t>NC20170215083917129101</t>
  </si>
  <si>
    <t>hiy170125154753840</t>
  </si>
  <si>
    <t>NP20170215084221032290</t>
  </si>
  <si>
    <t>331082729284</t>
  </si>
  <si>
    <t>NC20170215085004489981</t>
  </si>
  <si>
    <t>331033993829</t>
  </si>
  <si>
    <t>NP20170215085518331005</t>
  </si>
  <si>
    <t>nhq170214202010241</t>
  </si>
  <si>
    <t>NP20170215085742187479</t>
  </si>
  <si>
    <t>xxk170207092208553</t>
  </si>
  <si>
    <t>NP20170215085506491571</t>
  </si>
  <si>
    <t>doa170207010633219</t>
  </si>
  <si>
    <t>NP20170215085751583885</t>
  </si>
  <si>
    <t>ghc170121124230999</t>
  </si>
  <si>
    <t>NP20170215085838384934</t>
  </si>
  <si>
    <t>scv161212150749114</t>
  </si>
  <si>
    <t>NP20170215085957764618</t>
  </si>
  <si>
    <t>scv170202095756217</t>
  </si>
  <si>
    <t>NP20170215085820737651</t>
  </si>
  <si>
    <t>331048146853</t>
  </si>
  <si>
    <t>NP20170215090639319394</t>
  </si>
  <si>
    <t>fna170203100005704</t>
  </si>
  <si>
    <t>NP20170215085548847633</t>
  </si>
  <si>
    <t>20160222214749UO271</t>
  </si>
  <si>
    <t>NP20170215090436229789</t>
  </si>
  <si>
    <t>201701161453226954</t>
  </si>
  <si>
    <t>NP20170215091636433119</t>
  </si>
  <si>
    <t>jql161228090554548</t>
  </si>
  <si>
    <t>NI20170215091645412744</t>
  </si>
  <si>
    <t>331020857425</t>
  </si>
  <si>
    <t>NI20170215091547135773</t>
  </si>
  <si>
    <t>nhq170202085901756</t>
  </si>
  <si>
    <t>NP20170215091124073746</t>
  </si>
  <si>
    <t>pzf170215082341009</t>
  </si>
  <si>
    <t>NP20170215092943926442</t>
  </si>
  <si>
    <t>sdc170111074331142</t>
  </si>
  <si>
    <t>NC20170215093015411840</t>
  </si>
  <si>
    <t>doa170131135652021</t>
  </si>
  <si>
    <t>NP20170215092831792703</t>
  </si>
  <si>
    <t>doa170203141713874</t>
  </si>
  <si>
    <t>NC20170215093204868647</t>
  </si>
  <si>
    <t>331079212112</t>
  </si>
  <si>
    <t>NP20170215093813061946</t>
  </si>
  <si>
    <t>yyw170120103054687</t>
  </si>
  <si>
    <t>NP20170215093644189796</t>
  </si>
  <si>
    <t>pzf170215093052673</t>
  </si>
  <si>
    <t>NP20170215093855331579</t>
  </si>
  <si>
    <t>hxz170120103054685</t>
  </si>
  <si>
    <t>NP20170215094214115484</t>
  </si>
  <si>
    <t>xep170121102103537</t>
  </si>
  <si>
    <t>NP20170215094227159038</t>
  </si>
  <si>
    <t>sjb170206215632406</t>
  </si>
  <si>
    <t>NP20170215093919225940</t>
  </si>
  <si>
    <t>ysh170206142319928</t>
  </si>
  <si>
    <t>NP20170215094252075931</t>
  </si>
  <si>
    <t>xep170207123152919</t>
  </si>
  <si>
    <t>NP20170215093326623468</t>
  </si>
  <si>
    <t>331064090392</t>
  </si>
  <si>
    <t>NP20170215094928680034</t>
  </si>
  <si>
    <t>ypl170215094211716</t>
  </si>
  <si>
    <t>NP20170215094710408227</t>
  </si>
  <si>
    <t>331079038297</t>
  </si>
  <si>
    <t>NP20170215095446008818</t>
  </si>
  <si>
    <t>jql170127230810891</t>
  </si>
  <si>
    <t>NP20170215095706901094</t>
  </si>
  <si>
    <t>xep170205154222702</t>
  </si>
  <si>
    <t>NI20170215095042673684</t>
  </si>
  <si>
    <t>pzf170215093133850</t>
  </si>
  <si>
    <t>NP20170215095558058672</t>
  </si>
  <si>
    <t>xep170211145835551</t>
  </si>
  <si>
    <t>NP20170215095806996896</t>
  </si>
  <si>
    <t>hiy170123112106798</t>
  </si>
  <si>
    <t>NP20170215095827939041</t>
  </si>
  <si>
    <t>330980000182</t>
  </si>
  <si>
    <t>NP20170215095929337054</t>
  </si>
  <si>
    <t>331082070914</t>
  </si>
  <si>
    <t>NI20170215100219767617</t>
  </si>
  <si>
    <t>scv170209095416863</t>
  </si>
  <si>
    <t>NI20170215100610142658</t>
  </si>
  <si>
    <t>nhq170128081641541</t>
  </si>
  <si>
    <t>NP20170215101213119483</t>
  </si>
  <si>
    <t>331081948320</t>
  </si>
  <si>
    <t>NP20170215101545850957</t>
  </si>
  <si>
    <t>ysh161102095622345</t>
  </si>
  <si>
    <t>NP20170215101524019807</t>
  </si>
  <si>
    <t>330991606789</t>
  </si>
  <si>
    <t>NP20170215101800347636</t>
  </si>
  <si>
    <t>331082536042</t>
  </si>
  <si>
    <t>NP20170215101825928731</t>
  </si>
  <si>
    <t>331082454350</t>
  </si>
  <si>
    <t>NP20170215102117318513</t>
  </si>
  <si>
    <t>qdu170121110527105</t>
  </si>
  <si>
    <t>NP20170215102112859510</t>
  </si>
  <si>
    <t>ghc170110105714293</t>
  </si>
  <si>
    <t>NP20170215102015629702</t>
  </si>
  <si>
    <t>yyw170214114307311</t>
  </si>
  <si>
    <t>NP20170215101939466779</t>
  </si>
  <si>
    <t>xep170211100416802</t>
  </si>
  <si>
    <t>NP20170215102325239097</t>
  </si>
  <si>
    <t>doa170209201114491</t>
  </si>
  <si>
    <t>NP20170215101851060396</t>
  </si>
  <si>
    <t>pma170215101136880</t>
  </si>
  <si>
    <t>NP20170215102821658609</t>
  </si>
  <si>
    <t>cyo170120191606760</t>
  </si>
  <si>
    <t>NP20170215102529872279</t>
  </si>
  <si>
    <t>331053321593</t>
  </si>
  <si>
    <t>NP20170215102548013327</t>
  </si>
  <si>
    <t>xky170215101501944</t>
  </si>
  <si>
    <t>NP20170215103213261806</t>
  </si>
  <si>
    <t>331053017709</t>
  </si>
  <si>
    <t>NP20170215103138899928</t>
  </si>
  <si>
    <t>xep170106222651547</t>
  </si>
  <si>
    <t>NP20170215103533065529</t>
  </si>
  <si>
    <t>czc170207182039113</t>
  </si>
  <si>
    <t>NC20170215103741861580</t>
  </si>
  <si>
    <t>331082194712</t>
  </si>
  <si>
    <t>NP20170215103738028824</t>
  </si>
  <si>
    <t>ghc170116204933347</t>
  </si>
  <si>
    <t>NP20170215103520000138</t>
  </si>
  <si>
    <t>cqh170126204027034</t>
  </si>
  <si>
    <t>NI20170215103958156480</t>
  </si>
  <si>
    <t>201612232327447C403</t>
  </si>
  <si>
    <t>NP20170215104023254770</t>
  </si>
  <si>
    <t>xgx170204113840504</t>
  </si>
  <si>
    <t>NP20170215104124586133</t>
  </si>
  <si>
    <t>xep170125124644327</t>
  </si>
  <si>
    <t>NP20170215103956035042</t>
  </si>
  <si>
    <t>331083146941</t>
  </si>
  <si>
    <t>NC20170215104214305074</t>
  </si>
  <si>
    <t>ghc170117111518780</t>
  </si>
  <si>
    <t>NP20170215104211329805</t>
  </si>
  <si>
    <t>doa170204112715627</t>
  </si>
  <si>
    <t>NP20170215102521106372</t>
  </si>
  <si>
    <t>xep161224212641634</t>
  </si>
  <si>
    <t>NP20170215104950073497</t>
  </si>
  <si>
    <t>jah170211093412010</t>
  </si>
  <si>
    <t>NP20170215105201995710</t>
  </si>
  <si>
    <t>sdc161226151727214</t>
  </si>
  <si>
    <t>NP20170215105321796601</t>
  </si>
  <si>
    <t>yyw170116150434791</t>
  </si>
  <si>
    <t>NP20170215105419745425</t>
  </si>
  <si>
    <t>331083152990</t>
  </si>
  <si>
    <t>NP20170215105432553955</t>
  </si>
  <si>
    <t>zgo170213140335836</t>
  </si>
  <si>
    <t>NP20170215105504554693</t>
  </si>
  <si>
    <t>doa170206175350299</t>
  </si>
  <si>
    <t>NP20170215105518440557</t>
  </si>
  <si>
    <t>yqs170118142229000</t>
  </si>
  <si>
    <t>NP20170215105832920678</t>
  </si>
  <si>
    <t>nhq170118200554060</t>
  </si>
  <si>
    <t>NP20170215110057497090</t>
  </si>
  <si>
    <t>330981821315</t>
  </si>
  <si>
    <t>NP20170215110124146882</t>
  </si>
  <si>
    <t>201611031729553K984</t>
  </si>
  <si>
    <t>NP20170215110135112939</t>
  </si>
  <si>
    <t>hiy170116155814938</t>
  </si>
  <si>
    <t>NP20170215110128741595</t>
  </si>
  <si>
    <t>ghc170201185211597</t>
  </si>
  <si>
    <t>NP20170215110239453452</t>
  </si>
  <si>
    <t>cua170201175454085</t>
  </si>
  <si>
    <t>NI20170215110409700758</t>
  </si>
  <si>
    <t>czl161103123008521</t>
  </si>
  <si>
    <t>NI20170215110411222836</t>
  </si>
  <si>
    <t>331081139807</t>
  </si>
  <si>
    <t>NI20170215110438415739</t>
  </si>
  <si>
    <t>pzf161024125839805</t>
  </si>
  <si>
    <t>NP20170215110453248185</t>
  </si>
  <si>
    <t>xuy170215105727868</t>
  </si>
  <si>
    <t>NP20170215110239945320</t>
  </si>
  <si>
    <t>GD2017021511027813</t>
  </si>
  <si>
    <t>NP20170215110919699947</t>
  </si>
  <si>
    <t>xuy170214201038004</t>
  </si>
  <si>
    <t>NP20170215110941909145</t>
  </si>
  <si>
    <t>xep170214114735386</t>
  </si>
  <si>
    <t>NP20170215110817446132</t>
  </si>
  <si>
    <t>xep170214115006392</t>
  </si>
  <si>
    <t>NI20170215110040002738</t>
  </si>
  <si>
    <t>hiy170208064426280</t>
  </si>
  <si>
    <t>NP20170215111402347034</t>
  </si>
  <si>
    <t>331082577283</t>
  </si>
  <si>
    <t>NP20170215111346039550</t>
  </si>
  <si>
    <t>srs170204180301129</t>
  </si>
  <si>
    <t>NP20170215111536172687</t>
  </si>
  <si>
    <t>xep170116090517527</t>
  </si>
  <si>
    <t>NP20170215110528036787</t>
  </si>
  <si>
    <t>ffs170215110004809</t>
  </si>
  <si>
    <t>NP20170215111735087186</t>
  </si>
  <si>
    <t>nxw161226104049332</t>
  </si>
  <si>
    <t>NP20170215111840233317</t>
  </si>
  <si>
    <t>331020714461</t>
  </si>
  <si>
    <t>NP20170215112245555663</t>
  </si>
  <si>
    <t>scv170105101830510</t>
  </si>
  <si>
    <t>NP20170215112410223940</t>
  </si>
  <si>
    <t>ghc170208224000911</t>
  </si>
  <si>
    <t>NP20170215112434866152</t>
  </si>
  <si>
    <t>xep170214113908867</t>
  </si>
  <si>
    <t>NP20170215112545774429</t>
  </si>
  <si>
    <t>yyw170214114309476</t>
  </si>
  <si>
    <t>NP20170215112738656516</t>
  </si>
  <si>
    <t>yme170107085640558</t>
  </si>
  <si>
    <t>NP20170215112401390304</t>
  </si>
  <si>
    <t>1701011318478943bbx</t>
  </si>
  <si>
    <t>NP20170215113027876923</t>
  </si>
  <si>
    <t>hiy170210205330556</t>
  </si>
  <si>
    <t>NP20170215112738432534</t>
  </si>
  <si>
    <t>xep170215105747984</t>
  </si>
  <si>
    <t>NP20170215113420856908</t>
  </si>
  <si>
    <t>cme170106124445107</t>
  </si>
  <si>
    <t>NP20170215113446314192</t>
  </si>
  <si>
    <t>51170207362951</t>
  </si>
  <si>
    <t>NP20170215113510732134</t>
  </si>
  <si>
    <t>331083147222</t>
  </si>
  <si>
    <t>NC20170215113657702307</t>
  </si>
  <si>
    <t>331083519396</t>
  </si>
  <si>
    <t>NP20170215113840540431</t>
  </si>
  <si>
    <t>mir170209071412023</t>
  </si>
  <si>
    <t>NP20170215113956188339</t>
  </si>
  <si>
    <t>doa170131213819239</t>
  </si>
  <si>
    <t>NP20170215113642206591</t>
  </si>
  <si>
    <t>pzf170215110936079</t>
  </si>
  <si>
    <t>NP20170215113933476983</t>
  </si>
  <si>
    <t>xep170215081109504</t>
  </si>
  <si>
    <t>NP20170215114333003757</t>
  </si>
  <si>
    <t>xep170111115743950</t>
  </si>
  <si>
    <t>NP20170215114353768576</t>
  </si>
  <si>
    <t>331082550631</t>
  </si>
  <si>
    <t>NI20170215114323268115</t>
  </si>
  <si>
    <t>txb170118092413707</t>
  </si>
  <si>
    <t>NP20170215114356438540</t>
  </si>
  <si>
    <t>jah170122163705009</t>
  </si>
  <si>
    <t>NP20170215114036033045</t>
  </si>
  <si>
    <t>lzl160229160736376</t>
  </si>
  <si>
    <t>NP20170215114646087459</t>
  </si>
  <si>
    <t>xep170214125155118</t>
  </si>
  <si>
    <t>NP20170215114711264196</t>
  </si>
  <si>
    <t>cgz170130223722612</t>
  </si>
  <si>
    <t>NP20170215114943216337</t>
  </si>
  <si>
    <t>pzf170109105528807</t>
  </si>
  <si>
    <t>NP20170215114441287942</t>
  </si>
  <si>
    <t>20170201160400TZ852</t>
  </si>
  <si>
    <t>NP20170215114939842252</t>
  </si>
  <si>
    <t>fny170213224017721</t>
  </si>
  <si>
    <t>NP20170215115034952370</t>
  </si>
  <si>
    <t>ysh170113132142946</t>
  </si>
  <si>
    <t>NP20170215114004523128</t>
  </si>
  <si>
    <t>nhq170207222914971</t>
  </si>
  <si>
    <t>NP20170215115254944776</t>
  </si>
  <si>
    <t>czf170215114227192</t>
  </si>
  <si>
    <t>NP20170215115335037057</t>
  </si>
  <si>
    <t>sdc170128153038915</t>
  </si>
  <si>
    <t>NI20170215115402535021</t>
  </si>
  <si>
    <t>nij170209214800949</t>
  </si>
  <si>
    <t>NI20170215115556093226</t>
  </si>
  <si>
    <t>ghc170211105431515</t>
  </si>
  <si>
    <t>NP20170215115759034319</t>
  </si>
  <si>
    <t>jyy160526235233632</t>
  </si>
  <si>
    <t>NP20170215115932666491</t>
  </si>
  <si>
    <t>ebb170211121924299</t>
  </si>
  <si>
    <t>NP20170215115635402038</t>
  </si>
  <si>
    <t>331079272536</t>
  </si>
  <si>
    <t>NI20170215115259681482</t>
  </si>
  <si>
    <t>331083519443</t>
  </si>
  <si>
    <t>NP20170215120212053035</t>
  </si>
  <si>
    <t>330982682843</t>
  </si>
  <si>
    <t>NP20170215120423084803</t>
  </si>
  <si>
    <t>xep170102144125212</t>
  </si>
  <si>
    <t>NI20170215120453012591</t>
  </si>
  <si>
    <t>xuy170104101115093</t>
  </si>
  <si>
    <t>NP20170215120649627320</t>
  </si>
  <si>
    <t>330930127765</t>
  </si>
  <si>
    <t>NP20170215120743530330</t>
  </si>
  <si>
    <t>pag170119104845339</t>
  </si>
  <si>
    <t>NP20170215120925308925</t>
  </si>
  <si>
    <t>xep170117151901397</t>
  </si>
  <si>
    <t>NP20170215120926484284</t>
  </si>
  <si>
    <t>331081764500</t>
  </si>
  <si>
    <t>NP20170215120908927026</t>
  </si>
  <si>
    <t>tjf170215120445889</t>
  </si>
  <si>
    <t>NP20170215120414669302</t>
  </si>
  <si>
    <t>xep170106150432767</t>
  </si>
  <si>
    <t>NP20170215121109829869</t>
  </si>
  <si>
    <t>czl170130180357040</t>
  </si>
  <si>
    <t>NP20170215121320469812</t>
  </si>
  <si>
    <t>331070629424</t>
  </si>
  <si>
    <t>NP20170215121444195366</t>
  </si>
  <si>
    <t>hiy170113192201550</t>
  </si>
  <si>
    <t>NP20170215121458938286</t>
  </si>
  <si>
    <t>jql170109181534149</t>
  </si>
  <si>
    <t>NP20170215121634417564</t>
  </si>
  <si>
    <t>hfp170211235333023</t>
  </si>
  <si>
    <t>NP20170215121809615966</t>
  </si>
  <si>
    <t>pzf170215102355462</t>
  </si>
  <si>
    <t>NI20170215121837258672</t>
  </si>
  <si>
    <t>xep170113001704100</t>
  </si>
  <si>
    <t>NI20170215121322462838</t>
  </si>
  <si>
    <t>doa170207104955486</t>
  </si>
  <si>
    <t>NI20170215121705071499</t>
  </si>
  <si>
    <t>ghc170118092416719</t>
  </si>
  <si>
    <t>NI20170215122248740192</t>
  </si>
  <si>
    <t>xep170210142615330</t>
  </si>
  <si>
    <t>NI20170215122312468664</t>
  </si>
  <si>
    <t>tjf170210141841216</t>
  </si>
  <si>
    <t>NI20170215122343685425</t>
  </si>
  <si>
    <t>czl170209110524048</t>
  </si>
  <si>
    <t>NP20170215122314797039</t>
  </si>
  <si>
    <t>xep170204141826665</t>
  </si>
  <si>
    <t>NP20170215122448797936</t>
  </si>
  <si>
    <t>201702151143222625</t>
  </si>
  <si>
    <t>NP20170215122502260922</t>
  </si>
  <si>
    <t>cme170205105800600</t>
  </si>
  <si>
    <t>NP20170215122542572315</t>
  </si>
  <si>
    <t>srs170215104258313</t>
  </si>
  <si>
    <t>NP20170215115446513965</t>
  </si>
  <si>
    <t>nhq170210151857228</t>
  </si>
  <si>
    <t>NP20170215122608634571</t>
  </si>
  <si>
    <t>ghc170208133251522</t>
  </si>
  <si>
    <t>NP20170215122145831720</t>
  </si>
  <si>
    <t>xep170206223449153</t>
  </si>
  <si>
    <t>NI20170215121504809637</t>
  </si>
  <si>
    <t>xep170211153414320</t>
  </si>
  <si>
    <t>NI20170215122733657966</t>
  </si>
  <si>
    <t>331083836165</t>
  </si>
  <si>
    <t>NP20170215122950329450</t>
  </si>
  <si>
    <t>201702151132588143</t>
  </si>
  <si>
    <t>NP20170215123001707942</t>
  </si>
  <si>
    <t>yyw170131183519701</t>
  </si>
  <si>
    <t>NC20170215123153112559</t>
  </si>
  <si>
    <t>xep170211153706828</t>
  </si>
  <si>
    <t>p_3_126</t>
  </si>
  <si>
    <t>NI20170215123148301219</t>
  </si>
  <si>
    <t>331083002564</t>
  </si>
  <si>
    <t>NP20170215123345824626</t>
  </si>
  <si>
    <t>331079695010</t>
  </si>
  <si>
    <t>NP20170215123411331520</t>
  </si>
  <si>
    <t>331075978891</t>
  </si>
  <si>
    <t>NP20170215123532000779</t>
  </si>
  <si>
    <t>330980550803</t>
  </si>
  <si>
    <t>NP20170215123609709526</t>
  </si>
  <si>
    <t>qdu170208190110186</t>
  </si>
  <si>
    <t>NP20170215123858091423</t>
  </si>
  <si>
    <t>hua170122084453218</t>
  </si>
  <si>
    <t>NP20170215123901902734</t>
  </si>
  <si>
    <t>cqh170214101240340</t>
  </si>
  <si>
    <t>p_3_116</t>
  </si>
  <si>
    <t>NP20170215124211114947</t>
  </si>
  <si>
    <t>330977850727</t>
  </si>
  <si>
    <t>NP20170215124424780372</t>
  </si>
  <si>
    <t>xep170207213050770</t>
  </si>
  <si>
    <t>NI20170215124748573918</t>
  </si>
  <si>
    <t>xky170118002410787</t>
  </si>
  <si>
    <t>NP20170215124628957218</t>
  </si>
  <si>
    <t>qdu170204181812833</t>
  </si>
  <si>
    <t>NP20170215125236125958</t>
  </si>
  <si>
    <t>331080258954</t>
  </si>
  <si>
    <t>NI20170215125530106832</t>
  </si>
  <si>
    <t>hdn170115102640875</t>
  </si>
  <si>
    <t>NP20170215125746205642</t>
  </si>
  <si>
    <t>xep170215123034485</t>
  </si>
  <si>
    <t>NI20170215125821393303</t>
  </si>
  <si>
    <t>331062250664</t>
  </si>
  <si>
    <t>NI20170215125831386977</t>
  </si>
  <si>
    <t>331079613381</t>
  </si>
  <si>
    <t>NI20170215125821751692</t>
  </si>
  <si>
    <t>331062663300</t>
  </si>
  <si>
    <t>NP20170215125942871956</t>
  </si>
  <si>
    <t>doa170115184303364</t>
  </si>
  <si>
    <t>NI20170215125352394183</t>
  </si>
  <si>
    <t>331062440243</t>
  </si>
  <si>
    <t>NI20170215130229913359</t>
  </si>
  <si>
    <t>331062979593</t>
  </si>
  <si>
    <t>NP20170215130113512658</t>
  </si>
  <si>
    <t>xep170207152236338</t>
  </si>
  <si>
    <t>NP20170215130404817676</t>
  </si>
  <si>
    <t>xep170111164009690</t>
  </si>
  <si>
    <t>NI20170215130214785716</t>
  </si>
  <si>
    <t>knd170210184438484</t>
  </si>
  <si>
    <t>NP20170215130618813342</t>
  </si>
  <si>
    <t>xep170214161652718</t>
  </si>
  <si>
    <t>NP20170215130600950238</t>
  </si>
  <si>
    <t>hiy161227135001399</t>
  </si>
  <si>
    <t>NP20170215130423978801</t>
  </si>
  <si>
    <t>sdc161209161906839</t>
  </si>
  <si>
    <t>NP20170215130849411621</t>
  </si>
  <si>
    <t>ghc170213123955153</t>
  </si>
  <si>
    <t>NP20170215130817662366</t>
  </si>
  <si>
    <t>331021358327</t>
  </si>
  <si>
    <t>NI20170215131017193487</t>
  </si>
  <si>
    <t>doa161120121434540</t>
  </si>
  <si>
    <t>NP20170215131119606189</t>
  </si>
  <si>
    <t>ghc170215104123808</t>
  </si>
  <si>
    <t>NP20170215131041064306</t>
  </si>
  <si>
    <t>pgl170209214708727</t>
  </si>
  <si>
    <t>NP20170215131638924493</t>
  </si>
  <si>
    <t>ltg170206093838160</t>
  </si>
  <si>
    <t>NI20170215131748143375</t>
  </si>
  <si>
    <t>20170127220504KE140</t>
  </si>
  <si>
    <t>NP20170215132000061546</t>
  </si>
  <si>
    <t>dzc170118154518596</t>
  </si>
  <si>
    <t>NC20170215132054027265</t>
  </si>
  <si>
    <t>wxw161109104929973</t>
  </si>
  <si>
    <t>NP20170215132125069797</t>
  </si>
  <si>
    <t>sdc170115183058161</t>
  </si>
  <si>
    <t>NI20170215132249421649</t>
  </si>
  <si>
    <t>xep170128191838811</t>
  </si>
  <si>
    <t>NP20170215132258406304</t>
  </si>
  <si>
    <t>hiy170204111530682</t>
  </si>
  <si>
    <t>NI20170215132307285382</t>
  </si>
  <si>
    <t>hiy170128191127614</t>
  </si>
  <si>
    <t>NI20170215132316619292</t>
  </si>
  <si>
    <t>hiy161127000135117</t>
  </si>
  <si>
    <t>NP20170215132257090660</t>
  </si>
  <si>
    <t>hiy161225111414012</t>
  </si>
  <si>
    <t>NP20170215132328423591</t>
  </si>
  <si>
    <t>xep170107140056698</t>
  </si>
  <si>
    <t>NP20170215132834068991</t>
  </si>
  <si>
    <t>ymu170215130909942e7f6d</t>
  </si>
  <si>
    <t>NP20170215132920710296</t>
  </si>
  <si>
    <t>jpl170214150125026</t>
  </si>
  <si>
    <t>NP20170215132824616632</t>
  </si>
  <si>
    <t>cfs170209213257235</t>
  </si>
  <si>
    <t>NP20170215133040181606</t>
  </si>
  <si>
    <t>pzf170213204404742</t>
  </si>
  <si>
    <t>NP20170215133539655933</t>
  </si>
  <si>
    <t>331055392750</t>
  </si>
  <si>
    <t>NP20170215133532668181</t>
  </si>
  <si>
    <t>tjf170215132545456</t>
  </si>
  <si>
    <t>NP20170215133722896490</t>
  </si>
  <si>
    <t>szs160314160046836</t>
  </si>
  <si>
    <t>NP20170215133713895717</t>
  </si>
  <si>
    <t>xep170204121543201</t>
  </si>
  <si>
    <t>NI20170215133641102608</t>
  </si>
  <si>
    <t>51170110474341</t>
  </si>
  <si>
    <t>NP20170215133642152529</t>
  </si>
  <si>
    <t>xep170126115016139</t>
  </si>
  <si>
    <t>NP20170215133300190508</t>
  </si>
  <si>
    <t>GD2017021513337214</t>
  </si>
  <si>
    <t>NC20170215134307336269</t>
  </si>
  <si>
    <t>yyw170203225108341</t>
  </si>
  <si>
    <t>NP20170215133521961122</t>
  </si>
  <si>
    <t>331075849930</t>
  </si>
  <si>
    <t>NP20170215133605129491</t>
  </si>
  <si>
    <t>czc170203224436981</t>
  </si>
  <si>
    <t>NP20170215134748042233</t>
  </si>
  <si>
    <t>xyx170209074203341</t>
  </si>
  <si>
    <t>NC20170215134805713247</t>
  </si>
  <si>
    <t>ghc170118131656953</t>
  </si>
  <si>
    <t>NP20170215135037419100</t>
  </si>
  <si>
    <t>20170204165811TF749</t>
  </si>
  <si>
    <t>NP20170215134752688814</t>
  </si>
  <si>
    <t>hiy170210131947363</t>
  </si>
  <si>
    <t>NP20170215135152552906</t>
  </si>
  <si>
    <t>20161201114217OZ366</t>
  </si>
  <si>
    <t>NP20170215135158137423</t>
  </si>
  <si>
    <t>xep170215095334751</t>
  </si>
  <si>
    <t>NP20170215135216809177</t>
  </si>
  <si>
    <t>tfq170205105921070</t>
  </si>
  <si>
    <t>NP20170215135135045625</t>
  </si>
  <si>
    <t>331083636566</t>
  </si>
  <si>
    <t>NP20170215134853664886</t>
  </si>
  <si>
    <t>xep161213223508316</t>
  </si>
  <si>
    <t>NP20170215135757043840</t>
  </si>
  <si>
    <t>xep170116214335998</t>
  </si>
  <si>
    <t>NP20170215135753958780</t>
  </si>
  <si>
    <t>hox170208115448149</t>
  </si>
  <si>
    <t>NP20170215135915410196</t>
  </si>
  <si>
    <t>hfp170208144913171</t>
  </si>
  <si>
    <t>NP20170215140407595411</t>
  </si>
  <si>
    <t>doa170120225537167</t>
  </si>
  <si>
    <t>NP20170215140319039978</t>
  </si>
  <si>
    <t>srs170111182736639</t>
  </si>
  <si>
    <t>NI20170215140735751658</t>
  </si>
  <si>
    <t>wyc170122192523114</t>
  </si>
  <si>
    <t>NP20170215140642556726</t>
  </si>
  <si>
    <t>331083085179</t>
  </si>
  <si>
    <t>NP20170215141054735376</t>
  </si>
  <si>
    <t>sab170206100752866eb92f</t>
  </si>
  <si>
    <t>NC20170215141201841108</t>
  </si>
  <si>
    <t>331078448294</t>
  </si>
  <si>
    <t>NP20170215141303070880</t>
  </si>
  <si>
    <t>srs170125104616552</t>
  </si>
  <si>
    <t>NP20170215140916915652</t>
  </si>
  <si>
    <t>hiy170125081919802</t>
  </si>
  <si>
    <t>NI20170215140200127992</t>
  </si>
  <si>
    <t>hiy170105135349807</t>
  </si>
  <si>
    <t>NP20170215141521495083</t>
  </si>
  <si>
    <t>xuy170214235209139</t>
  </si>
  <si>
    <t>NP20170215141629521116</t>
  </si>
  <si>
    <t>331011740946</t>
  </si>
  <si>
    <t>NP20170215141720891041</t>
  </si>
  <si>
    <t>xep170101141532328</t>
  </si>
  <si>
    <t>NP20170215141734806754</t>
  </si>
  <si>
    <t>331011941199</t>
  </si>
  <si>
    <t>NI20170215141511094305</t>
  </si>
  <si>
    <t>331039808036</t>
  </si>
  <si>
    <t>NC20170215141905370829</t>
  </si>
  <si>
    <t>pzf161128190204491</t>
  </si>
  <si>
    <t>NP20170215141647848848</t>
  </si>
  <si>
    <t>xgx170114135503587</t>
  </si>
  <si>
    <t>NP20170215141640495135</t>
  </si>
  <si>
    <t>GD2017021514164937</t>
  </si>
  <si>
    <t>NP20170215142054150666</t>
  </si>
  <si>
    <t>331082676996</t>
  </si>
  <si>
    <t>NI20170215141427919712</t>
  </si>
  <si>
    <t>ghc170213160406647</t>
  </si>
  <si>
    <t>NP20170215142118559032</t>
  </si>
  <si>
    <t>331011796853</t>
  </si>
  <si>
    <t>NP20170215142243600509</t>
  </si>
  <si>
    <t>lfc170124132808516e7790</t>
  </si>
  <si>
    <t>NP20170215142430968837</t>
  </si>
  <si>
    <t>zgl170119171639225</t>
  </si>
  <si>
    <t>NC20170215142536736772</t>
  </si>
  <si>
    <t>tjf161219182049915</t>
  </si>
  <si>
    <t>NP20170215142457092827</t>
  </si>
  <si>
    <t>xep170112163039798</t>
  </si>
  <si>
    <t>NP20170215142739533210</t>
  </si>
  <si>
    <t>doa170105233112165</t>
  </si>
  <si>
    <t>NP20170215142928180293</t>
  </si>
  <si>
    <t>czc170214084752210</t>
  </si>
  <si>
    <t>NI20170215142818884067</t>
  </si>
  <si>
    <t>331083241210</t>
  </si>
  <si>
    <t>NP20170215142954315752</t>
  </si>
  <si>
    <t>xep170213204140154</t>
  </si>
  <si>
    <t>NP20170215143010258944</t>
  </si>
  <si>
    <t>ghc170117093757835</t>
  </si>
  <si>
    <t>NP20170215143012088477</t>
  </si>
  <si>
    <t>tyx170214205559926</t>
  </si>
  <si>
    <t>NI20170215142656540552</t>
  </si>
  <si>
    <t>doa170105100136344</t>
  </si>
  <si>
    <t>NP20170215143143950390</t>
  </si>
  <si>
    <t>xxk170214212520416</t>
  </si>
  <si>
    <t>NP20170215143526841800</t>
  </si>
  <si>
    <t>xep170215141111839</t>
  </si>
  <si>
    <t>NP20170215143624813222</t>
  </si>
  <si>
    <t>ghc170215141515849</t>
  </si>
  <si>
    <t>NP20170215143654702268</t>
  </si>
  <si>
    <t>ghc161116232004691</t>
  </si>
  <si>
    <t>NP20170215143439848304</t>
  </si>
  <si>
    <t>xep170208092339218</t>
  </si>
  <si>
    <t>p_3_016</t>
  </si>
  <si>
    <t>NP20170215143559070841</t>
  </si>
  <si>
    <t>xyz170116102750718</t>
  </si>
  <si>
    <t>NP20170215144129770557</t>
  </si>
  <si>
    <t>xep170112123224279</t>
  </si>
  <si>
    <t>NC20170215144239536287</t>
  </si>
  <si>
    <t>yaj161124184707101ea0a4</t>
  </si>
  <si>
    <t>NP20170215144218033550</t>
  </si>
  <si>
    <t>hiy161228225835646</t>
  </si>
  <si>
    <t>NP20170215143800408548</t>
  </si>
  <si>
    <t>doa170210182759675</t>
  </si>
  <si>
    <t>NP20170215142246642433</t>
  </si>
  <si>
    <t>qdu170215141937052</t>
  </si>
  <si>
    <t>NP20170215144349174366</t>
  </si>
  <si>
    <t>doa170210112359942</t>
  </si>
  <si>
    <t>NP20170215144225451927</t>
  </si>
  <si>
    <t>jtg170211095331593</t>
  </si>
  <si>
    <t>NP20170215144424489111</t>
  </si>
  <si>
    <t>xep170121183523557</t>
  </si>
  <si>
    <t>NP20170215143922852101</t>
  </si>
  <si>
    <t>331061291324</t>
  </si>
  <si>
    <t>NP20170215144415363779</t>
  </si>
  <si>
    <t>331080767810</t>
  </si>
  <si>
    <t>NC20170215144726290013</t>
  </si>
  <si>
    <t>jah161214204108505</t>
  </si>
  <si>
    <t>NP20170215144847533775</t>
  </si>
  <si>
    <t>331083630441</t>
  </si>
  <si>
    <t>NI20170215144425733942</t>
  </si>
  <si>
    <t>ghc161220182225251</t>
  </si>
  <si>
    <t>NP20170215144714356176</t>
  </si>
  <si>
    <t>331083608731</t>
  </si>
  <si>
    <t>NP20170215145341454352</t>
  </si>
  <si>
    <t>xxk170123155209025</t>
  </si>
  <si>
    <t>NP20170215145351061661</t>
  </si>
  <si>
    <t>sub170101161448749</t>
  </si>
  <si>
    <t>NP20170215145329668247</t>
  </si>
  <si>
    <t>doa161229212404698</t>
  </si>
  <si>
    <t>NP20170215145404528017</t>
  </si>
  <si>
    <t>nhq170215144717464</t>
  </si>
  <si>
    <t>NP20170215145945244538</t>
  </si>
  <si>
    <t>nhq170115091530692</t>
  </si>
  <si>
    <t>NP20170215145658928918</t>
  </si>
  <si>
    <t>331083412483</t>
  </si>
  <si>
    <t>NP20170215150227319908</t>
  </si>
  <si>
    <t>doa170208144848068</t>
  </si>
  <si>
    <t>NP20170215150411338890</t>
  </si>
  <si>
    <t>txb170211192932391</t>
  </si>
  <si>
    <t>NP20170215150553263699</t>
  </si>
  <si>
    <t>tyx170115120343383</t>
  </si>
  <si>
    <t>NP20170215150216100840</t>
  </si>
  <si>
    <t>GD2017021515029550</t>
  </si>
  <si>
    <t>NI20170215145623773974</t>
  </si>
  <si>
    <t>331083619570</t>
  </si>
  <si>
    <t>NP20170215150750885616</t>
  </si>
  <si>
    <t>ghc170119021114409</t>
  </si>
  <si>
    <t>NP20170215150658252769</t>
  </si>
  <si>
    <t>331083904499</t>
  </si>
  <si>
    <t>NP20170215150857402738</t>
  </si>
  <si>
    <t>doa170127233052234</t>
  </si>
  <si>
    <t>NP20170215151054420754</t>
  </si>
  <si>
    <t>xep170215105241349</t>
  </si>
  <si>
    <t>NP20170215150930416104</t>
  </si>
  <si>
    <t>xss170214114032314</t>
  </si>
  <si>
    <t>NP20170215151247773645</t>
  </si>
  <si>
    <t>xep170210150432515</t>
  </si>
  <si>
    <t>NP20170215151312441770</t>
  </si>
  <si>
    <t>ghc170215115106889</t>
  </si>
  <si>
    <t>NP20170215151428087939</t>
  </si>
  <si>
    <t>xuy170128203024967</t>
  </si>
  <si>
    <t>NP20170215151554988484</t>
  </si>
  <si>
    <t>qyu170106200515204</t>
  </si>
  <si>
    <t>NP20170215151531583952</t>
  </si>
  <si>
    <t>wdy161221235022312</t>
  </si>
  <si>
    <t>NP20170215151438682576</t>
  </si>
  <si>
    <t>331083266045</t>
  </si>
  <si>
    <t>NP20170215151345242912</t>
  </si>
  <si>
    <t>hiy170118113258062</t>
  </si>
  <si>
    <t>NI20170215151538892250</t>
  </si>
  <si>
    <t>doa170115183928720</t>
  </si>
  <si>
    <t>NP20170215151611978918</t>
  </si>
  <si>
    <t>fna170215151044844</t>
  </si>
  <si>
    <t>NP20170215151907386500</t>
  </si>
  <si>
    <t>hiy161123235217637</t>
  </si>
  <si>
    <t>NP20170215151936427696</t>
  </si>
  <si>
    <t>xer161123232709030</t>
  </si>
  <si>
    <t>NP20170215152034335617</t>
  </si>
  <si>
    <t>xep161029220655488</t>
  </si>
  <si>
    <t>NP20170215152040708427</t>
  </si>
  <si>
    <t>ebb161023225351772</t>
  </si>
  <si>
    <t>NP20170215151250937393</t>
  </si>
  <si>
    <t>ysh170202131103299</t>
  </si>
  <si>
    <t>NP20170215152210673717</t>
  </si>
  <si>
    <t>xep170203070014623</t>
  </si>
  <si>
    <t>NP20170215151912240522</t>
  </si>
  <si>
    <t>331079855883</t>
  </si>
  <si>
    <t>NP20170215152415109644</t>
  </si>
  <si>
    <t>srs170117124941037</t>
  </si>
  <si>
    <t>NP20170215152421915167</t>
  </si>
  <si>
    <t>xep170117094701952</t>
  </si>
  <si>
    <t>NP20170215152440074355</t>
  </si>
  <si>
    <t>hiy170112135814432</t>
  </si>
  <si>
    <t>NI20170215152622426532</t>
  </si>
  <si>
    <t>331020047123</t>
  </si>
  <si>
    <t>NP20170215152533362276</t>
  </si>
  <si>
    <t>331033432256</t>
  </si>
  <si>
    <t>NP20170215152243143556</t>
  </si>
  <si>
    <t>czf170215094047318</t>
  </si>
  <si>
    <t>NP20170215152758878294</t>
  </si>
  <si>
    <t>ghc170206175708107</t>
  </si>
  <si>
    <t>NC20170215152907511523</t>
  </si>
  <si>
    <t>331078263326</t>
  </si>
  <si>
    <t>NP20170215152916817953</t>
  </si>
  <si>
    <t>doa170114190658043</t>
  </si>
  <si>
    <t>NP20170215153043488265</t>
  </si>
  <si>
    <t>doa170215152154022</t>
  </si>
  <si>
    <t>NP20170215152915232455</t>
  </si>
  <si>
    <t>doa170109103045412</t>
  </si>
  <si>
    <t>NP20170215153525242083</t>
  </si>
  <si>
    <t>330985306117</t>
  </si>
  <si>
    <t>NP20170215153516381865</t>
  </si>
  <si>
    <t>331082265986</t>
  </si>
  <si>
    <t>NP20170215153530921334</t>
  </si>
  <si>
    <t>doa161123160447809</t>
  </si>
  <si>
    <t>NP20170215153529917043</t>
  </si>
  <si>
    <t>331057034841</t>
  </si>
  <si>
    <t>NP20170215154111435115</t>
  </si>
  <si>
    <t>sub170111231638203</t>
  </si>
  <si>
    <t>NC20170215154322087044</t>
  </si>
  <si>
    <t>fna170125135931222</t>
  </si>
  <si>
    <t>NP20170215154316730854</t>
  </si>
  <si>
    <t>qca160927105218763</t>
  </si>
  <si>
    <t>NP20170215154444585423</t>
  </si>
  <si>
    <t>xep170111195737547</t>
  </si>
  <si>
    <t>NP20170215154503394771</t>
  </si>
  <si>
    <t>hiy170215152438788</t>
  </si>
  <si>
    <t>NP20170215154501445424</t>
  </si>
  <si>
    <t>nhq170208155827429</t>
  </si>
  <si>
    <t>NP20170215154521094482</t>
  </si>
  <si>
    <t>yyw170202123406565</t>
  </si>
  <si>
    <t>NP20170215154631717497</t>
  </si>
  <si>
    <t>bff170215093615075</t>
  </si>
  <si>
    <t>NP20170215154530737872</t>
  </si>
  <si>
    <t>hfx170122161022497</t>
  </si>
  <si>
    <t>NP20170215154701925978</t>
  </si>
  <si>
    <t>ghc170210202429981</t>
  </si>
  <si>
    <t>NP20170215154856221953</t>
  </si>
  <si>
    <t>xep170206163819053</t>
  </si>
  <si>
    <t>NP20170215154949992202</t>
  </si>
  <si>
    <t>nhq170207101528495</t>
  </si>
  <si>
    <t>NP20170215155248355016</t>
  </si>
  <si>
    <t>tys170206171939660</t>
  </si>
  <si>
    <t>NP20170215155318812087</t>
  </si>
  <si>
    <t>xgx170124074939322</t>
  </si>
  <si>
    <t>NP20170215155346432710</t>
  </si>
  <si>
    <t>pzf170208103352909</t>
  </si>
  <si>
    <t>NP20170215155336510981</t>
  </si>
  <si>
    <t>hkt170120114035610</t>
  </si>
  <si>
    <t>NP20170215155334758158</t>
  </si>
  <si>
    <t>xep170214155333118</t>
  </si>
  <si>
    <t>NC20170215155547952191</t>
  </si>
  <si>
    <t>ghc170107231849240</t>
  </si>
  <si>
    <t>NP20170215154706918678</t>
  </si>
  <si>
    <t>hmk170113164816098</t>
  </si>
  <si>
    <t>NP20170215155545150284</t>
  </si>
  <si>
    <t>20160220102637UO342</t>
  </si>
  <si>
    <t>NP20170215155904803676</t>
  </si>
  <si>
    <t>331083755213</t>
  </si>
  <si>
    <t>NP20170215155942801275</t>
  </si>
  <si>
    <t>hiy170204163743186</t>
  </si>
  <si>
    <t>NI20170215155919645237</t>
  </si>
  <si>
    <t>ghc170117104205766</t>
  </si>
  <si>
    <t>NP20170215155530572079</t>
  </si>
  <si>
    <t>331082961565</t>
  </si>
  <si>
    <t>NP20170215160143689370</t>
  </si>
  <si>
    <t>hiy170204223906153</t>
  </si>
  <si>
    <t>NP20170215160651073589</t>
  </si>
  <si>
    <t>331083146991</t>
  </si>
  <si>
    <t>NP20170215160838944412</t>
  </si>
  <si>
    <t>ghc170213102839328</t>
  </si>
  <si>
    <t>NP20170215160152217638</t>
  </si>
  <si>
    <t>xkz170215133355808</t>
  </si>
  <si>
    <t>NP20170215160921931315</t>
  </si>
  <si>
    <t>xep170214101906227</t>
  </si>
  <si>
    <t>NP20170215160932309280</t>
  </si>
  <si>
    <t>sdc170215133355807</t>
  </si>
  <si>
    <t>NP20170215161053069539</t>
  </si>
  <si>
    <t>czc170118214720425</t>
  </si>
  <si>
    <t>NP20170215161403425470</t>
  </si>
  <si>
    <t>hiy170112145731941</t>
  </si>
  <si>
    <t>NP20170215161600474500</t>
  </si>
  <si>
    <t>xep170213233709225</t>
  </si>
  <si>
    <t>NI20170215161305960366</t>
  </si>
  <si>
    <t>sdc161209144458760</t>
  </si>
  <si>
    <t>NP20170215161834651389</t>
  </si>
  <si>
    <t>ysh170131004105981</t>
  </si>
  <si>
    <t>NP20170215161154868723</t>
  </si>
  <si>
    <t>scv170123160238121</t>
  </si>
  <si>
    <t>NP20170215161748164099</t>
  </si>
  <si>
    <t>331081742916</t>
  </si>
  <si>
    <t>NP20170215162126464464</t>
  </si>
  <si>
    <t>331083894600</t>
  </si>
  <si>
    <t>NC20170215162239453009</t>
  </si>
  <si>
    <t>xep161221125720122</t>
  </si>
  <si>
    <t>NP20170215162245876955</t>
  </si>
  <si>
    <t>yzo170215161643756</t>
  </si>
  <si>
    <t>NP20170215161342696500</t>
  </si>
  <si>
    <t>jqa170214171744679</t>
  </si>
  <si>
    <t>NP20170215162313463615</t>
  </si>
  <si>
    <t>331035328929</t>
  </si>
  <si>
    <t>NP20170215161754821344</t>
  </si>
  <si>
    <t>pzf170107135935359</t>
  </si>
  <si>
    <t>NP20170215162341967585</t>
  </si>
  <si>
    <t>331035509644</t>
  </si>
  <si>
    <t>NP20170215162402941811</t>
  </si>
  <si>
    <t>331034376210</t>
  </si>
  <si>
    <t>NP20170215162543806350</t>
  </si>
  <si>
    <t>331083657050</t>
  </si>
  <si>
    <t>NP20170215162708628804</t>
  </si>
  <si>
    <t>330927191936</t>
  </si>
  <si>
    <t>NC20170215162955966830</t>
  </si>
  <si>
    <t>331082179836</t>
  </si>
  <si>
    <t>NP20170215162452946047</t>
  </si>
  <si>
    <t>sdc170214090946169</t>
  </si>
  <si>
    <t>NP20170215162955278875</t>
  </si>
  <si>
    <t>hiy170118142527733</t>
  </si>
  <si>
    <t>NP20170215163018444972</t>
  </si>
  <si>
    <t>fna161118151828367</t>
  </si>
  <si>
    <t>NP20170215163008947002</t>
  </si>
  <si>
    <t>hiy170213173737298</t>
  </si>
  <si>
    <t>NP20170215163106802410</t>
  </si>
  <si>
    <t>jql170109122116342</t>
  </si>
  <si>
    <t>NI20170215163150046758</t>
  </si>
  <si>
    <t>331083341900</t>
  </si>
  <si>
    <t>NP20170215163206008550</t>
  </si>
  <si>
    <t>331079995770</t>
  </si>
  <si>
    <t>NP20170215163116168822</t>
  </si>
  <si>
    <t>fna170215162607310</t>
  </si>
  <si>
    <t>NP20170215163416200220</t>
  </si>
  <si>
    <t>331083672471</t>
  </si>
  <si>
    <t>NP20170215163638484452</t>
  </si>
  <si>
    <t>xep170208103413000</t>
  </si>
  <si>
    <t>NP20170215164034023320</t>
  </si>
  <si>
    <t>hiy170210173334132</t>
  </si>
  <si>
    <t>NI20170215164427854450</t>
  </si>
  <si>
    <t>331037726272</t>
  </si>
  <si>
    <t>NI20170215164034080641</t>
  </si>
  <si>
    <t>hxz170121200448883</t>
  </si>
  <si>
    <t>NP20170215164608792455</t>
  </si>
  <si>
    <t>331017462835</t>
  </si>
  <si>
    <t>NP20170215164610114923</t>
  </si>
  <si>
    <t>yyw161221104935373</t>
  </si>
  <si>
    <t>NP20170215164644160953</t>
  </si>
  <si>
    <t>sdc170215163157956</t>
  </si>
  <si>
    <t>NP20170215164520039080</t>
  </si>
  <si>
    <t>331070118676</t>
  </si>
  <si>
    <t>NP20170215164737052563</t>
  </si>
  <si>
    <t>yyw170213110803523</t>
  </si>
  <si>
    <t>NP20170215164812568245</t>
  </si>
  <si>
    <t>331083995028</t>
  </si>
  <si>
    <t>NP20170215164924471836</t>
  </si>
  <si>
    <t>331069545570</t>
  </si>
  <si>
    <t>NP20170215164924096299</t>
  </si>
  <si>
    <t>331066883743</t>
  </si>
  <si>
    <t>NI20170215160432644813</t>
  </si>
  <si>
    <t>xep170213225610234</t>
  </si>
  <si>
    <t>NP20170215165332405903</t>
  </si>
  <si>
    <t>170201000532f244e2x</t>
  </si>
  <si>
    <t>NP20170215164522331624</t>
  </si>
  <si>
    <t>GD2017021516459215</t>
  </si>
  <si>
    <t>NP20170215163746248347</t>
  </si>
  <si>
    <t>331083474336</t>
  </si>
  <si>
    <t>NP20170215164659248371</t>
  </si>
  <si>
    <t>hfx170111201434752</t>
  </si>
  <si>
    <t>NP20170215165729306458</t>
  </si>
  <si>
    <t>doa170103161826400</t>
  </si>
  <si>
    <t>NP20170215170254300673</t>
  </si>
  <si>
    <t>0058224070</t>
  </si>
  <si>
    <t>NP20170215170258649970</t>
  </si>
  <si>
    <t>czc161222161932836</t>
  </si>
  <si>
    <t>NP20170215165833761493</t>
  </si>
  <si>
    <t>0058223092</t>
  </si>
  <si>
    <t>NP20170215170105227701</t>
  </si>
  <si>
    <t>hxg170117221454441</t>
  </si>
  <si>
    <t>NP20170215170437937820</t>
  </si>
  <si>
    <t>sub170109100052969</t>
  </si>
  <si>
    <t>NP20170215170613467101</t>
  </si>
  <si>
    <t>tjf161214123728368</t>
  </si>
  <si>
    <t>NP20170215170358659727</t>
  </si>
  <si>
    <t>ysh170215165646314</t>
  </si>
  <si>
    <t>NP20170215170307348401</t>
  </si>
  <si>
    <t>xep170112205223098</t>
  </si>
  <si>
    <t>NP20170215170925849963</t>
  </si>
  <si>
    <t>331080067810</t>
  </si>
  <si>
    <t>NP20170215170854064467</t>
  </si>
  <si>
    <t>2016121414437168</t>
  </si>
  <si>
    <t>NP20170215170907349508</t>
  </si>
  <si>
    <t>nhq170211111150739</t>
  </si>
  <si>
    <t>NP20170215170302309292</t>
  </si>
  <si>
    <t>hiy170102084433572</t>
  </si>
  <si>
    <t>NP20170215171153919703</t>
  </si>
  <si>
    <t>sme170114113354856</t>
  </si>
  <si>
    <t>NP20170215170435256566</t>
  </si>
  <si>
    <t>331083935167</t>
  </si>
  <si>
    <t>NP20170215171250359271</t>
  </si>
  <si>
    <t>mir170210180317048</t>
  </si>
  <si>
    <t>NP20170215171320322432</t>
  </si>
  <si>
    <t>xky170129150839633</t>
  </si>
  <si>
    <t>NI20170215171258843513</t>
  </si>
  <si>
    <t>hiy170209155110820</t>
  </si>
  <si>
    <t>NP20170215171654177687</t>
  </si>
  <si>
    <t>cyo170207115118691</t>
  </si>
  <si>
    <t>NP20170215171915584956</t>
  </si>
  <si>
    <t>331077402179</t>
  </si>
  <si>
    <t>NP20170215171309516390</t>
  </si>
  <si>
    <t>yyw170215165043780</t>
  </si>
  <si>
    <t>NP20170215172338874647</t>
  </si>
  <si>
    <t>gef170201095951893</t>
  </si>
  <si>
    <t>NP20170215172431197902</t>
  </si>
  <si>
    <t>tyx170129151249305</t>
  </si>
  <si>
    <t>NP20170215172516861059</t>
  </si>
  <si>
    <t>331030770336</t>
  </si>
  <si>
    <t>NP20170215172623323810</t>
  </si>
  <si>
    <t>doa170209101712323</t>
  </si>
  <si>
    <t>NP20170215172724641694</t>
  </si>
  <si>
    <t>331083081801</t>
  </si>
  <si>
    <t>NP20170215173009617629</t>
  </si>
  <si>
    <t>czc170213074848991</t>
  </si>
  <si>
    <t>NP20170215173009313726</t>
  </si>
  <si>
    <t>xuy170215165316345</t>
  </si>
  <si>
    <t>NC20170215173145313507</t>
  </si>
  <si>
    <t>ppg170215162139166</t>
  </si>
  <si>
    <t>NP20170215173146011491</t>
  </si>
  <si>
    <t>pzf170123002400556</t>
  </si>
  <si>
    <t>NP20170215173148587377</t>
  </si>
  <si>
    <t>xep170213154519631</t>
  </si>
  <si>
    <t>NP20170215173211982290</t>
  </si>
  <si>
    <t>331063956803</t>
  </si>
  <si>
    <t>NP20170215173240689864</t>
  </si>
  <si>
    <t>xep161224142908418</t>
  </si>
  <si>
    <t>NP20170215172828853528</t>
  </si>
  <si>
    <t>ghc170214200906676</t>
  </si>
  <si>
    <t>NI20170215173234826025</t>
  </si>
  <si>
    <t>sub170107162139465</t>
  </si>
  <si>
    <t>NP20170215173421278733</t>
  </si>
  <si>
    <t>xep170101144634035</t>
  </si>
  <si>
    <t>NP20170215173122227522</t>
  </si>
  <si>
    <t>331083814102</t>
  </si>
  <si>
    <t>NP20170215173348812703</t>
  </si>
  <si>
    <t>330997610979</t>
  </si>
  <si>
    <t>NP20170215173022049810</t>
  </si>
  <si>
    <t>201702151537189C861</t>
  </si>
  <si>
    <t>NI20170215173518477664</t>
  </si>
  <si>
    <t>nhq170101174717136</t>
  </si>
  <si>
    <t>NI20170215173410474576</t>
  </si>
  <si>
    <t>jah170213163002938</t>
  </si>
  <si>
    <t>NP20170215174018515796</t>
  </si>
  <si>
    <t>kom170109133618158</t>
  </si>
  <si>
    <t>NP20170215173922279690</t>
  </si>
  <si>
    <t>tjf170214003236508</t>
  </si>
  <si>
    <t>NP20170215174113983966</t>
  </si>
  <si>
    <t>hiy161222135136769</t>
  </si>
  <si>
    <t>NP20170215174222434428</t>
  </si>
  <si>
    <t>nhq170213231441054</t>
  </si>
  <si>
    <t>NP20170215174210849181</t>
  </si>
  <si>
    <t>xsg161213201235570</t>
  </si>
  <si>
    <t>NC20170215174303029457</t>
  </si>
  <si>
    <t>tyx170119104245755</t>
  </si>
  <si>
    <t>NP20170215174302333786</t>
  </si>
  <si>
    <t>sub170215164845308</t>
  </si>
  <si>
    <t>NI20170215174648320777</t>
  </si>
  <si>
    <t>xep170201001811129</t>
  </si>
  <si>
    <t>NP20170215174741338155</t>
  </si>
  <si>
    <t>pzf170208141315613</t>
  </si>
  <si>
    <t>NI20170215174546850204</t>
  </si>
  <si>
    <t>doa170215045248343</t>
  </si>
  <si>
    <t>NP20170215174837443436</t>
  </si>
  <si>
    <t>331083781932</t>
  </si>
  <si>
    <t>NP20170215174543324655</t>
  </si>
  <si>
    <t>331076943544</t>
  </si>
  <si>
    <t>NC20170215175005277860</t>
  </si>
  <si>
    <t>xuy170215173323934</t>
  </si>
  <si>
    <t>NP20170215175037813480</t>
  </si>
  <si>
    <t>xep170118174729017</t>
  </si>
  <si>
    <t>NP20170215174905702199</t>
  </si>
  <si>
    <t>331083072212</t>
  </si>
  <si>
    <t>NP20170215175140966063</t>
  </si>
  <si>
    <t>wxw170215160025283</t>
  </si>
  <si>
    <t>NI20170215174741051907</t>
  </si>
  <si>
    <t>331076286536</t>
  </si>
  <si>
    <t>NC20170215175740366890</t>
  </si>
  <si>
    <t>doa170208163822851</t>
  </si>
  <si>
    <t>NI20170215173745576321</t>
  </si>
  <si>
    <t>zhm161222100025826</t>
  </si>
  <si>
    <t>NC20170215175803600658</t>
  </si>
  <si>
    <t>bbw170215173243778</t>
  </si>
  <si>
    <t>NI20170215175802263214</t>
  </si>
  <si>
    <t>xqi170208100354261</t>
  </si>
  <si>
    <t>NP20170215175314388880</t>
  </si>
  <si>
    <t>kmb161216102232832</t>
  </si>
  <si>
    <t>NP20170215175955157863</t>
  </si>
  <si>
    <t>rui170115194814076</t>
  </si>
  <si>
    <t>NP20170215180133793170</t>
  </si>
  <si>
    <t>ysy170120191045612</t>
  </si>
  <si>
    <t>NP20170215172943029904</t>
  </si>
  <si>
    <t>pzf170202113737730</t>
  </si>
  <si>
    <t>NP20170215175621160591</t>
  </si>
  <si>
    <t>jxp170204011416083</t>
  </si>
  <si>
    <t>NP20170215180347429561</t>
  </si>
  <si>
    <t>czc170214130057801</t>
  </si>
  <si>
    <t>NI20170215175922495042</t>
  </si>
  <si>
    <t>0064655739</t>
  </si>
  <si>
    <t>NP20170215180804591077</t>
  </si>
  <si>
    <t>xep170215101243242</t>
  </si>
  <si>
    <t>NC20170215180836375618</t>
  </si>
  <si>
    <t>331083329876</t>
  </si>
  <si>
    <t>NP20170215180832276076</t>
  </si>
  <si>
    <t>xuy170215170811308</t>
  </si>
  <si>
    <t>NP20170215180854885562</t>
  </si>
  <si>
    <t>xep170215102032484</t>
  </si>
  <si>
    <t>NP20170215181130729144</t>
  </si>
  <si>
    <t>xuy170215174446754</t>
  </si>
  <si>
    <t>NP20170215181427352303</t>
  </si>
  <si>
    <t>jyk170215135210403</t>
  </si>
  <si>
    <t>NP20170215181548959734</t>
  </si>
  <si>
    <t>331035245653</t>
  </si>
  <si>
    <t>NP20170215181321388184</t>
  </si>
  <si>
    <t>sdc170202163955313</t>
  </si>
  <si>
    <t>NC20170215181716644314</t>
  </si>
  <si>
    <t>331025879432</t>
  </si>
  <si>
    <t>NP20170215181750226652</t>
  </si>
  <si>
    <t>xuy170110215921131</t>
  </si>
  <si>
    <t>NP20170215181745000605</t>
  </si>
  <si>
    <t>331067915223</t>
  </si>
  <si>
    <t>NI20170215181533424028</t>
  </si>
  <si>
    <t>331083356947</t>
  </si>
  <si>
    <t>NI20170215181808088048</t>
  </si>
  <si>
    <t>xep170124232741337</t>
  </si>
  <si>
    <t>NP20170215181934921679</t>
  </si>
  <si>
    <t>sme170108151646106</t>
  </si>
  <si>
    <t>NP20170215182149330763</t>
  </si>
  <si>
    <t>ghc170215015815323</t>
  </si>
  <si>
    <t>NI20170215181952486516</t>
  </si>
  <si>
    <t>331024676878</t>
  </si>
  <si>
    <t>NP20170215182003148923</t>
  </si>
  <si>
    <t>xep170117205510370</t>
  </si>
  <si>
    <t>NP20170215182330823449</t>
  </si>
  <si>
    <t>hiy170117103154890</t>
  </si>
  <si>
    <t>NP20170215182405641207</t>
  </si>
  <si>
    <t>xep170118133959010</t>
  </si>
  <si>
    <t>NP20170215182149815815</t>
  </si>
  <si>
    <t>xfz170109231707831</t>
  </si>
  <si>
    <t>NP20170215182453652693</t>
  </si>
  <si>
    <t>20170215153606TR650</t>
  </si>
  <si>
    <t>NP20170215182511832334</t>
  </si>
  <si>
    <t>20170215153605TZ996</t>
  </si>
  <si>
    <t>NP20170215182337421247</t>
  </si>
  <si>
    <t>331083848444</t>
  </si>
  <si>
    <t>NP20170215182638949724</t>
  </si>
  <si>
    <t>ghc170128134559313</t>
  </si>
  <si>
    <t>NP20170215182546553318</t>
  </si>
  <si>
    <t>331083435165</t>
  </si>
  <si>
    <t>NP20170215182618029275</t>
  </si>
  <si>
    <t>GD2017021518261649</t>
  </si>
  <si>
    <t>NP20170215182547393309</t>
  </si>
  <si>
    <t>doa170215173129480</t>
  </si>
  <si>
    <t>NI20170215182517003176</t>
  </si>
  <si>
    <t>doa170208144203347</t>
  </si>
  <si>
    <t>NC20170215183121436665</t>
  </si>
  <si>
    <t>sdc161224103320074</t>
  </si>
  <si>
    <t>NC20170215183601291953</t>
  </si>
  <si>
    <t>ghc170211215653470</t>
  </si>
  <si>
    <t>NC20170215183615931190</t>
  </si>
  <si>
    <t>srs170215174105866</t>
  </si>
  <si>
    <t>NC20170215183902100455</t>
  </si>
  <si>
    <t>xep170215182449217</t>
  </si>
  <si>
    <t>NP20170215183847352978</t>
  </si>
  <si>
    <t>tyx170214113846745</t>
  </si>
  <si>
    <t>NP20170215183903449550</t>
  </si>
  <si>
    <t>331082799793</t>
  </si>
  <si>
    <t>NP20170215182522628555</t>
  </si>
  <si>
    <t>331077647329</t>
  </si>
  <si>
    <t>NP20170215183622736933</t>
  </si>
  <si>
    <t>331082610565</t>
  </si>
  <si>
    <t>NP20170215183841992821</t>
  </si>
  <si>
    <t>nhq170215152709483</t>
  </si>
  <si>
    <t>NP20170215184132710294</t>
  </si>
  <si>
    <t>xuy170204162319463</t>
  </si>
  <si>
    <t>NI20170215183223961609</t>
  </si>
  <si>
    <t>sub170204111642076</t>
  </si>
  <si>
    <t>NC20170215184314504071</t>
  </si>
  <si>
    <t>xep170215152140948</t>
  </si>
  <si>
    <t>NC20170215184347297211</t>
  </si>
  <si>
    <t>hiy170208004221629</t>
  </si>
  <si>
    <t>NP20170215184223240401</t>
  </si>
  <si>
    <t>pzf161228225324355</t>
  </si>
  <si>
    <t>NI20170215182543299079</t>
  </si>
  <si>
    <t>yyw170215134820312</t>
  </si>
  <si>
    <t>NP20170215184728087906</t>
  </si>
  <si>
    <t>xep161228225324356</t>
  </si>
  <si>
    <t>NP20170215184816316323</t>
  </si>
  <si>
    <t>201611161737415131</t>
  </si>
  <si>
    <t>NP20170215184902699522</t>
  </si>
  <si>
    <t>pxn170202112412720</t>
  </si>
  <si>
    <t>NP20170215184909273194</t>
  </si>
  <si>
    <t>201611022216027275</t>
  </si>
  <si>
    <t>NP20170215184902017099</t>
  </si>
  <si>
    <t>qyu170210084307059</t>
  </si>
  <si>
    <t>NC20170215184956202683</t>
  </si>
  <si>
    <t>331083575311</t>
  </si>
  <si>
    <t>NP20170215184916788436</t>
  </si>
  <si>
    <t>klf161218203448653</t>
  </si>
  <si>
    <t>NP20170215185002609051</t>
  </si>
  <si>
    <t>lff160823002221989</t>
  </si>
  <si>
    <t>NP20170215185041414476</t>
  </si>
  <si>
    <t>jxp170210212917395</t>
  </si>
  <si>
    <t>NP20170215185103350056</t>
  </si>
  <si>
    <t>yyw160823002221988</t>
  </si>
  <si>
    <t>NP20170215184330822119</t>
  </si>
  <si>
    <t>xxk170207092209992</t>
  </si>
  <si>
    <t>NP20170215185217353419</t>
  </si>
  <si>
    <t>tfa160601103305387</t>
  </si>
  <si>
    <t>NP20170215185246944489</t>
  </si>
  <si>
    <t>331073170298</t>
  </si>
  <si>
    <t>NP20170215185322722489</t>
  </si>
  <si>
    <t>zdx160430164810158</t>
  </si>
  <si>
    <t>NP20170215185302306872</t>
  </si>
  <si>
    <t>hiy170124105111677</t>
  </si>
  <si>
    <t>NP20170215185339517151</t>
  </si>
  <si>
    <t>hiy170104134710517</t>
  </si>
  <si>
    <t>NP20170215185425621775</t>
  </si>
  <si>
    <t>tsl160430164810157</t>
  </si>
  <si>
    <t>NP20170215185437460020</t>
  </si>
  <si>
    <t>nxw170215075934415</t>
  </si>
  <si>
    <t>NP20170215185522906461</t>
  </si>
  <si>
    <t>afo160302112711583</t>
  </si>
  <si>
    <t>NP20170215185508010353</t>
  </si>
  <si>
    <t>xep161230170202756</t>
  </si>
  <si>
    <t>NP20170215185505804381</t>
  </si>
  <si>
    <t>331034111104</t>
  </si>
  <si>
    <t>NP20170215185613883021</t>
  </si>
  <si>
    <t>sbk160313133337034</t>
  </si>
  <si>
    <t>NC20170215185658147828</t>
  </si>
  <si>
    <t>xep170211145304486</t>
  </si>
  <si>
    <t>NC20170215185722668349</t>
  </si>
  <si>
    <t>331082740629</t>
  </si>
  <si>
    <t>NP20170215185707162082</t>
  </si>
  <si>
    <t>cxf160401181552307</t>
  </si>
  <si>
    <t>NP20170215185631040351</t>
  </si>
  <si>
    <t>czc170213142155785</t>
  </si>
  <si>
    <t>NP20170215185723892814</t>
  </si>
  <si>
    <t>331035392353</t>
  </si>
  <si>
    <t>NC20170215185750759922</t>
  </si>
  <si>
    <t>scv170207092150212</t>
  </si>
  <si>
    <t>NP20170215185800666527</t>
  </si>
  <si>
    <t>cfs160401181552920</t>
  </si>
  <si>
    <t>NP20170215185820856880</t>
  </si>
  <si>
    <t>hxz170205233542612</t>
  </si>
  <si>
    <t>NP20170215185843798019</t>
  </si>
  <si>
    <t>mmx160401211755544</t>
  </si>
  <si>
    <t>NP20170215185847299128</t>
  </si>
  <si>
    <t>hiy170128204532513</t>
  </si>
  <si>
    <t>NP20170215190028141149</t>
  </si>
  <si>
    <t>xep170215184940140</t>
  </si>
  <si>
    <t>NC20170215190149373786</t>
  </si>
  <si>
    <t>sme170215125111601</t>
  </si>
  <si>
    <t>NP20170215185940109858</t>
  </si>
  <si>
    <t>czc170208021138182</t>
  </si>
  <si>
    <t>NP20170215190201668015</t>
  </si>
  <si>
    <t>331010757844</t>
  </si>
  <si>
    <t>NP20170215190508729194</t>
  </si>
  <si>
    <t>fna170208114248489</t>
  </si>
  <si>
    <t>NP20170215190453233097</t>
  </si>
  <si>
    <t>nhq170102003039334</t>
  </si>
  <si>
    <t>NP20170215190744016769</t>
  </si>
  <si>
    <t>331083649217</t>
  </si>
  <si>
    <t>NC20170215190818739680</t>
  </si>
  <si>
    <t>xep170117231510640</t>
  </si>
  <si>
    <t>NC20170215190858809993</t>
  </si>
  <si>
    <t>doa170120220001868</t>
  </si>
  <si>
    <t>NC20170215190926015335</t>
  </si>
  <si>
    <t>kmb170215151018710</t>
  </si>
  <si>
    <t>NP20170215190812275962</t>
  </si>
  <si>
    <t>GD2017021519081961</t>
  </si>
  <si>
    <t>NC20170215191206350994</t>
  </si>
  <si>
    <t>pzf170210152948052</t>
  </si>
  <si>
    <t>NC20170215191234401028</t>
  </si>
  <si>
    <t>331083993035</t>
  </si>
  <si>
    <t>NC20170215191235063068</t>
  </si>
  <si>
    <t>331083848470</t>
  </si>
  <si>
    <t>NC20170215191241862344</t>
  </si>
  <si>
    <t>sdc170207232547630</t>
  </si>
  <si>
    <t>NC20170215191308208598</t>
  </si>
  <si>
    <t>331083157215</t>
  </si>
  <si>
    <t>NP20170215191012591154</t>
  </si>
  <si>
    <t>xep170103092826860</t>
  </si>
  <si>
    <t>NC20170215191502614795</t>
  </si>
  <si>
    <t>ebb170208110254816</t>
  </si>
  <si>
    <t>NP20170215191523200489</t>
  </si>
  <si>
    <t>xgx161219132844270</t>
  </si>
  <si>
    <t>NP20170215191345525164</t>
  </si>
  <si>
    <t>20170114170316TF266</t>
  </si>
  <si>
    <t>NP20170215191203346946</t>
  </si>
  <si>
    <t>GD2017021519128574</t>
  </si>
  <si>
    <t>NP20170215191902758131</t>
  </si>
  <si>
    <t>bbw170131142144159</t>
  </si>
  <si>
    <t>NI20170215191809398260</t>
  </si>
  <si>
    <t>yck170215184029606</t>
  </si>
  <si>
    <t>NP20170215191948764300</t>
  </si>
  <si>
    <t>wxw170215185136602</t>
  </si>
  <si>
    <t>NP20170215192210071284</t>
  </si>
  <si>
    <t>chs170214131002414</t>
  </si>
  <si>
    <t>NC20170215192252534465</t>
  </si>
  <si>
    <t>331054740189</t>
  </si>
  <si>
    <t>NP20170215192310245040</t>
  </si>
  <si>
    <t>xep170213134414229</t>
  </si>
  <si>
    <t>NP20170215192255635002</t>
  </si>
  <si>
    <t>chs170214132239022</t>
  </si>
  <si>
    <t>NP20170215192204865893</t>
  </si>
  <si>
    <t>20170207185457TF228</t>
  </si>
  <si>
    <t>NI20170215192519258688</t>
  </si>
  <si>
    <t>ymz170206224631761</t>
  </si>
  <si>
    <t>NP20170215192524575305</t>
  </si>
  <si>
    <t>nhq170213110813595</t>
  </si>
  <si>
    <t>NP20170215192603590424</t>
  </si>
  <si>
    <t>hiy170129124810074</t>
  </si>
  <si>
    <t>NP20170215192603398496</t>
  </si>
  <si>
    <t>jtg170213103819216</t>
  </si>
  <si>
    <t>NP20170215191216781362</t>
  </si>
  <si>
    <t>331083684870</t>
  </si>
  <si>
    <t>NC20170215192720256428</t>
  </si>
  <si>
    <t>cqh170215191112394</t>
  </si>
  <si>
    <t>NP20170215192754896468</t>
  </si>
  <si>
    <t>pzf170207155859319</t>
  </si>
  <si>
    <t>NC20170215192826585960</t>
  </si>
  <si>
    <t>331083430078</t>
  </si>
  <si>
    <t>bp_3_057</t>
  </si>
  <si>
    <t>NP20170215192925075931</t>
  </si>
  <si>
    <t>xgx170202212125863</t>
  </si>
  <si>
    <t>NP20170215193134146535</t>
  </si>
  <si>
    <t>hxg170201160755612</t>
  </si>
  <si>
    <t>NP20170215193209781340</t>
  </si>
  <si>
    <t>fna170208214309166</t>
  </si>
  <si>
    <t>NC20170215193604124699</t>
  </si>
  <si>
    <t>hiy170209112154300</t>
  </si>
  <si>
    <t>NC20170215193751171342</t>
  </si>
  <si>
    <t>pzf170130000126753</t>
  </si>
  <si>
    <t>NP20170215193656656872</t>
  </si>
  <si>
    <t>GD2017021519365634</t>
  </si>
  <si>
    <t>NP20170215194235098432</t>
  </si>
  <si>
    <t>jzj161218110223179</t>
  </si>
  <si>
    <t>NP20170215194130413667</t>
  </si>
  <si>
    <t>GD2017021519414485</t>
  </si>
  <si>
    <t>NP20170215194550544730</t>
  </si>
  <si>
    <t>xhp170213164828982</t>
  </si>
  <si>
    <t>NC20170215194953380252</t>
  </si>
  <si>
    <t>trs170215193248368</t>
  </si>
  <si>
    <t>NP20170215195053552075</t>
  </si>
  <si>
    <t>331076133679</t>
  </si>
  <si>
    <t>NC20170215195345414099</t>
  </si>
  <si>
    <t>ysy170215195122864</t>
  </si>
  <si>
    <t>NP20170215195031430403</t>
  </si>
  <si>
    <t>pzf170215194316869</t>
  </si>
  <si>
    <t>NP20170215195348801042</t>
  </si>
  <si>
    <t>ysh170210225716090</t>
  </si>
  <si>
    <t>NP20170215195355770039</t>
  </si>
  <si>
    <t>20170215194703TZ834</t>
  </si>
  <si>
    <t>NP20170215195233254340</t>
  </si>
  <si>
    <t>20170123155327LV914</t>
  </si>
  <si>
    <t>NP20170215195422493208</t>
  </si>
  <si>
    <t>331083055000</t>
  </si>
  <si>
    <t>NP20170215195341112513</t>
  </si>
  <si>
    <t>sub170215194545492</t>
  </si>
  <si>
    <t>NP20170215195756280462</t>
  </si>
  <si>
    <t>C1702150004080</t>
  </si>
  <si>
    <t>NP20170215195922870648</t>
  </si>
  <si>
    <t>xuy170215193451888</t>
  </si>
  <si>
    <t>NP20170215195806791865</t>
  </si>
  <si>
    <t>ysy170124194315777</t>
  </si>
  <si>
    <t>NP20170215195413317937</t>
  </si>
  <si>
    <t>331080493098</t>
  </si>
  <si>
    <t>NP20170215195956466019</t>
  </si>
  <si>
    <t>sdc170215193451887</t>
  </si>
  <si>
    <t>NP20170215195808877846</t>
  </si>
  <si>
    <t>doa170209103903863</t>
  </si>
  <si>
    <t>NP20170215195025184205</t>
  </si>
  <si>
    <t>331083781972</t>
  </si>
  <si>
    <t>NO20170215200034053580</t>
  </si>
  <si>
    <t>NXE4BH-LFM72E9WA9</t>
  </si>
  <si>
    <t>NP20170215200058543299</t>
  </si>
  <si>
    <t>330914824846</t>
  </si>
  <si>
    <t>NI20170215195317808943</t>
  </si>
  <si>
    <t>czc170215194626666</t>
  </si>
  <si>
    <t>NI20170215194303849265</t>
  </si>
  <si>
    <t>xyx170214142138744</t>
  </si>
  <si>
    <t>NP20170215200346095709</t>
  </si>
  <si>
    <t>tjf170203113348579</t>
  </si>
  <si>
    <t>NP20170215200921286500</t>
  </si>
  <si>
    <t>xep170207144641475</t>
  </si>
  <si>
    <t>NP20170215200752947765</t>
  </si>
  <si>
    <t>bbw161222224939792</t>
  </si>
  <si>
    <t>NC20170215201307183587</t>
  </si>
  <si>
    <t>pzf170208221344707</t>
  </si>
  <si>
    <t>NP20170215201312058695</t>
  </si>
  <si>
    <t>pzf161221080217735</t>
  </si>
  <si>
    <t>NI20170215200901674576</t>
  </si>
  <si>
    <t>xep170128091944283</t>
  </si>
  <si>
    <t>NC20170215201351398523</t>
  </si>
  <si>
    <t>331083049248</t>
  </si>
  <si>
    <t>NP20170215201556807455</t>
  </si>
  <si>
    <t>331083294010</t>
  </si>
  <si>
    <t>NC20170215201652252399</t>
  </si>
  <si>
    <t>sdc170212160427942</t>
  </si>
  <si>
    <t>NC20170215202143633297</t>
  </si>
  <si>
    <t>331007473066</t>
  </si>
  <si>
    <t>NP20170215202031987346</t>
  </si>
  <si>
    <t>xep170215201345097</t>
  </si>
  <si>
    <t>NP20170215202039411268</t>
  </si>
  <si>
    <t>20170213085330LV018</t>
  </si>
  <si>
    <t>NI20170215201604367652</t>
  </si>
  <si>
    <t>201702152011103K124</t>
  </si>
  <si>
    <t>NP20170215201945757755</t>
  </si>
  <si>
    <t>331076528988</t>
  </si>
  <si>
    <t>NP20170215202326689532</t>
  </si>
  <si>
    <t>hiy170215184247483</t>
  </si>
  <si>
    <t>NP20170215202603007132</t>
  </si>
  <si>
    <t>doa170207052104826</t>
  </si>
  <si>
    <t>NC20170215202630753646</t>
  </si>
  <si>
    <t>331083344383</t>
  </si>
  <si>
    <t>NP20170215202433112357</t>
  </si>
  <si>
    <t>GD2017021520248929</t>
  </si>
  <si>
    <t>NC20170215203230604023</t>
  </si>
  <si>
    <t>331078143356</t>
  </si>
  <si>
    <t>NC20170215203254211703</t>
  </si>
  <si>
    <t>xep170204110031574</t>
  </si>
  <si>
    <t>NP20170215203044818279</t>
  </si>
  <si>
    <t>51170208597314</t>
  </si>
  <si>
    <t>NP20170215203204591378</t>
  </si>
  <si>
    <t>331036659907</t>
  </si>
  <si>
    <t>NP20170215203500814053</t>
  </si>
  <si>
    <t>wxw170215173953548</t>
  </si>
  <si>
    <t>NI20170215203606842965</t>
  </si>
  <si>
    <t>C1702150013534</t>
  </si>
  <si>
    <t>NP20170215203357101882</t>
  </si>
  <si>
    <t>331063668346</t>
  </si>
  <si>
    <t>NC20170215203846774801</t>
  </si>
  <si>
    <t>331077308314</t>
  </si>
  <si>
    <t>NC20170215203849320383</t>
  </si>
  <si>
    <t>pzf170211165036154</t>
  </si>
  <si>
    <t>NP20170215203452798975</t>
  </si>
  <si>
    <t>GD2017021520340572</t>
  </si>
  <si>
    <t>NP20170215204001736386</t>
  </si>
  <si>
    <t>331060182852</t>
  </si>
  <si>
    <t>NP20170215204056172746</t>
  </si>
  <si>
    <t>sme161210235450699</t>
  </si>
  <si>
    <t>NP20170215204010477227</t>
  </si>
  <si>
    <t>331075125605</t>
  </si>
  <si>
    <t>NP20170215204628431481</t>
  </si>
  <si>
    <t>jxp170213125212856</t>
  </si>
  <si>
    <t>NC20170215204654456175</t>
  </si>
  <si>
    <t>xfz170215202228132</t>
  </si>
  <si>
    <t>NP20170215204650606996</t>
  </si>
  <si>
    <t>ghc170215201650819</t>
  </si>
  <si>
    <t>NC20170215204759181549</t>
  </si>
  <si>
    <t>pzf161202183113478</t>
  </si>
  <si>
    <t>NP20170215204753733782</t>
  </si>
  <si>
    <t>srs170214095433125</t>
  </si>
  <si>
    <t>NP20170215204718655457</t>
  </si>
  <si>
    <t>hiy170213111535997</t>
  </si>
  <si>
    <t>NP20170215205003514491</t>
  </si>
  <si>
    <t>sme170130094850300</t>
  </si>
  <si>
    <t>NP20170215205200282974</t>
  </si>
  <si>
    <t>xep170214224007446</t>
  </si>
  <si>
    <t>NP20170215205429102225</t>
  </si>
  <si>
    <t>xep161221163342991</t>
  </si>
  <si>
    <t>NP20170215205053742945</t>
  </si>
  <si>
    <t>331015328186</t>
  </si>
  <si>
    <t>NC20170215205553157410</t>
  </si>
  <si>
    <t>331083739465</t>
  </si>
  <si>
    <t>NP20170215205438166197</t>
  </si>
  <si>
    <t>51170215353729</t>
  </si>
  <si>
    <t>NP20170215205339483112</t>
  </si>
  <si>
    <t>331079150564</t>
  </si>
  <si>
    <t>NI20170215205344167267</t>
  </si>
  <si>
    <t>330926763160</t>
  </si>
  <si>
    <t>NC20170215205811676847</t>
  </si>
  <si>
    <t>331081447624</t>
  </si>
  <si>
    <t>NP20170215205754184356</t>
  </si>
  <si>
    <t>331083293084</t>
  </si>
  <si>
    <t>NP20170215205933004483</t>
  </si>
  <si>
    <t>330994506672</t>
  </si>
  <si>
    <t>NP20170215205625722293</t>
  </si>
  <si>
    <t>fna170204175607513</t>
  </si>
  <si>
    <t>NI20170215205510734292</t>
  </si>
  <si>
    <t>331082233945</t>
  </si>
  <si>
    <t>NP20170215210040678467</t>
  </si>
  <si>
    <t>xep160731143520338</t>
  </si>
  <si>
    <t>NP20170215210158202435</t>
  </si>
  <si>
    <t>GD2017021521016502</t>
  </si>
  <si>
    <t>NI20170215210309671854</t>
  </si>
  <si>
    <t>xep161209092933617</t>
  </si>
  <si>
    <t>NP20170215210043501085</t>
  </si>
  <si>
    <t>331048244763</t>
  </si>
  <si>
    <t>NI20170215210334683930</t>
  </si>
  <si>
    <t>xep161207141617349</t>
  </si>
  <si>
    <t>NP20170215210512680580</t>
  </si>
  <si>
    <t>51160519104617</t>
  </si>
  <si>
    <t>NP20170215210450010223</t>
  </si>
  <si>
    <t>xep170131183127972</t>
  </si>
  <si>
    <t>NP20170215210530636543</t>
  </si>
  <si>
    <t>wml160706093543926</t>
  </si>
  <si>
    <t>NP20170215210606567805</t>
  </si>
  <si>
    <t>330998674516</t>
  </si>
  <si>
    <t>NP20170215210548159693</t>
  </si>
  <si>
    <t>120825160713</t>
  </si>
  <si>
    <t>NP20170215210636904131</t>
  </si>
  <si>
    <t>pzf160802105221823</t>
  </si>
  <si>
    <t>NP20170215210657105974</t>
  </si>
  <si>
    <t>330997254711</t>
  </si>
  <si>
    <t>NC20170215210711948292</t>
  </si>
  <si>
    <t>331083952085</t>
  </si>
  <si>
    <t>NP20170215210717653177</t>
  </si>
  <si>
    <t>ebb161121122604374</t>
  </si>
  <si>
    <t>NP20170215210733448044</t>
  </si>
  <si>
    <t>doa161124144740274</t>
  </si>
  <si>
    <t>NP20170215210603633787</t>
  </si>
  <si>
    <t>331083449983</t>
  </si>
  <si>
    <t>NP20170215210549455229</t>
  </si>
  <si>
    <t>yme161208151658360</t>
  </si>
  <si>
    <t>NP20170215210749789303</t>
  </si>
  <si>
    <t>xep161228230451143</t>
  </si>
  <si>
    <t>NP20170215210904591184</t>
  </si>
  <si>
    <t>ghc170214204412475</t>
  </si>
  <si>
    <t>NP20170215211051237774</t>
  </si>
  <si>
    <t>pzf161125230712457</t>
  </si>
  <si>
    <t>NP20170215211149881599</t>
  </si>
  <si>
    <t>330998737707</t>
  </si>
  <si>
    <t>NP20170215210540039233</t>
  </si>
  <si>
    <t>yyw170205113043504</t>
  </si>
  <si>
    <t>NP20170215210907460280</t>
  </si>
  <si>
    <t>klf170207171734571</t>
  </si>
  <si>
    <t>NC20170215211449564837</t>
  </si>
  <si>
    <t>nhq170212130748769</t>
  </si>
  <si>
    <t>NP20170215211456776999</t>
  </si>
  <si>
    <t>331003284002</t>
  </si>
  <si>
    <t>NP20170215211525168316</t>
  </si>
  <si>
    <t>331003775415</t>
  </si>
  <si>
    <t>NP20170215211135706929</t>
  </si>
  <si>
    <t>331083382658</t>
  </si>
  <si>
    <t>NP20170215211721411517</t>
  </si>
  <si>
    <t>331003045464</t>
  </si>
  <si>
    <t>NP20170215211431937708</t>
  </si>
  <si>
    <t>pma170128235813549</t>
  </si>
  <si>
    <t>NP20170215211408503459</t>
  </si>
  <si>
    <t>ffs170207111019263</t>
  </si>
  <si>
    <t>NP20170215211702120129</t>
  </si>
  <si>
    <t>nhq170203104737728</t>
  </si>
  <si>
    <t>NP20170215212313999655</t>
  </si>
  <si>
    <t>xep170203111302412</t>
  </si>
  <si>
    <t>NP20170215212326975211</t>
  </si>
  <si>
    <t>jqa170206164334413</t>
  </si>
  <si>
    <t>NP20170215212338608730</t>
  </si>
  <si>
    <t>xep170210125916558</t>
  </si>
  <si>
    <t>NC20170215212417300294</t>
  </si>
  <si>
    <t>331080711791</t>
  </si>
  <si>
    <t>NP20170215212547341038</t>
  </si>
  <si>
    <t>xep170205144918306</t>
  </si>
  <si>
    <t>NP20170215212533852980</t>
  </si>
  <si>
    <t>hiy170107102747707</t>
  </si>
  <si>
    <t>NC20170215212622572279</t>
  </si>
  <si>
    <t>331045441077</t>
  </si>
  <si>
    <t>NC20170215212649637856</t>
  </si>
  <si>
    <t>331083170772</t>
  </si>
  <si>
    <t>NP20170215212824639419</t>
  </si>
  <si>
    <t>xkx170215185107497</t>
  </si>
  <si>
    <t>p_3_136</t>
  </si>
  <si>
    <t>NP20170215213042190277</t>
  </si>
  <si>
    <t>20170213192839TF419</t>
  </si>
  <si>
    <t>NP20170215212711810561</t>
  </si>
  <si>
    <t>331061950125</t>
  </si>
  <si>
    <t>NI20170215212847964621</t>
  </si>
  <si>
    <t>331083973286</t>
  </si>
  <si>
    <t>NP20170215213209317182</t>
  </si>
  <si>
    <t>fny170211160900730</t>
  </si>
  <si>
    <t>NI20170215212156907719</t>
  </si>
  <si>
    <t>xpb170209200246571</t>
  </si>
  <si>
    <t>NP20170215213455348052</t>
  </si>
  <si>
    <t>cme170213130643088</t>
  </si>
  <si>
    <t>NP20170215213504567560</t>
  </si>
  <si>
    <t>cqh170215204312195</t>
  </si>
  <si>
    <t>NP20170215213617674939</t>
  </si>
  <si>
    <t>cqh170215204312194</t>
  </si>
  <si>
    <t>NP20170215213544952279</t>
  </si>
  <si>
    <t>xep170215174300362</t>
  </si>
  <si>
    <t>NP20170215213707162816</t>
  </si>
  <si>
    <t>zgc170215211046215</t>
  </si>
  <si>
    <t>NP20170215213726102535</t>
  </si>
  <si>
    <t>fny170211162324406</t>
  </si>
  <si>
    <t>NP20170215212234126775</t>
  </si>
  <si>
    <t>jql170211214310975</t>
  </si>
  <si>
    <t>NP20170215213810196332</t>
  </si>
  <si>
    <t>331080885011</t>
  </si>
  <si>
    <t>NP20170215213806679087</t>
  </si>
  <si>
    <t>331083685949</t>
  </si>
  <si>
    <t>NI20170215213512421324</t>
  </si>
  <si>
    <t>ffs170108222651658</t>
  </si>
  <si>
    <t>NP20170215213947562424</t>
  </si>
  <si>
    <t>fny170210122756666</t>
  </si>
  <si>
    <t>NP20170215213216106768</t>
  </si>
  <si>
    <t>pzf170215210808633</t>
  </si>
  <si>
    <t>NP20170215214045515087</t>
  </si>
  <si>
    <t>kom170203111513109</t>
  </si>
  <si>
    <t>NP20170215214003353841</t>
  </si>
  <si>
    <t>zgl170127114225008</t>
  </si>
  <si>
    <t>NC20170215214216058449</t>
  </si>
  <si>
    <t>sdc170210134250735</t>
  </si>
  <si>
    <t>NP20170215214043968687</t>
  </si>
  <si>
    <t>pzf170215212818877</t>
  </si>
  <si>
    <t>NP20170215214220085893</t>
  </si>
  <si>
    <t>ghc170215205101194</t>
  </si>
  <si>
    <t>NP20170215214241696605</t>
  </si>
  <si>
    <t>331082830688</t>
  </si>
  <si>
    <t>NP20170215214700888096</t>
  </si>
  <si>
    <t>331082314823</t>
  </si>
  <si>
    <t>NP20170215214904166506</t>
  </si>
  <si>
    <t>201610290854469296</t>
  </si>
  <si>
    <t>NP20170215214847174040</t>
  </si>
  <si>
    <t>scv170213180452198</t>
  </si>
  <si>
    <t>NC20170215215011009723</t>
  </si>
  <si>
    <t>331083588606</t>
  </si>
  <si>
    <t>NP20170215214714661692</t>
  </si>
  <si>
    <t>hfp170210131742743</t>
  </si>
  <si>
    <t>NP20170215214717747982</t>
  </si>
  <si>
    <t>331041232885</t>
  </si>
  <si>
    <t>NC20170215215312454673</t>
  </si>
  <si>
    <t>pzf170107173322746</t>
  </si>
  <si>
    <t>NP20170215215353207647</t>
  </si>
  <si>
    <t>nxw170122180915043</t>
  </si>
  <si>
    <t>NC20170215215419576170</t>
  </si>
  <si>
    <t>331068069364</t>
  </si>
  <si>
    <t>NP20170215215441371819</t>
  </si>
  <si>
    <t>sdc170203155437387</t>
  </si>
  <si>
    <t>NC20170215215519406529</t>
  </si>
  <si>
    <t>ghc170215152849941</t>
  </si>
  <si>
    <t>NP20170215215504088100</t>
  </si>
  <si>
    <t>srs170201155152391</t>
  </si>
  <si>
    <t>NP20170215215739934970</t>
  </si>
  <si>
    <t>ghc170205220142229</t>
  </si>
  <si>
    <t>NP20170215215455477552</t>
  </si>
  <si>
    <t>xep170210144100329</t>
  </si>
  <si>
    <t>NP20170215215831281945</t>
  </si>
  <si>
    <t>331083755708</t>
  </si>
  <si>
    <t>NP20170215220711820091</t>
  </si>
  <si>
    <t>330986441954</t>
  </si>
  <si>
    <t>NP20170215220814926565</t>
  </si>
  <si>
    <t>xep170204125609388</t>
  </si>
  <si>
    <t>NP20170215221056509856</t>
  </si>
  <si>
    <t>20170104000249TR958</t>
  </si>
  <si>
    <t>NC20170215221143721577</t>
  </si>
  <si>
    <t>331070663191</t>
  </si>
  <si>
    <t>NC20170215221456958954</t>
  </si>
  <si>
    <t>331070501156</t>
  </si>
  <si>
    <t>NI20170215220958220129</t>
  </si>
  <si>
    <t>ghc161231100419822</t>
  </si>
  <si>
    <t>NC20170215221725866750</t>
  </si>
  <si>
    <t>stc170215145625849</t>
  </si>
  <si>
    <t>NP20170215221830179747</t>
  </si>
  <si>
    <t>doa161225155518996</t>
  </si>
  <si>
    <t>NP20170215221819812096</t>
  </si>
  <si>
    <t>doa161130234457796</t>
  </si>
  <si>
    <t>NP20170215221930908053</t>
  </si>
  <si>
    <t>pzf170215221315926</t>
  </si>
  <si>
    <t>NP20170215222027364167</t>
  </si>
  <si>
    <t>doa170215215700763</t>
  </si>
  <si>
    <t>NC20170215222100648350</t>
  </si>
  <si>
    <t>331076633528</t>
  </si>
  <si>
    <t>NP20170215220205916167</t>
  </si>
  <si>
    <t>doa170203014833352</t>
  </si>
  <si>
    <t>NP20170215222059260270</t>
  </si>
  <si>
    <t>nhq170211192121004</t>
  </si>
  <si>
    <t>NP20170215222046707512</t>
  </si>
  <si>
    <t>331083458084</t>
  </si>
  <si>
    <t>NP20170215222241838507</t>
  </si>
  <si>
    <t>yqs170107135836154</t>
  </si>
  <si>
    <t>NI20170215220938453491</t>
  </si>
  <si>
    <t>tys170131121452294</t>
  </si>
  <si>
    <t>NC20170215222437630176</t>
  </si>
  <si>
    <t>331078282485</t>
  </si>
  <si>
    <t>NP20170215221941869329</t>
  </si>
  <si>
    <t>ghc170206203830279</t>
  </si>
  <si>
    <t>NP20170215222212393697</t>
  </si>
  <si>
    <t>yyw170204222655452</t>
  </si>
  <si>
    <t>NC20170215222740927858</t>
  </si>
  <si>
    <t>331083970908</t>
  </si>
  <si>
    <t>NC20170215222743083923</t>
  </si>
  <si>
    <t>sdc170215214146965</t>
  </si>
  <si>
    <t>NP20170215222514171524</t>
  </si>
  <si>
    <t>330994563605</t>
  </si>
  <si>
    <t>NC20170215222824938254</t>
  </si>
  <si>
    <t>331083855269</t>
  </si>
  <si>
    <t>NI20170215222052134198</t>
  </si>
  <si>
    <t>xep161223134957613</t>
  </si>
  <si>
    <t>NP20170215222809205709</t>
  </si>
  <si>
    <t>fna170205162704576</t>
  </si>
  <si>
    <t>NP20170215222509905719</t>
  </si>
  <si>
    <t>331083685954</t>
  </si>
  <si>
    <t>NI20170215222917857104</t>
  </si>
  <si>
    <t>331083304299</t>
  </si>
  <si>
    <t>NC20170215223024481500</t>
  </si>
  <si>
    <t>331077863099</t>
  </si>
  <si>
    <t>NC20170215223244596233</t>
  </si>
  <si>
    <t>bbw170215222522897</t>
  </si>
  <si>
    <t>NP20170215223231668669</t>
  </si>
  <si>
    <t>qyp170215221552576</t>
  </si>
  <si>
    <t>NP20170215223422937358</t>
  </si>
  <si>
    <t>331057868231</t>
  </si>
  <si>
    <t>NP20170215223133820500</t>
  </si>
  <si>
    <t>331082679805</t>
  </si>
  <si>
    <t>NC20170215223456778430</t>
  </si>
  <si>
    <t>pzf170215211108316</t>
  </si>
  <si>
    <t>NC20170215223508682308</t>
  </si>
  <si>
    <t>nhq170215220636267</t>
  </si>
  <si>
    <t>NP20170215223541913993</t>
  </si>
  <si>
    <t>20161211211124TR532</t>
  </si>
  <si>
    <t>NP20170215223610379481</t>
  </si>
  <si>
    <t>hiy170215220717428</t>
  </si>
  <si>
    <t>NP20170215223446086331</t>
  </si>
  <si>
    <t>wla170215222526908</t>
  </si>
  <si>
    <t>NC20170215223733888569</t>
  </si>
  <si>
    <t>hxz170215221930454</t>
  </si>
  <si>
    <t>NP20170215223742624689</t>
  </si>
  <si>
    <t>sys170215222133989</t>
  </si>
  <si>
    <t>NP20170215223812359588</t>
  </si>
  <si>
    <t>sys170215222133990</t>
  </si>
  <si>
    <t>NP20170215223748328874</t>
  </si>
  <si>
    <t>yqs170215223303654</t>
  </si>
  <si>
    <t>NC20170215224038541313</t>
  </si>
  <si>
    <t>331083233754</t>
  </si>
  <si>
    <t>NC20170215224102141840</t>
  </si>
  <si>
    <t>xuy170215195426581</t>
  </si>
  <si>
    <t>NP20170215223840679113</t>
  </si>
  <si>
    <t>pzf170215194715863</t>
  </si>
  <si>
    <t>NP20170215224137039745</t>
  </si>
  <si>
    <t>sme170215221903344</t>
  </si>
  <si>
    <t>NP20170215224154296147</t>
  </si>
  <si>
    <t>xyx170215212410583</t>
  </si>
  <si>
    <t>NP20170215224241625177</t>
  </si>
  <si>
    <t>xep170215212410584</t>
  </si>
  <si>
    <t>NP20170215224338157854</t>
  </si>
  <si>
    <t>331083431372</t>
  </si>
  <si>
    <t>NP20170215224604106520</t>
  </si>
  <si>
    <t>pzf170122091712437</t>
  </si>
  <si>
    <t>NC20170215224629720253</t>
  </si>
  <si>
    <t>klf170215221722945</t>
  </si>
  <si>
    <t>NP20170215224632351402</t>
  </si>
  <si>
    <t>yyw170210071100753</t>
  </si>
  <si>
    <t>NP20170215224503022646</t>
  </si>
  <si>
    <t>xuy170215200200368</t>
  </si>
  <si>
    <t>NP20170215224743497297</t>
  </si>
  <si>
    <t>331025794557</t>
  </si>
  <si>
    <t>NP20170215224723270882</t>
  </si>
  <si>
    <t>331083634289</t>
  </si>
  <si>
    <t>NP20170215225227390515</t>
  </si>
  <si>
    <t>331073411234</t>
  </si>
  <si>
    <t>NP20170215225223459368</t>
  </si>
  <si>
    <t>331025845720</t>
  </si>
  <si>
    <t>NP20170215225229369007</t>
  </si>
  <si>
    <t>xkw170214011743447</t>
  </si>
  <si>
    <t>NP20170215225329858700</t>
  </si>
  <si>
    <t>331080761140</t>
  </si>
  <si>
    <t>NP20170215225555938993</t>
  </si>
  <si>
    <t>331080169080</t>
  </si>
  <si>
    <t>NC20170215225658621433</t>
  </si>
  <si>
    <t>331083041180</t>
  </si>
  <si>
    <t>NC20170215225912407726</t>
  </si>
  <si>
    <t>331057572513</t>
  </si>
  <si>
    <t>NP20170215225747741937</t>
  </si>
  <si>
    <t>331082414842</t>
  </si>
  <si>
    <t>NP20170215230158572243</t>
  </si>
  <si>
    <t>xep170206162022157</t>
  </si>
  <si>
    <t>NP20170215225902851002</t>
  </si>
  <si>
    <t>331083397741</t>
  </si>
  <si>
    <t>NP20170215225849940499</t>
  </si>
  <si>
    <t>xep170215220518912</t>
  </si>
  <si>
    <t>NI20170215230147171361</t>
  </si>
  <si>
    <t>ysy170204084958112</t>
  </si>
  <si>
    <t>NP20170215225803179690</t>
  </si>
  <si>
    <t>331083540320</t>
  </si>
  <si>
    <t>bp_3_015</t>
  </si>
  <si>
    <t>NP20170215230244766827</t>
  </si>
  <si>
    <t>GD2017021523023436</t>
  </si>
  <si>
    <t>NC20170215230525584671</t>
  </si>
  <si>
    <t>331083438311</t>
  </si>
  <si>
    <t>NP20170215230248615932</t>
  </si>
  <si>
    <t>qyp170214000413543</t>
  </si>
  <si>
    <t>NP20170215231224254241</t>
  </si>
  <si>
    <t>sdc170206191512524</t>
  </si>
  <si>
    <t>NP20170215231246979818</t>
  </si>
  <si>
    <t>hiy170118091818435</t>
  </si>
  <si>
    <t>NP20170215231303599701</t>
  </si>
  <si>
    <t>hiy170113003418919</t>
  </si>
  <si>
    <t>NI20170215231337476920</t>
  </si>
  <si>
    <t>20170215173337WE152</t>
  </si>
  <si>
    <t>NP20170215230642801364</t>
  </si>
  <si>
    <t>331014772889</t>
  </si>
  <si>
    <t>NP20170215232018347863</t>
  </si>
  <si>
    <t>pzf170108124119560</t>
  </si>
  <si>
    <t>NP20170215231519807773</t>
  </si>
  <si>
    <t>331083648746</t>
  </si>
  <si>
    <t>NP20170215232500935143</t>
  </si>
  <si>
    <t>hxg170215164837269</t>
  </si>
  <si>
    <t>NI20170215232455697417</t>
  </si>
  <si>
    <t>xep170215232027444</t>
  </si>
  <si>
    <t>NP20170215232605072375</t>
  </si>
  <si>
    <t>331082505104</t>
  </si>
  <si>
    <t>NC20170215233041852327</t>
  </si>
  <si>
    <t>pzf170202184914319</t>
  </si>
  <si>
    <t>NP20170215232721232152</t>
  </si>
  <si>
    <t>331083585175</t>
  </si>
  <si>
    <t>NC20170215233351429205</t>
  </si>
  <si>
    <t>331080907243</t>
  </si>
  <si>
    <t>NP20170215233010542064</t>
  </si>
  <si>
    <t>srs170110123217719</t>
  </si>
  <si>
    <t>NP20170215232458044361</t>
  </si>
  <si>
    <t>pzf170204110132923</t>
  </si>
  <si>
    <t>NP20170215233516666936</t>
  </si>
  <si>
    <t>xep170214070545542</t>
  </si>
  <si>
    <t>NP20170215233305563281</t>
  </si>
  <si>
    <t>331083493062</t>
  </si>
  <si>
    <t>NP20170215233603009921</t>
  </si>
  <si>
    <t>nhq170207191153136</t>
  </si>
  <si>
    <t>NC20170215233754814863</t>
  </si>
  <si>
    <t>czc170215142616881</t>
  </si>
  <si>
    <t>NP20170215234046895366</t>
  </si>
  <si>
    <t>rnf170215120028625</t>
  </si>
  <si>
    <t>NP20170215234142914754</t>
  </si>
  <si>
    <t>xuy170213095832772</t>
  </si>
  <si>
    <t>NP20170215234006931941</t>
  </si>
  <si>
    <t>hxg170215232958099</t>
  </si>
  <si>
    <t>NP20170215234551662667</t>
  </si>
  <si>
    <t>jah170214080145203</t>
  </si>
  <si>
    <t>NI20170215234423301510</t>
  </si>
  <si>
    <t>331083239296</t>
  </si>
  <si>
    <t>NP20170215234737549930</t>
  </si>
  <si>
    <t>331083607123</t>
  </si>
  <si>
    <t>NP20170215234914329523</t>
  </si>
  <si>
    <t>lbh170215185734104</t>
  </si>
  <si>
    <t>NI20170215234719740062</t>
  </si>
  <si>
    <t>ffs161208230934428</t>
  </si>
  <si>
    <t>NP20170215235034148534</t>
  </si>
  <si>
    <t>yyw170209160405025</t>
  </si>
  <si>
    <t>NP20170215235013149584</t>
  </si>
  <si>
    <t>GD2017021523505216</t>
  </si>
  <si>
    <t>NI20170215234926150810</t>
  </si>
  <si>
    <t>331015770476</t>
  </si>
  <si>
    <t>NI20170215234954262667</t>
  </si>
  <si>
    <t>srs170210140921716</t>
  </si>
  <si>
    <t>NP20170216000403802248</t>
  </si>
  <si>
    <t>pxn170210134255754</t>
  </si>
  <si>
    <t>NP20170216000234999513</t>
  </si>
  <si>
    <t>331083430326</t>
  </si>
  <si>
    <t>NP20170216000802733154</t>
  </si>
  <si>
    <t>331083106445</t>
  </si>
  <si>
    <t>NP20170216002030748419</t>
  </si>
  <si>
    <t>hiy170215235424882</t>
  </si>
  <si>
    <t>NC20170216002539904300</t>
  </si>
  <si>
    <t>hiy170214091436213</t>
  </si>
  <si>
    <t>NP20170216002617718263</t>
  </si>
  <si>
    <t>331084984209</t>
  </si>
  <si>
    <t>NP20170216002503177181</t>
  </si>
  <si>
    <t>wmq170212204252756</t>
  </si>
  <si>
    <t>NP20170216003721539590</t>
  </si>
  <si>
    <t>331084498206</t>
  </si>
  <si>
    <t>NI20170216003458295150</t>
  </si>
  <si>
    <t>hiy170215134252710</t>
  </si>
  <si>
    <t>NP20170216002754669811</t>
  </si>
  <si>
    <t>ysh170126112727234</t>
  </si>
  <si>
    <t>NP20170216002057899014</t>
  </si>
  <si>
    <t>331078744193</t>
  </si>
  <si>
    <t>NP20170216004147090182</t>
  </si>
  <si>
    <t>nhq170214063449580</t>
  </si>
  <si>
    <t>NP20170216003553346009</t>
  </si>
  <si>
    <t>xep170216002157472</t>
  </si>
  <si>
    <t>NI20170216001424277183</t>
  </si>
  <si>
    <t>ymz170216000840101</t>
  </si>
  <si>
    <t>NP20170216002937914875</t>
  </si>
  <si>
    <t>331083493043</t>
  </si>
  <si>
    <t>NI20170216003802393874</t>
  </si>
  <si>
    <t>xep170206151220030</t>
  </si>
  <si>
    <t>NP20170216004452038893</t>
  </si>
  <si>
    <t>331083853288</t>
  </si>
  <si>
    <t>NP20170216002746579989</t>
  </si>
  <si>
    <t>doa170106184646796</t>
  </si>
  <si>
    <t>NP20170216003700943958</t>
  </si>
  <si>
    <t>xep170213082824394</t>
  </si>
  <si>
    <t>NP20170216004644266898</t>
  </si>
  <si>
    <t>xep170215232051507</t>
  </si>
  <si>
    <t>NP20170216004704686005</t>
  </si>
  <si>
    <t>331062923404</t>
  </si>
  <si>
    <t>NI20170216004039628013</t>
  </si>
  <si>
    <t>331083871755</t>
  </si>
  <si>
    <t>NP20170216005525089341</t>
  </si>
  <si>
    <t>331083475401</t>
  </si>
  <si>
    <t>NP20170216000837464742</t>
  </si>
  <si>
    <t>sdc170212190403685</t>
  </si>
  <si>
    <t>NI20170216002028631358</t>
  </si>
  <si>
    <t>331083758219</t>
  </si>
  <si>
    <t>NP20170216010107624829</t>
  </si>
  <si>
    <t>331001212074</t>
  </si>
  <si>
    <t>NP20170216005216961805</t>
  </si>
  <si>
    <t>hxg170206093952482</t>
  </si>
  <si>
    <t>NP20170216004213715142</t>
  </si>
  <si>
    <t>nhq170216003457733</t>
  </si>
  <si>
    <t>NP20170216012630196675</t>
  </si>
  <si>
    <t>xep170216003505753</t>
  </si>
  <si>
    <t>p_3_138</t>
  </si>
  <si>
    <t>NP20170216012421206896</t>
  </si>
  <si>
    <t>fna170203000537657</t>
  </si>
  <si>
    <t>NP20170216010815433678</t>
  </si>
  <si>
    <t>srs170115215042622</t>
  </si>
  <si>
    <t>NC20170216014611848210</t>
  </si>
  <si>
    <t>331084171797</t>
  </si>
  <si>
    <t>NP20170216015342091742</t>
  </si>
  <si>
    <t>331084514193</t>
  </si>
  <si>
    <t>NI20170216013637221816</t>
  </si>
  <si>
    <t>doa170204084453272</t>
  </si>
  <si>
    <t>NP20170216020035591939</t>
  </si>
  <si>
    <t>20170215092525TF585</t>
  </si>
  <si>
    <t>NC20170216023207901910</t>
  </si>
  <si>
    <t>331084952481</t>
  </si>
  <si>
    <t>NP20170216023305544306</t>
  </si>
  <si>
    <t>xep170215143852166</t>
  </si>
  <si>
    <t>NI20170216025618266009</t>
  </si>
  <si>
    <t>331083406751</t>
  </si>
  <si>
    <t>NI20170216030025888467</t>
  </si>
  <si>
    <t>331077704899</t>
  </si>
  <si>
    <t>NP20170216030200595729</t>
  </si>
  <si>
    <t>331074196059</t>
  </si>
  <si>
    <t>NC20170216033828093637</t>
  </si>
  <si>
    <t>ffs170216032206121</t>
  </si>
  <si>
    <t>NC20170216033928235963</t>
  </si>
  <si>
    <t>331083640175</t>
  </si>
  <si>
    <t>NC20170216045026195007</t>
  </si>
  <si>
    <t>pzf170210101646493</t>
  </si>
  <si>
    <t>NP20170216045027135102</t>
  </si>
  <si>
    <t>331048232740</t>
  </si>
  <si>
    <t>NP20170216050724270746</t>
  </si>
  <si>
    <t>331080385123</t>
  </si>
  <si>
    <t>NC20170216052334721898</t>
  </si>
  <si>
    <t>331027635099</t>
  </si>
  <si>
    <t>NP20170216052647697586</t>
  </si>
  <si>
    <t>hiy170216051247328</t>
  </si>
  <si>
    <t>NP20170216053201712784</t>
  </si>
  <si>
    <t>hiy170214135827832</t>
  </si>
  <si>
    <t>NP20170216053727159979</t>
  </si>
  <si>
    <t>331084634392</t>
  </si>
  <si>
    <t>NP20170216050352483157</t>
  </si>
  <si>
    <t>331084485631</t>
  </si>
  <si>
    <t>NP20170216053803711109</t>
  </si>
  <si>
    <t>201701240957511649</t>
  </si>
  <si>
    <t>NP20170216054508621140</t>
  </si>
  <si>
    <t>qyn170209112459289</t>
  </si>
  <si>
    <t>NP20170216064133565772</t>
  </si>
  <si>
    <t>doa170216062502345</t>
  </si>
  <si>
    <t>NP20170216062453294579</t>
  </si>
  <si>
    <t>czl170215132111163</t>
  </si>
  <si>
    <t>NP20170216065500554461</t>
  </si>
  <si>
    <t>ysh170119120207867</t>
  </si>
  <si>
    <t>NP20170216064254127358</t>
  </si>
  <si>
    <t>sxz170215181057988</t>
  </si>
  <si>
    <t>NP20170216070159502629</t>
  </si>
  <si>
    <t>331083933735</t>
  </si>
  <si>
    <t>NP20170216065852666094</t>
  </si>
  <si>
    <t>GD2017021606585611</t>
  </si>
  <si>
    <t>NC20170216072459510002</t>
  </si>
  <si>
    <t>331013141473</t>
  </si>
  <si>
    <t>NC20170216072649608406</t>
  </si>
  <si>
    <t>331084855442</t>
  </si>
  <si>
    <t>NP20170216073014750804</t>
  </si>
  <si>
    <t>331084781280</t>
  </si>
  <si>
    <t>NC20170216072640675083</t>
  </si>
  <si>
    <t>hiy170213060815552</t>
  </si>
  <si>
    <t>NC20170216074740176478</t>
  </si>
  <si>
    <t>331083152030</t>
  </si>
  <si>
    <t>NP20170216072440676444</t>
  </si>
  <si>
    <t>nhq170202185337210</t>
  </si>
  <si>
    <t>NP20170216074802757837</t>
  </si>
  <si>
    <t>331084123135</t>
  </si>
  <si>
    <t>NC20170216074852656876</t>
  </si>
  <si>
    <t>doa161119120215529</t>
  </si>
  <si>
    <t>NP20170216074912948240</t>
  </si>
  <si>
    <t>sub170210084851859</t>
  </si>
  <si>
    <t>NC20170216075401783902</t>
  </si>
  <si>
    <t>331082549251</t>
  </si>
  <si>
    <t>NP20170216074740278699</t>
  </si>
  <si>
    <t>331057439072</t>
  </si>
  <si>
    <t>NI20170216075439397470</t>
  </si>
  <si>
    <t>2017012915484580</t>
  </si>
  <si>
    <t>NP20170216075608743698</t>
  </si>
  <si>
    <t>xep170204162253346</t>
  </si>
  <si>
    <t>NP20170216075603459406</t>
  </si>
  <si>
    <t>sat170215101918170</t>
  </si>
  <si>
    <t>NP20170216075836146644</t>
  </si>
  <si>
    <t>331072092369</t>
  </si>
  <si>
    <t>NP20170216080057584034</t>
  </si>
  <si>
    <t>331054865405</t>
  </si>
  <si>
    <t>NP20170216080153954106</t>
  </si>
  <si>
    <t>yck170207130543461</t>
  </si>
  <si>
    <t>NP20170216073851309574</t>
  </si>
  <si>
    <t>sub170212142909318</t>
  </si>
  <si>
    <t>NP20170216080344798024</t>
  </si>
  <si>
    <t>xep170215095845189</t>
  </si>
  <si>
    <t>NP20170216080622899831</t>
  </si>
  <si>
    <t>nhq170203230944934</t>
  </si>
  <si>
    <t>NP20170216075947662641</t>
  </si>
  <si>
    <t>pzf170212145418327</t>
  </si>
  <si>
    <t>NC20170216081925589316</t>
  </si>
  <si>
    <t>doa170210192227035</t>
  </si>
  <si>
    <t>NP20170216080954569388</t>
  </si>
  <si>
    <t>knd170213212508131</t>
  </si>
  <si>
    <t>NC20170216082248633144</t>
  </si>
  <si>
    <t>sdc170205172700542</t>
  </si>
  <si>
    <t>NC20170216082323427076</t>
  </si>
  <si>
    <t>331076842804</t>
  </si>
  <si>
    <t>NP20170216082208969447</t>
  </si>
  <si>
    <t>331083575383</t>
  </si>
  <si>
    <t>NP20170216082337267737</t>
  </si>
  <si>
    <t>331083932389</t>
  </si>
  <si>
    <t>NP20170216082252303491</t>
  </si>
  <si>
    <t>qdu170216081719682</t>
  </si>
  <si>
    <t>NC20170216082520149641</t>
  </si>
  <si>
    <t>201701260906032812</t>
  </si>
  <si>
    <t>NP20170216082109466157</t>
  </si>
  <si>
    <t>liy170104102710300</t>
  </si>
  <si>
    <t>NC20170216082558910512</t>
  </si>
  <si>
    <t>fna170214193955409</t>
  </si>
  <si>
    <t>NP20170216082628464897</t>
  </si>
  <si>
    <t>xuy170212182409283</t>
  </si>
  <si>
    <t>NP20170216081658494663</t>
  </si>
  <si>
    <t>czc170215094910598</t>
  </si>
  <si>
    <t>NP20170216082720785034</t>
  </si>
  <si>
    <t>331082413843</t>
  </si>
  <si>
    <t>NP20170216082242044462</t>
  </si>
  <si>
    <t>pmo160812172957508</t>
  </si>
  <si>
    <t>NP20170216082836953663</t>
  </si>
  <si>
    <t>czl160802193746239</t>
  </si>
  <si>
    <t>NC20170216083230732551</t>
  </si>
  <si>
    <t>doa161223131427220</t>
  </si>
  <si>
    <t>NC20170216083344643790</t>
  </si>
  <si>
    <t>doa170216082806087</t>
  </si>
  <si>
    <t>NC20170216083426538973</t>
  </si>
  <si>
    <t>xep170215235401836</t>
  </si>
  <si>
    <t>NP20170216082607913014</t>
  </si>
  <si>
    <t>331049736284</t>
  </si>
  <si>
    <t>NI20170216081801336926</t>
  </si>
  <si>
    <t>20170206000037TZ950</t>
  </si>
  <si>
    <t>NC20170216083638105970</t>
  </si>
  <si>
    <t>331057181632</t>
  </si>
  <si>
    <t>NC20170216083807546110</t>
  </si>
  <si>
    <t>doa170113132403610</t>
  </si>
  <si>
    <t>NP20170216083735597097</t>
  </si>
  <si>
    <t>pzf170212015059106</t>
  </si>
  <si>
    <t>NP20170216083952502671</t>
  </si>
  <si>
    <t>331033809217</t>
  </si>
  <si>
    <t>NC20170216084013957948</t>
  </si>
  <si>
    <t>331084798950</t>
  </si>
  <si>
    <t>NC20170216084029086041</t>
  </si>
  <si>
    <t>331083199527</t>
  </si>
  <si>
    <t>NP20170216083925244573</t>
  </si>
  <si>
    <t>xep170208095337464</t>
  </si>
  <si>
    <t>NP20170216082611414790</t>
  </si>
  <si>
    <t>331083840729</t>
  </si>
  <si>
    <t>NC20170216084208154861</t>
  </si>
  <si>
    <t>331083948468</t>
  </si>
  <si>
    <t>NI20170216083730133880</t>
  </si>
  <si>
    <t>sme170216003455731</t>
  </si>
  <si>
    <t>NP20170216084259234856</t>
  </si>
  <si>
    <t>ghc170120114533976</t>
  </si>
  <si>
    <t>NP20170216084312103946</t>
  </si>
  <si>
    <t>wyh161219141441607</t>
  </si>
  <si>
    <t>NP20170216083913081159</t>
  </si>
  <si>
    <t>xuy170202131304784</t>
  </si>
  <si>
    <t>NP20170216083318017676</t>
  </si>
  <si>
    <t>srs170207174945919</t>
  </si>
  <si>
    <t>NC20170216084510913677</t>
  </si>
  <si>
    <t>331082117127</t>
  </si>
  <si>
    <t>NP20170216084445936794</t>
  </si>
  <si>
    <t>331071981759</t>
  </si>
  <si>
    <t>NP20170216084401796448</t>
  </si>
  <si>
    <t>xep170214152946717</t>
  </si>
  <si>
    <t>NP20170216084752722897</t>
  </si>
  <si>
    <t>xep161227215233874</t>
  </si>
  <si>
    <t>NP20170216084900296621</t>
  </si>
  <si>
    <t>hiy161227215551833</t>
  </si>
  <si>
    <t>NP20170216084215632800</t>
  </si>
  <si>
    <t>mhw170124204925837</t>
  </si>
  <si>
    <t>NC20170216085136485797</t>
  </si>
  <si>
    <t>330999889666</t>
  </si>
  <si>
    <t>NI20170216082538074413</t>
  </si>
  <si>
    <t>QDCUZM</t>
  </si>
  <si>
    <t>NP20170216085110607152</t>
  </si>
  <si>
    <t>qyn161229170709689</t>
  </si>
  <si>
    <t>NI20170216083817943787</t>
  </si>
  <si>
    <t>331019776582</t>
  </si>
  <si>
    <t>NP20170216085156318135</t>
  </si>
  <si>
    <t>hxg170103102736962</t>
  </si>
  <si>
    <t>NC20170216085228765374</t>
  </si>
  <si>
    <t>doa170205170902625</t>
  </si>
  <si>
    <t>NC20170216085234328843</t>
  </si>
  <si>
    <t>cua170210112621605</t>
  </si>
  <si>
    <t>NC20170216085238629402</t>
  </si>
  <si>
    <t>51170216386697</t>
  </si>
  <si>
    <t>NP20170216084006315997</t>
  </si>
  <si>
    <t>ypl170117231630887</t>
  </si>
  <si>
    <t>NP20170216085343611055</t>
  </si>
  <si>
    <t>xep170101111338226</t>
  </si>
  <si>
    <t>NP20170216083825762180</t>
  </si>
  <si>
    <t>hiy170121111710049</t>
  </si>
  <si>
    <t>NP20170216083250763953</t>
  </si>
  <si>
    <t>hga170212230837648</t>
  </si>
  <si>
    <t>NC20170216085446863482</t>
  </si>
  <si>
    <t>nhq170210123323210</t>
  </si>
  <si>
    <t>NP20170216084620031196</t>
  </si>
  <si>
    <t>331060799317</t>
  </si>
  <si>
    <t>NP20170216085507079626</t>
  </si>
  <si>
    <t>xep170114220914904</t>
  </si>
  <si>
    <t>NP20170216084937988966</t>
  </si>
  <si>
    <t>ppg170126130617669</t>
  </si>
  <si>
    <t>NI20170216083835895634</t>
  </si>
  <si>
    <t>xuy170216083308760</t>
  </si>
  <si>
    <t>NP20170216081246903687</t>
  </si>
  <si>
    <t>fhr170204084109659</t>
  </si>
  <si>
    <t>NP20170216085605046981</t>
  </si>
  <si>
    <t>331069700759</t>
  </si>
  <si>
    <t>NP20170216083314141159</t>
  </si>
  <si>
    <t>xhp170104093929479</t>
  </si>
  <si>
    <t>NP20170216085619158637</t>
  </si>
  <si>
    <t>pmo170119114610581</t>
  </si>
  <si>
    <t>NP20170216082943547728</t>
  </si>
  <si>
    <t>nhq170211122331344</t>
  </si>
  <si>
    <t>NP20170216085819742904</t>
  </si>
  <si>
    <t>331047327759</t>
  </si>
  <si>
    <t>NP20170216085145679697</t>
  </si>
  <si>
    <t>xep170125202103552</t>
  </si>
  <si>
    <t>NP20170216085217848056</t>
  </si>
  <si>
    <t>dzc170213192558025</t>
  </si>
  <si>
    <t>NI20170216083647949663</t>
  </si>
  <si>
    <t>hxg170124124439108</t>
  </si>
  <si>
    <t>NP20170216084324495457</t>
  </si>
  <si>
    <t>xep170111082106972</t>
  </si>
  <si>
    <t>NP20170216090054127025</t>
  </si>
  <si>
    <t>xep170212171013601</t>
  </si>
  <si>
    <t>NP20170216085735912805</t>
  </si>
  <si>
    <t>331053151050</t>
  </si>
  <si>
    <t>NP20170216090100424968</t>
  </si>
  <si>
    <t>xgx170110230904933</t>
  </si>
  <si>
    <t>NC20170216083132833326</t>
  </si>
  <si>
    <t>xkx170215114006475</t>
  </si>
  <si>
    <t>NP20170216083022818245</t>
  </si>
  <si>
    <t>xep170206113117204</t>
  </si>
  <si>
    <t>NP20170216083023923118</t>
  </si>
  <si>
    <t>xgx170108103650922</t>
  </si>
  <si>
    <t>NP20170216090317929362</t>
  </si>
  <si>
    <t>201701261630368854</t>
  </si>
  <si>
    <t>NP20170216090636157174</t>
  </si>
  <si>
    <t>xep170111164928155</t>
  </si>
  <si>
    <t>NC20170216090724790932</t>
  </si>
  <si>
    <t>xep170215134217517</t>
  </si>
  <si>
    <t>NP20170216090621575729</t>
  </si>
  <si>
    <t>sbk170213132558720</t>
  </si>
  <si>
    <t>NP20170216090655069933</t>
  </si>
  <si>
    <t>331083259140</t>
  </si>
  <si>
    <t>NP20170216091034760098</t>
  </si>
  <si>
    <t>331077884681</t>
  </si>
  <si>
    <t>NP20170216090852313581</t>
  </si>
  <si>
    <t>hiy161229235226906</t>
  </si>
  <si>
    <t>NP20170216090451769250</t>
  </si>
  <si>
    <t>331083553841</t>
  </si>
  <si>
    <t>NP20170216090647065670</t>
  </si>
  <si>
    <t>hyd170208100035347</t>
  </si>
  <si>
    <t>NP20170216091430416686</t>
  </si>
  <si>
    <t>hyd170208095945119</t>
  </si>
  <si>
    <t>NP20170216091357794414</t>
  </si>
  <si>
    <t>ghc161125134431954</t>
  </si>
  <si>
    <t>NP20170216091335388611</t>
  </si>
  <si>
    <t>cfs161228134411702</t>
  </si>
  <si>
    <t>NP20170216091733279618</t>
  </si>
  <si>
    <t>hij161231110423688</t>
  </si>
  <si>
    <t>NP20170216091748526003</t>
  </si>
  <si>
    <t>ppg161231110708441</t>
  </si>
  <si>
    <t>NP20170216091429707149</t>
  </si>
  <si>
    <t>xpb170119185123935</t>
  </si>
  <si>
    <t>NP20170216090733029156</t>
  </si>
  <si>
    <t>xep170214174540515</t>
  </si>
  <si>
    <t>NP20170216091811031446</t>
  </si>
  <si>
    <t>ysy170102091542229</t>
  </si>
  <si>
    <t>NP20170216091830752797</t>
  </si>
  <si>
    <t>ysy170102091542230</t>
  </si>
  <si>
    <t>NP20170216091936859526</t>
  </si>
  <si>
    <t>xep170103091851792</t>
  </si>
  <si>
    <t>NP20170216091839416487</t>
  </si>
  <si>
    <t>srs170214142758370</t>
  </si>
  <si>
    <t>NP20170216092001152562</t>
  </si>
  <si>
    <t>xep170103115334195</t>
  </si>
  <si>
    <t>NP20170216092025356644</t>
  </si>
  <si>
    <t>xuy170103131501802</t>
  </si>
  <si>
    <t>NI20170216090953086460</t>
  </si>
  <si>
    <t>bbw170209141116763</t>
  </si>
  <si>
    <t>NI20170216091829498731</t>
  </si>
  <si>
    <t>xuy170213233349664</t>
  </si>
  <si>
    <t>NP20170216092038530367</t>
  </si>
  <si>
    <t>xep170103155219382</t>
  </si>
  <si>
    <t>NP20170216092014380348</t>
  </si>
  <si>
    <t>yyw170216090708605</t>
  </si>
  <si>
    <t>NP20170216091929761479</t>
  </si>
  <si>
    <t>GD2017021609199637</t>
  </si>
  <si>
    <t>NP20170216091117830185</t>
  </si>
  <si>
    <t>hiy161216154809239</t>
  </si>
  <si>
    <t>NP20170216092334237382</t>
  </si>
  <si>
    <t>pzf170103160008789</t>
  </si>
  <si>
    <t>NP20170216092354372719</t>
  </si>
  <si>
    <t>pzf170105124606611</t>
  </si>
  <si>
    <t>NP20170216092406365287</t>
  </si>
  <si>
    <t>srs170105151515655</t>
  </si>
  <si>
    <t>NP20170216092419564042</t>
  </si>
  <si>
    <t>xep170105153518603</t>
  </si>
  <si>
    <t>NP20170216092432262066</t>
  </si>
  <si>
    <t>pzf170107114855807</t>
  </si>
  <si>
    <t>NP20170216092445389699</t>
  </si>
  <si>
    <t>ysh170108092450951</t>
  </si>
  <si>
    <t>NP20170216092507743671</t>
  </si>
  <si>
    <t>ppg170110102701163</t>
  </si>
  <si>
    <t>NP20170216092403482602</t>
  </si>
  <si>
    <t>xep170131185620541</t>
  </si>
  <si>
    <t>NI20170216092315830026</t>
  </si>
  <si>
    <t>ysy170120203333440</t>
  </si>
  <si>
    <t>NP20170216091905814174</t>
  </si>
  <si>
    <t>331049565513</t>
  </si>
  <si>
    <t>NP20170216092155862739</t>
  </si>
  <si>
    <t>331049772025</t>
  </si>
  <si>
    <t>NP20170216092414422066</t>
  </si>
  <si>
    <t>331065802634</t>
  </si>
  <si>
    <t>NP20170216092501000148</t>
  </si>
  <si>
    <t>pzf170216091410099</t>
  </si>
  <si>
    <t>NI20170216092147864599</t>
  </si>
  <si>
    <t>331083772047</t>
  </si>
  <si>
    <t>NP20170216092353666292</t>
  </si>
  <si>
    <t>nhq170118111909067</t>
  </si>
  <si>
    <t>NP20170216092052466793</t>
  </si>
  <si>
    <t>ffs170210095630996</t>
  </si>
  <si>
    <t>NP20170216092758049616</t>
  </si>
  <si>
    <t>ysy170110131959501</t>
  </si>
  <si>
    <t>NP20170216092813507987</t>
  </si>
  <si>
    <t>ysy170110131959499</t>
  </si>
  <si>
    <t>NP20170216091527402722</t>
  </si>
  <si>
    <t>hxg170215171217421</t>
  </si>
  <si>
    <t>NP20170216092827701013</t>
  </si>
  <si>
    <t>wyh170111110301553</t>
  </si>
  <si>
    <t>NP20170216092831139858</t>
  </si>
  <si>
    <t>201611141227153K096</t>
  </si>
  <si>
    <t>NP20170216092842251261</t>
  </si>
  <si>
    <t>yyw170111110428977</t>
  </si>
  <si>
    <t>NP20170216091827412399</t>
  </si>
  <si>
    <t>331083946743</t>
  </si>
  <si>
    <t>NP20170216092859715706</t>
  </si>
  <si>
    <t>xep170111133518599</t>
  </si>
  <si>
    <t>NP20170216092912912427</t>
  </si>
  <si>
    <t>ghc170111161432949</t>
  </si>
  <si>
    <t>NP20170216092654186129</t>
  </si>
  <si>
    <t>kmb170121170720723</t>
  </si>
  <si>
    <t>NP20170216092347578689</t>
  </si>
  <si>
    <t>doa161207101949076</t>
  </si>
  <si>
    <t>NI20170216092617710533</t>
  </si>
  <si>
    <t>331076587560</t>
  </si>
  <si>
    <t>NP20170216093224250950</t>
  </si>
  <si>
    <t>yyw170129152027515</t>
  </si>
  <si>
    <t>NC20170216093309894802</t>
  </si>
  <si>
    <t>331083072416</t>
  </si>
  <si>
    <t>NP20170216092553871708</t>
  </si>
  <si>
    <t>GD2017021609251685</t>
  </si>
  <si>
    <t>NP20170216092436207086</t>
  </si>
  <si>
    <t>201611211551313K367</t>
  </si>
  <si>
    <t>NC20170216093424223268</t>
  </si>
  <si>
    <t>doa170129160013972</t>
  </si>
  <si>
    <t>NP20170216090829486039</t>
  </si>
  <si>
    <t>thk170211202421720</t>
  </si>
  <si>
    <t>NI20170216093547136832</t>
  </si>
  <si>
    <t>331084868159</t>
  </si>
  <si>
    <t>NP20170216093602569882</t>
  </si>
  <si>
    <t>xuy170114142709757</t>
  </si>
  <si>
    <t>NP20170216093614413908</t>
  </si>
  <si>
    <t>hij170115160836277</t>
  </si>
  <si>
    <t>NI20170216093614659389</t>
  </si>
  <si>
    <t>331084178956</t>
  </si>
  <si>
    <t>NP20170216093640898678</t>
  </si>
  <si>
    <t>xep170116194736052</t>
  </si>
  <si>
    <t>NP20170216091629864350</t>
  </si>
  <si>
    <t>hiy170212144855274</t>
  </si>
  <si>
    <t>NP20170216092652149130</t>
  </si>
  <si>
    <t>xep170215191835040</t>
  </si>
  <si>
    <t>NP20170216092513682085</t>
  </si>
  <si>
    <t>331083732650</t>
  </si>
  <si>
    <t>NP20170216092507658900</t>
  </si>
  <si>
    <t>xep170214213222165</t>
  </si>
  <si>
    <t>NP20170216093855492524</t>
  </si>
  <si>
    <t>331026526407</t>
  </si>
  <si>
    <t>NP20170216093142774167</t>
  </si>
  <si>
    <t>xhp170206162007090</t>
  </si>
  <si>
    <t>NP20170216092738426227</t>
  </si>
  <si>
    <t>xep170215180406407</t>
  </si>
  <si>
    <t>NP20170216093157948043</t>
  </si>
  <si>
    <t>doa170110105053245</t>
  </si>
  <si>
    <t>NP20170216093814899264</t>
  </si>
  <si>
    <t>331084762236</t>
  </si>
  <si>
    <t>NC20170216094232399585</t>
  </si>
  <si>
    <t>sdc170216092450458</t>
  </si>
  <si>
    <t>NP20170216094036988896</t>
  </si>
  <si>
    <t>331083661640</t>
  </si>
  <si>
    <t>NC20170216094618401429</t>
  </si>
  <si>
    <t>hiy170206150452023</t>
  </si>
  <si>
    <t>NP20170216094532073245</t>
  </si>
  <si>
    <t>xep170209234037377</t>
  </si>
  <si>
    <t>NP20170216094257168258</t>
  </si>
  <si>
    <t>ghc170119094604845</t>
  </si>
  <si>
    <t>NP20170216093802471022</t>
  </si>
  <si>
    <t>sme170213173622990</t>
  </si>
  <si>
    <t>NP20170216094852802830</t>
  </si>
  <si>
    <t>czl170212204125482</t>
  </si>
  <si>
    <t>NP20170216093919755647</t>
  </si>
  <si>
    <t>xep170216093631258</t>
  </si>
  <si>
    <t>NP20170216094703923109</t>
  </si>
  <si>
    <t>lua170213150557899</t>
  </si>
  <si>
    <t>NC20170216095017845694</t>
  </si>
  <si>
    <t>ghc161227182217409</t>
  </si>
  <si>
    <t>NC20170216095017756646</t>
  </si>
  <si>
    <t>tjf170212194526467</t>
  </si>
  <si>
    <t>NP20170216094821603888</t>
  </si>
  <si>
    <t>xep161230210331781</t>
  </si>
  <si>
    <t>NP20170216094502704680</t>
  </si>
  <si>
    <t>331083941932</t>
  </si>
  <si>
    <t>NP20170216095126018805</t>
  </si>
  <si>
    <t>nhq170207101858598</t>
  </si>
  <si>
    <t>NP20170216094839529232</t>
  </si>
  <si>
    <t>doa170216083900704</t>
  </si>
  <si>
    <t>NP20170216091044522175</t>
  </si>
  <si>
    <t>ghc170207114131825</t>
  </si>
  <si>
    <t>NP20170216094029481465</t>
  </si>
  <si>
    <t>xep170214083618337</t>
  </si>
  <si>
    <t>NC20170216095225969341</t>
  </si>
  <si>
    <t>xxk170212203852939</t>
  </si>
  <si>
    <t>NP20170216093620838772</t>
  </si>
  <si>
    <t>yfu170211100006940</t>
  </si>
  <si>
    <t>NP20170216094702736708</t>
  </si>
  <si>
    <t>nhq170203120052798</t>
  </si>
  <si>
    <t>NP20170216095243897099</t>
  </si>
  <si>
    <t>331083974065</t>
  </si>
  <si>
    <t>NP20170216095407943372</t>
  </si>
  <si>
    <t>klf170208135412517</t>
  </si>
  <si>
    <t>NP20170216093555596812</t>
  </si>
  <si>
    <t>331078032950</t>
  </si>
  <si>
    <t>NP20170216095446953127</t>
  </si>
  <si>
    <t>xxk170118130328285</t>
  </si>
  <si>
    <t>NP20170216093521214180</t>
  </si>
  <si>
    <t>331074644356</t>
  </si>
  <si>
    <t>NP20170216095500242899</t>
  </si>
  <si>
    <t>tys170120111334094</t>
  </si>
  <si>
    <t>NP20170216095512512250</t>
  </si>
  <si>
    <t>doa170122103831678</t>
  </si>
  <si>
    <t>NP20170216095512712162</t>
  </si>
  <si>
    <t>yyw170207101651938</t>
  </si>
  <si>
    <t>NP20170216092910148626</t>
  </si>
  <si>
    <t>C1702150067216</t>
  </si>
  <si>
    <t>NP20170216095031307970</t>
  </si>
  <si>
    <t>sdc170111155252159</t>
  </si>
  <si>
    <t>NP20170216095526279321</t>
  </si>
  <si>
    <t>yyw170131092451376</t>
  </si>
  <si>
    <t>NP20170216095539757562</t>
  </si>
  <si>
    <t>czc170131092845111</t>
  </si>
  <si>
    <t>NP20170216095551785647</t>
  </si>
  <si>
    <t>xuy170131092954348</t>
  </si>
  <si>
    <t>NP20170216094359548313</t>
  </si>
  <si>
    <t>331051799750</t>
  </si>
  <si>
    <t>NP20170216094115066380</t>
  </si>
  <si>
    <t>xep170211224626183</t>
  </si>
  <si>
    <t>NI20170216094713600465</t>
  </si>
  <si>
    <t>331083404672</t>
  </si>
  <si>
    <t>NP20170216095058500631</t>
  </si>
  <si>
    <t>xuy170215211720838</t>
  </si>
  <si>
    <t>NP20170216090332281626</t>
  </si>
  <si>
    <t>331040448790</t>
  </si>
  <si>
    <t>NP20170216095707987379</t>
  </si>
  <si>
    <t>xuy170205154206644</t>
  </si>
  <si>
    <t>NC20170216095751992097</t>
  </si>
  <si>
    <t>MHLTTS-QYF3MUYVSE</t>
  </si>
  <si>
    <t>NI20170216095711040489</t>
  </si>
  <si>
    <t>ylr170214203908421</t>
  </si>
  <si>
    <t>NP20170216095348832318</t>
  </si>
  <si>
    <t>331062580254</t>
  </si>
  <si>
    <t>NI20170216093802921013</t>
  </si>
  <si>
    <t>sdc170131213534723</t>
  </si>
  <si>
    <t>NP20170216095721531067</t>
  </si>
  <si>
    <t>tyx170210201928768</t>
  </si>
  <si>
    <t>NP20170216094744617772</t>
  </si>
  <si>
    <t>pzf170128084555719</t>
  </si>
  <si>
    <t>NP20170216095812024878</t>
  </si>
  <si>
    <t>hiy170211114057523</t>
  </si>
  <si>
    <t>NP20170216095855922990</t>
  </si>
  <si>
    <t>pzf170215171907209</t>
  </si>
  <si>
    <t>NI20170216095615910514</t>
  </si>
  <si>
    <t>331084472872</t>
  </si>
  <si>
    <t>NP20170216095713312784</t>
  </si>
  <si>
    <t>hiy170121210001068</t>
  </si>
  <si>
    <t>NP20170216095934016829</t>
  </si>
  <si>
    <t>czl170212223424726</t>
  </si>
  <si>
    <t>NP20170216095912679730</t>
  </si>
  <si>
    <t>331083540335</t>
  </si>
  <si>
    <t>NP20170216095130977416</t>
  </si>
  <si>
    <t>ghc170206170931916</t>
  </si>
  <si>
    <t>NP20170216094020919383</t>
  </si>
  <si>
    <t>331083744155</t>
  </si>
  <si>
    <t>NP20170216091940663929</t>
  </si>
  <si>
    <t>rnf170207133003762</t>
  </si>
  <si>
    <t>NP20170216093906122918</t>
  </si>
  <si>
    <t>nhq170119095424868</t>
  </si>
  <si>
    <t>NP20170216100039785013</t>
  </si>
  <si>
    <t>qyp170213204448952</t>
  </si>
  <si>
    <t>NI20170216094026640579</t>
  </si>
  <si>
    <t>doa170121221517456</t>
  </si>
  <si>
    <t>NC20170216100150514444</t>
  </si>
  <si>
    <t>hmk170205202126877</t>
  </si>
  <si>
    <t>NP20170216090558224680</t>
  </si>
  <si>
    <t>ysy170215184622328</t>
  </si>
  <si>
    <t>NP20170216100214877878</t>
  </si>
  <si>
    <t>xep170202090056084</t>
  </si>
  <si>
    <t>NP20170216100217573177</t>
  </si>
  <si>
    <t>331060688828</t>
  </si>
  <si>
    <t>NP20170216095843360158</t>
  </si>
  <si>
    <t>331056751989</t>
  </si>
  <si>
    <t>NI20170216100128591531</t>
  </si>
  <si>
    <t>nhq170216091540447</t>
  </si>
  <si>
    <t>NP20170216091518426322</t>
  </si>
  <si>
    <t>yyw170202211315174</t>
  </si>
  <si>
    <t>NI20170216094018980467</t>
  </si>
  <si>
    <t>xep170122094642336</t>
  </si>
  <si>
    <t>NI20170216092117113554</t>
  </si>
  <si>
    <t>ghc161221203729565</t>
  </si>
  <si>
    <t>NP20170216095424389169</t>
  </si>
  <si>
    <t>xep170109171944892</t>
  </si>
  <si>
    <t>NI20170216093832288552</t>
  </si>
  <si>
    <t>0065488652</t>
  </si>
  <si>
    <t>NP20170216093327699070</t>
  </si>
  <si>
    <t>331060724896</t>
  </si>
  <si>
    <t>NP20170216092541544751</t>
  </si>
  <si>
    <t>331082543819</t>
  </si>
  <si>
    <t>NP20170216100318979281</t>
  </si>
  <si>
    <t>xep170215081835344</t>
  </si>
  <si>
    <t>NP20170216100322009314</t>
  </si>
  <si>
    <t>0062966331</t>
  </si>
  <si>
    <t>NC20170216100457304551</t>
  </si>
  <si>
    <t>xfz170215001406620</t>
  </si>
  <si>
    <t>NC20170216100501371380</t>
  </si>
  <si>
    <t>doa170213114747751</t>
  </si>
  <si>
    <t>NP20170216100932899177</t>
  </si>
  <si>
    <t>xep161224101818171</t>
  </si>
  <si>
    <t>NC20170216101500445100</t>
  </si>
  <si>
    <t>fzy170216074141793</t>
  </si>
  <si>
    <t>NP20170216101142592824</t>
  </si>
  <si>
    <t>xep170210215611407</t>
  </si>
  <si>
    <t>NP20170216101206537918</t>
  </si>
  <si>
    <t>xuy170215185917962</t>
  </si>
  <si>
    <t>NP20170216101137619796</t>
  </si>
  <si>
    <t>doa170216093217229</t>
  </si>
  <si>
    <t>NP20170216101000276681</t>
  </si>
  <si>
    <t>jtg170213100625911</t>
  </si>
  <si>
    <t>NP20170216101248388681</t>
  </si>
  <si>
    <t>xep170114192549676</t>
  </si>
  <si>
    <t>NP20170216101650772908</t>
  </si>
  <si>
    <t>hiy170205111408670</t>
  </si>
  <si>
    <t>NI20170216101142389606</t>
  </si>
  <si>
    <t>pzf170215125332284</t>
  </si>
  <si>
    <t>NP20170216101638054348</t>
  </si>
  <si>
    <t>xuy170120082502822</t>
  </si>
  <si>
    <t>NC20170216101756697233</t>
  </si>
  <si>
    <t>xxk170216091333972</t>
  </si>
  <si>
    <t>NC20170216101511711754</t>
  </si>
  <si>
    <t>srs170216093231301</t>
  </si>
  <si>
    <t>NC20170216101839942361</t>
  </si>
  <si>
    <t>sjb170207174023593</t>
  </si>
  <si>
    <t>NC20170216102017808726</t>
  </si>
  <si>
    <t>pzf170211211452964</t>
  </si>
  <si>
    <t>NP20170216101356117748</t>
  </si>
  <si>
    <t>nxw161222141739341</t>
  </si>
  <si>
    <t>NC20170216102059369940</t>
  </si>
  <si>
    <t>xep170213083823620</t>
  </si>
  <si>
    <t>NC20170216102419403776</t>
  </si>
  <si>
    <t>doa170207085455888</t>
  </si>
  <si>
    <t>NP20170216102210005324</t>
  </si>
  <si>
    <t>331079026381</t>
  </si>
  <si>
    <t>NP20170216102058527952</t>
  </si>
  <si>
    <t>xep170117105116525</t>
  </si>
  <si>
    <t>NP20170216102215047026</t>
  </si>
  <si>
    <t>hiy170215132645739</t>
  </si>
  <si>
    <t>NC20170216102618530468</t>
  </si>
  <si>
    <t>ylr170209123131050</t>
  </si>
  <si>
    <t>NP20170216102614750557</t>
  </si>
  <si>
    <t>fny170206103428926</t>
  </si>
  <si>
    <t>NP20170216102504097904</t>
  </si>
  <si>
    <t>cdh170207163617431</t>
  </si>
  <si>
    <t>NP20170216101505846824</t>
  </si>
  <si>
    <t>xep170212125708404</t>
  </si>
  <si>
    <t>NC20170216102812220719</t>
  </si>
  <si>
    <t>331052967797</t>
  </si>
  <si>
    <t>NC20170216102847207855</t>
  </si>
  <si>
    <t>tjf170120224947986</t>
  </si>
  <si>
    <t>NP20170216101905085066</t>
  </si>
  <si>
    <t>pma170207171149066</t>
  </si>
  <si>
    <t>NC20170216102947149351</t>
  </si>
  <si>
    <t>kuq170107011021577ea3f2</t>
  </si>
  <si>
    <t>NP20170216102556127973</t>
  </si>
  <si>
    <t>xep170202115742592</t>
  </si>
  <si>
    <t>NP20170216102542705839</t>
  </si>
  <si>
    <t>tcx140817164801707</t>
  </si>
  <si>
    <t>NP20170216103012095562</t>
  </si>
  <si>
    <t>ysh161122133511690</t>
  </si>
  <si>
    <t>NP20170216102753554075</t>
  </si>
  <si>
    <t>hiy161127155039859</t>
  </si>
  <si>
    <t>NP20170216103032197466</t>
  </si>
  <si>
    <t>ysh160722134114402</t>
  </si>
  <si>
    <t>NP20170216103050611517</t>
  </si>
  <si>
    <t>201607191705233344</t>
  </si>
  <si>
    <t>NP20170216102544680166</t>
  </si>
  <si>
    <t>tjf170212195054505</t>
  </si>
  <si>
    <t>NP20170216103119294724</t>
  </si>
  <si>
    <t>pma160620130954439</t>
  </si>
  <si>
    <t>NP20170216101824918802</t>
  </si>
  <si>
    <t>pma170210144139513</t>
  </si>
  <si>
    <t>NP20170216103104864725</t>
  </si>
  <si>
    <t>xwy160714154652494</t>
  </si>
  <si>
    <t>NP20170216103142165750</t>
  </si>
  <si>
    <t>czc160516162853624</t>
  </si>
  <si>
    <t>NI20170216102239586263</t>
  </si>
  <si>
    <t>330983862472</t>
  </si>
  <si>
    <t>NP20170216102932796267</t>
  </si>
  <si>
    <t>331029861955</t>
  </si>
  <si>
    <t>NP20170216103158727751</t>
  </si>
  <si>
    <t>yal160316170519691</t>
  </si>
  <si>
    <t>NP20170216103244132390</t>
  </si>
  <si>
    <t>pzf170213122404554</t>
  </si>
  <si>
    <t>NP20170216101040172046</t>
  </si>
  <si>
    <t>sme170128143320250</t>
  </si>
  <si>
    <t>NP20170216102928084392</t>
  </si>
  <si>
    <t>331080629325</t>
  </si>
  <si>
    <t>NI20170216101317214303</t>
  </si>
  <si>
    <t>xep161207120736929</t>
  </si>
  <si>
    <t>NP20170216103129785995</t>
  </si>
  <si>
    <t>tjf170124111802062</t>
  </si>
  <si>
    <t>NC20170216103517959388</t>
  </si>
  <si>
    <t>nhq170216101837201</t>
  </si>
  <si>
    <t>NP20170216103012612115</t>
  </si>
  <si>
    <t>331078654098</t>
  </si>
  <si>
    <t>NP20170216101046822276</t>
  </si>
  <si>
    <t>hiy170205113710305</t>
  </si>
  <si>
    <t>NP20170216103442783472</t>
  </si>
  <si>
    <t>doa170215163242150</t>
  </si>
  <si>
    <t>NP20170216103736425266</t>
  </si>
  <si>
    <t>xes161123135452828e374a</t>
  </si>
  <si>
    <t>NC20170216104041260201</t>
  </si>
  <si>
    <t>xep170206103936531</t>
  </si>
  <si>
    <t>NP20170216103544825008</t>
  </si>
  <si>
    <t>330965031703</t>
  </si>
  <si>
    <t>NP20170216103715026357</t>
  </si>
  <si>
    <t>sdc170128210026920</t>
  </si>
  <si>
    <t>NP20170216103414733288</t>
  </si>
  <si>
    <t>xep170215111936220</t>
  </si>
  <si>
    <t>NP20170216104029247038</t>
  </si>
  <si>
    <t>doa170215155523954</t>
  </si>
  <si>
    <t>NP20170216104039481888</t>
  </si>
  <si>
    <t>scv170115141205727</t>
  </si>
  <si>
    <t>NP20170216103423250007</t>
  </si>
  <si>
    <t>jql170215185333086</t>
  </si>
  <si>
    <t>NP20170216104013203225</t>
  </si>
  <si>
    <t>xuy170208132442228</t>
  </si>
  <si>
    <t>NI20170216104349719901</t>
  </si>
  <si>
    <t>yme170214152400780</t>
  </si>
  <si>
    <t>NI20170216100744371972</t>
  </si>
  <si>
    <t>mhl170215103322218</t>
  </si>
  <si>
    <t>NP20170216104207970446</t>
  </si>
  <si>
    <t>doa170216103703853</t>
  </si>
  <si>
    <t>NI20170216103708877901</t>
  </si>
  <si>
    <t>ebb170203081934862</t>
  </si>
  <si>
    <t>NP20170216102824777187</t>
  </si>
  <si>
    <t>sxz170216095050090</t>
  </si>
  <si>
    <t>NP20170216100156004021</t>
  </si>
  <si>
    <t>331048188749</t>
  </si>
  <si>
    <t>NC20170216104655787711</t>
  </si>
  <si>
    <t>hiy170216102008660</t>
  </si>
  <si>
    <t>NP20170216104109280389</t>
  </si>
  <si>
    <t>yyw161127093552812</t>
  </si>
  <si>
    <t>NP20170216104637520867</t>
  </si>
  <si>
    <t>xep170216101233358</t>
  </si>
  <si>
    <t>NI20170216104118985835</t>
  </si>
  <si>
    <t>yyw170114091615146</t>
  </si>
  <si>
    <t>NP20170216104230730731</t>
  </si>
  <si>
    <t>xep170216101802033</t>
  </si>
  <si>
    <t>NP20170216100947111043</t>
  </si>
  <si>
    <t>qyp170212130339884</t>
  </si>
  <si>
    <t>NP20170216104741327265</t>
  </si>
  <si>
    <t>GD2017021610470741</t>
  </si>
  <si>
    <t>NP20170216091139319364</t>
  </si>
  <si>
    <t>331067746598</t>
  </si>
  <si>
    <t>NP20170216104808112358</t>
  </si>
  <si>
    <t>axo170210125706912</t>
  </si>
  <si>
    <t>NI20170216104128753687</t>
  </si>
  <si>
    <t>xep170116094350796</t>
  </si>
  <si>
    <t>NP20170216102958997255</t>
  </si>
  <si>
    <t>20170215214651TF138</t>
  </si>
  <si>
    <t>NP20170216104545849628</t>
  </si>
  <si>
    <t>ghc170205172101205</t>
  </si>
  <si>
    <t>NP20170216104802580182</t>
  </si>
  <si>
    <t>sbk170213193658571</t>
  </si>
  <si>
    <t>NP20170216102519193244</t>
  </si>
  <si>
    <t>xep161211164546296</t>
  </si>
  <si>
    <t>NP20170216104637188141</t>
  </si>
  <si>
    <t>xpb170205171728402</t>
  </si>
  <si>
    <t>NP20170216102715446878</t>
  </si>
  <si>
    <t>xep161211152523570</t>
  </si>
  <si>
    <t>NI20170216105112400006</t>
  </si>
  <si>
    <t>ghc170105224940877</t>
  </si>
  <si>
    <t>NP20170216101735383139</t>
  </si>
  <si>
    <t>331083238688</t>
  </si>
  <si>
    <t>NP20170216101440044829</t>
  </si>
  <si>
    <t>xep170123135028256</t>
  </si>
  <si>
    <t>NP20170216104452681249</t>
  </si>
  <si>
    <t>ghc161106085106908</t>
  </si>
  <si>
    <t>NP20170216102530670773</t>
  </si>
  <si>
    <t>tjf170212200050489</t>
  </si>
  <si>
    <t>NP20170216104739844282</t>
  </si>
  <si>
    <t>331083579917</t>
  </si>
  <si>
    <t>NP20170216103845647093</t>
  </si>
  <si>
    <t>fny170125204445142</t>
  </si>
  <si>
    <t>NP20170216105015278871</t>
  </si>
  <si>
    <t>331084899027</t>
  </si>
  <si>
    <t>NI20170216101412181618</t>
  </si>
  <si>
    <t>331083641136</t>
  </si>
  <si>
    <t>NP20170216103233221910</t>
  </si>
  <si>
    <t>xep170203201159246</t>
  </si>
  <si>
    <t>NP20170216100157725057</t>
  </si>
  <si>
    <t>20170216095115TF617</t>
  </si>
  <si>
    <t>NC20170216105625610114</t>
  </si>
  <si>
    <t>jyk170216104920775</t>
  </si>
  <si>
    <t>NI20170216105342597901</t>
  </si>
  <si>
    <t>xxk170111200843285</t>
  </si>
  <si>
    <t>NP20170216105117613296</t>
  </si>
  <si>
    <t>331084588317</t>
  </si>
  <si>
    <t>NP20170216100906271176</t>
  </si>
  <si>
    <t>xep161119114415947</t>
  </si>
  <si>
    <t>NP20170216103609854110</t>
  </si>
  <si>
    <t>fnf161123135452820eb709</t>
  </si>
  <si>
    <t>NP20170216100845774703</t>
  </si>
  <si>
    <t>GD2017021610083935</t>
  </si>
  <si>
    <t>NP20170216102729768139</t>
  </si>
  <si>
    <t>scv170206173942789</t>
  </si>
  <si>
    <t>NC20170216110007450359</t>
  </si>
  <si>
    <t>sub170204171411427</t>
  </si>
  <si>
    <t>NP20170216103546648967</t>
  </si>
  <si>
    <t>ghc170209141644273</t>
  </si>
  <si>
    <t>NP20170216105951845740</t>
  </si>
  <si>
    <t>pzf170110132941300</t>
  </si>
  <si>
    <t>NP20170216105407207489</t>
  </si>
  <si>
    <t>dzc170212121014331</t>
  </si>
  <si>
    <t>NP20170216110024266497</t>
  </si>
  <si>
    <t>hiy170122133720812</t>
  </si>
  <si>
    <t>NP20170216105149245001</t>
  </si>
  <si>
    <t>sdc161021101434971</t>
  </si>
  <si>
    <t>NP20170216104533666071</t>
  </si>
  <si>
    <t>xep161209073442700</t>
  </si>
  <si>
    <t>NP20170216104446723539</t>
  </si>
  <si>
    <t>nhq170212190814470</t>
  </si>
  <si>
    <t>NP20170216110146152390</t>
  </si>
  <si>
    <t>mir170216103650788</t>
  </si>
  <si>
    <t>NP20170216103533627167</t>
  </si>
  <si>
    <t>ghc170216100429042</t>
  </si>
  <si>
    <t>NP20170216101839020758</t>
  </si>
  <si>
    <t>rnf161205175230106</t>
  </si>
  <si>
    <t>NP20170216110043348745</t>
  </si>
  <si>
    <t>330992525818</t>
  </si>
  <si>
    <t>NI20170216110039366855</t>
  </si>
  <si>
    <t>xep170123194951778</t>
  </si>
  <si>
    <t>NP20170216110217977892</t>
  </si>
  <si>
    <t>xep170124095908881</t>
  </si>
  <si>
    <t>NC20170216110245119122</t>
  </si>
  <si>
    <t>xep170216105003992</t>
  </si>
  <si>
    <t>p_3_009</t>
  </si>
  <si>
    <t>NC20170216102752027809</t>
  </si>
  <si>
    <t>331081456858</t>
  </si>
  <si>
    <t>NP20170216101246320392</t>
  </si>
  <si>
    <t>331033939198</t>
  </si>
  <si>
    <t>NI20170216105013478637</t>
  </si>
  <si>
    <t>nhq170121123330785</t>
  </si>
  <si>
    <t>NP20170216105133737259</t>
  </si>
  <si>
    <t>sdc170120170014746</t>
  </si>
  <si>
    <t>NP20170216102258837822</t>
  </si>
  <si>
    <t>sdc170209173859868</t>
  </si>
  <si>
    <t>NP20170216105023270442</t>
  </si>
  <si>
    <t>xep170216091507319</t>
  </si>
  <si>
    <t>NI20170216104922753085</t>
  </si>
  <si>
    <t>331084917840</t>
  </si>
  <si>
    <t>NP20170216104608982596</t>
  </si>
  <si>
    <t>331083853749</t>
  </si>
  <si>
    <t>NP20170216110517114001</t>
  </si>
  <si>
    <t>xep170116122621435</t>
  </si>
  <si>
    <t>NP20170216110231595292</t>
  </si>
  <si>
    <t>330930811215</t>
  </si>
  <si>
    <t>NI20170216105448917991</t>
  </si>
  <si>
    <t>tlh170213151909590</t>
  </si>
  <si>
    <t>NI20170216110255265386</t>
  </si>
  <si>
    <t>sly170214165810756</t>
  </si>
  <si>
    <t>NI20170216110502320419</t>
  </si>
  <si>
    <t>xep161215175354349</t>
  </si>
  <si>
    <t>NC20170216111054840729</t>
  </si>
  <si>
    <t>xep170216110549075</t>
  </si>
  <si>
    <t>NP20170216110909510551</t>
  </si>
  <si>
    <t>ado170216104224566</t>
  </si>
  <si>
    <t>NP20170216110813328618</t>
  </si>
  <si>
    <t>xep170210140053494</t>
  </si>
  <si>
    <t>NC20170216111247494011</t>
  </si>
  <si>
    <t>kom170126134049529</t>
  </si>
  <si>
    <t>NP20170216111050858592</t>
  </si>
  <si>
    <t>xep170203112145383</t>
  </si>
  <si>
    <t>NP20170216110215429304</t>
  </si>
  <si>
    <t>cgz170216105637096</t>
  </si>
  <si>
    <t>NP20170216110940077345</t>
  </si>
  <si>
    <t>cqh170204221805438</t>
  </si>
  <si>
    <t>NC20170216111508818851</t>
  </si>
  <si>
    <t>hmk170215123438677</t>
  </si>
  <si>
    <t>NP20170216111026375135</t>
  </si>
  <si>
    <t>xep170214122215144</t>
  </si>
  <si>
    <t>NC20170216111648340480</t>
  </si>
  <si>
    <t>scv161217092909261</t>
  </si>
  <si>
    <t>NP20170216111034875386</t>
  </si>
  <si>
    <t>xep161223174012276</t>
  </si>
  <si>
    <t>NI20170216110827528998</t>
  </si>
  <si>
    <t>xep170216100331749</t>
  </si>
  <si>
    <t>NP20170216111556319487</t>
  </si>
  <si>
    <t>fzy170207155230520</t>
  </si>
  <si>
    <t>NI20170216111407934560</t>
  </si>
  <si>
    <t>hiy170118150935866</t>
  </si>
  <si>
    <t>NP20170216111410171429</t>
  </si>
  <si>
    <t>xep170113101020754</t>
  </si>
  <si>
    <t>NP20170216111541065225</t>
  </si>
  <si>
    <t>czc170215214522868</t>
  </si>
  <si>
    <t>NP20170216111327857005</t>
  </si>
  <si>
    <t>ltg170213181126796</t>
  </si>
  <si>
    <t>NP20170216111918660662</t>
  </si>
  <si>
    <t>xuy170208134619344</t>
  </si>
  <si>
    <t>NP20170216111805692789</t>
  </si>
  <si>
    <t>xpb170211200651601</t>
  </si>
  <si>
    <t>NP20170216111317206231</t>
  </si>
  <si>
    <t>xep170213093910832</t>
  </si>
  <si>
    <t>NP20170216111855473473</t>
  </si>
  <si>
    <t>331048754923</t>
  </si>
  <si>
    <t>NP20170216112040194801</t>
  </si>
  <si>
    <t>nhq170216091928261</t>
  </si>
  <si>
    <t>NC20170216112143776742</t>
  </si>
  <si>
    <t>331084501768</t>
  </si>
  <si>
    <t>NP20170216111843914636</t>
  </si>
  <si>
    <t>doa170212134455106</t>
  </si>
  <si>
    <t>NP20170216111647431168</t>
  </si>
  <si>
    <t>GD2017021611168794</t>
  </si>
  <si>
    <t>NP20170216112159097595</t>
  </si>
  <si>
    <t>hiy170124134404442</t>
  </si>
  <si>
    <t>NP20170216111602456501</t>
  </si>
  <si>
    <t>kmz170206103026628</t>
  </si>
  <si>
    <t>NP20170216111550050145</t>
  </si>
  <si>
    <t>xep170216111124928</t>
  </si>
  <si>
    <t>NP20170216112500565309</t>
  </si>
  <si>
    <t>hiy170212104811312</t>
  </si>
  <si>
    <t>NC20170216112511855943</t>
  </si>
  <si>
    <t>wmj170206154357484</t>
  </si>
  <si>
    <t>NP20170216111140543079</t>
  </si>
  <si>
    <t>hiy170119184526658</t>
  </si>
  <si>
    <t>NP20170216112457158425</t>
  </si>
  <si>
    <t>20170201200741TZ204</t>
  </si>
  <si>
    <t>NP20170216112546114780</t>
  </si>
  <si>
    <t>hiy170212105023873</t>
  </si>
  <si>
    <t>NP20170216112557470016</t>
  </si>
  <si>
    <t>20170120160110TZ447</t>
  </si>
  <si>
    <t>NP20170216111934351790</t>
  </si>
  <si>
    <t>nhq161226114815196</t>
  </si>
  <si>
    <t>NP20170216110617627709</t>
  </si>
  <si>
    <t>doa170213131440457</t>
  </si>
  <si>
    <t>NP20170216112639912597</t>
  </si>
  <si>
    <t>20170113104717TZ885</t>
  </si>
  <si>
    <t>NP20170216112504594399</t>
  </si>
  <si>
    <t>pgl170216111430940</t>
  </si>
  <si>
    <t>NP20170216112650692866</t>
  </si>
  <si>
    <t>xep170215072342675</t>
  </si>
  <si>
    <t>NP20170216112733108920</t>
  </si>
  <si>
    <t>20170110000912TZ908</t>
  </si>
  <si>
    <t>NP20170216112752448818</t>
  </si>
  <si>
    <t>331038306911</t>
  </si>
  <si>
    <t>NC20170216112806310173</t>
  </si>
  <si>
    <t>331075839468</t>
  </si>
  <si>
    <t>NP20170216112807973803</t>
  </si>
  <si>
    <t>331032882752</t>
  </si>
  <si>
    <t>NP20170216112317233461</t>
  </si>
  <si>
    <t>nhq170120211556742</t>
  </si>
  <si>
    <t>NP20170216113021607150</t>
  </si>
  <si>
    <t>330986949968</t>
  </si>
  <si>
    <t>NP20170216112741025196</t>
  </si>
  <si>
    <t>20170213133315OZ220</t>
  </si>
  <si>
    <t>NP20170216112920180794</t>
  </si>
  <si>
    <t>GD2017021611290029</t>
  </si>
  <si>
    <t>NP20170216110323280224</t>
  </si>
  <si>
    <t>mxw170113095650175</t>
  </si>
  <si>
    <t>NP20170216111759560839</t>
  </si>
  <si>
    <t>hiy161226113454461</t>
  </si>
  <si>
    <t>NP20170216111312682702</t>
  </si>
  <si>
    <t>sub170214175227052</t>
  </si>
  <si>
    <t>NP20170216113235293122</t>
  </si>
  <si>
    <t>ffs170112100019571</t>
  </si>
  <si>
    <t>NP20170216111351819365</t>
  </si>
  <si>
    <t>doa170210160051212</t>
  </si>
  <si>
    <t>NP20170216111503514534</t>
  </si>
  <si>
    <t>331079076471</t>
  </si>
  <si>
    <t>NP20170216113132073917</t>
  </si>
  <si>
    <t>xuy170212085606717</t>
  </si>
  <si>
    <t>NP20170216113240263329</t>
  </si>
  <si>
    <t>chu170216112817522</t>
  </si>
  <si>
    <t>NP20170216113346094585</t>
  </si>
  <si>
    <t>doa170210160353961</t>
  </si>
  <si>
    <t>NP20170216110556483206</t>
  </si>
  <si>
    <t>xep170124095911683</t>
  </si>
  <si>
    <t>NP20170216110621451230</t>
  </si>
  <si>
    <t>doa170210084902891</t>
  </si>
  <si>
    <t>NP20170216110204547592</t>
  </si>
  <si>
    <t>330996893413</t>
  </si>
  <si>
    <t>NP20170216113243131073</t>
  </si>
  <si>
    <t>330992063439</t>
  </si>
  <si>
    <t>NP20170216111259925905</t>
  </si>
  <si>
    <t>331084294741</t>
  </si>
  <si>
    <t>NI20170216112521345466</t>
  </si>
  <si>
    <t>C1702160025224</t>
  </si>
  <si>
    <t>NI20170216112742726597</t>
  </si>
  <si>
    <t>C1702160027717</t>
  </si>
  <si>
    <t>NP20170216112836197703</t>
  </si>
  <si>
    <t>sme170208120502202</t>
  </si>
  <si>
    <t>NP20170216112958460171</t>
  </si>
  <si>
    <t>hiy170214070702587</t>
  </si>
  <si>
    <t>NP20170216113621712315</t>
  </si>
  <si>
    <t>cqh170115104027116</t>
  </si>
  <si>
    <t>NI20170216110238556019</t>
  </si>
  <si>
    <t>xep170208000559705</t>
  </si>
  <si>
    <t>NP20170216112752144027</t>
  </si>
  <si>
    <t>201702062128087482</t>
  </si>
  <si>
    <t>NP20170216112804527009</t>
  </si>
  <si>
    <t>ghc170107180223508</t>
  </si>
  <si>
    <t>NP20170216105921635469</t>
  </si>
  <si>
    <t>yfu170212172235999</t>
  </si>
  <si>
    <t>NP20170216112605297512</t>
  </si>
  <si>
    <t>201702062039067314</t>
  </si>
  <si>
    <t>NP20170216111008929568</t>
  </si>
  <si>
    <t>hiy170209213053710</t>
  </si>
  <si>
    <t>NC20170216113906201991</t>
  </si>
  <si>
    <t>331083180809</t>
  </si>
  <si>
    <t>NI20170216113911971487</t>
  </si>
  <si>
    <t>331027077905</t>
  </si>
  <si>
    <t>NP20170216112434202799</t>
  </si>
  <si>
    <t>hiy170207183305832</t>
  </si>
  <si>
    <t>NP20170216110609135790</t>
  </si>
  <si>
    <t>xep170205165705091</t>
  </si>
  <si>
    <t>NC20170216114007906686</t>
  </si>
  <si>
    <t>331077882698</t>
  </si>
  <si>
    <t>NI20170216111611962382</t>
  </si>
  <si>
    <t>nhq170215221238780</t>
  </si>
  <si>
    <t>NP20170216113333695586</t>
  </si>
  <si>
    <t>201701171814513K020</t>
  </si>
  <si>
    <t>NI20170216114023883223</t>
  </si>
  <si>
    <t>doa170214204849448</t>
  </si>
  <si>
    <t>NP20170216113829284151</t>
  </si>
  <si>
    <t>xep170215161614612</t>
  </si>
  <si>
    <t>NP20170216113753471416</t>
  </si>
  <si>
    <t>331083588609</t>
  </si>
  <si>
    <t>NP20170216113721649202</t>
  </si>
  <si>
    <t>xep170216105525704</t>
  </si>
  <si>
    <t>NP20170216111712107993</t>
  </si>
  <si>
    <t>nxw161211210440287</t>
  </si>
  <si>
    <t>NI20170216113909790403</t>
  </si>
  <si>
    <t>nhq170213091840291</t>
  </si>
  <si>
    <t>NI20170216113119105959</t>
  </si>
  <si>
    <t>331040789076</t>
  </si>
  <si>
    <t>NP20170216113915664098</t>
  </si>
  <si>
    <t>331078718640</t>
  </si>
  <si>
    <t>NI20170216112634472158</t>
  </si>
  <si>
    <t>331040684500</t>
  </si>
  <si>
    <t>NP20170216114113768370</t>
  </si>
  <si>
    <t>doa170129172448409</t>
  </si>
  <si>
    <t>NI20170216114237164921</t>
  </si>
  <si>
    <t>xep170215152659444</t>
  </si>
  <si>
    <t>NP20170216110856085114</t>
  </si>
  <si>
    <t>331084480630</t>
  </si>
  <si>
    <t>NP20170216111153590558</t>
  </si>
  <si>
    <t>331083233739</t>
  </si>
  <si>
    <t>NP20170216111218786408</t>
  </si>
  <si>
    <t>331083899085</t>
  </si>
  <si>
    <t>NP20170216114102120851</t>
  </si>
  <si>
    <t>xep170210115154309</t>
  </si>
  <si>
    <t>NP20170216114134806811</t>
  </si>
  <si>
    <t>xep170213235017159</t>
  </si>
  <si>
    <t>NI20170216111810894970</t>
  </si>
  <si>
    <t>hiy170125222400251</t>
  </si>
  <si>
    <t>NC20170216114446654756</t>
  </si>
  <si>
    <t>331052804274</t>
  </si>
  <si>
    <t>NP20170216114048229914</t>
  </si>
  <si>
    <t>zgc170208122918312</t>
  </si>
  <si>
    <t>NP20170216112616654070</t>
  </si>
  <si>
    <t>wxw170207222141083</t>
  </si>
  <si>
    <t>NP20170216114343873101</t>
  </si>
  <si>
    <t>yyw170112205636211</t>
  </si>
  <si>
    <t>NP20170216114115353060</t>
  </si>
  <si>
    <t>doa170216112634963</t>
  </si>
  <si>
    <t>NP20170216114354551437</t>
  </si>
  <si>
    <t>330968457674</t>
  </si>
  <si>
    <t>NP20170216114051260414</t>
  </si>
  <si>
    <t>xep170216113501664</t>
  </si>
  <si>
    <t>NP20170216111359768704</t>
  </si>
  <si>
    <t>nhq170209220302552</t>
  </si>
  <si>
    <t>NI20170216114607603361</t>
  </si>
  <si>
    <t>mxc161231070202177</t>
  </si>
  <si>
    <t>NI20170216114059935606</t>
  </si>
  <si>
    <t>xep170201180936093</t>
  </si>
  <si>
    <t>NP20170216111828062429</t>
  </si>
  <si>
    <t>czc170209075438221</t>
  </si>
  <si>
    <t>NP20170216114056096357</t>
  </si>
  <si>
    <t>xep170205103232207</t>
  </si>
  <si>
    <t>NP20170216110721671880</t>
  </si>
  <si>
    <t>cxf161029125156121</t>
  </si>
  <si>
    <t>NC20170216114747211273</t>
  </si>
  <si>
    <t>331084333011</t>
  </si>
  <si>
    <t>NC20170216114751576871</t>
  </si>
  <si>
    <t>hiy170216111303477</t>
  </si>
  <si>
    <t>NP20170216114054652652</t>
  </si>
  <si>
    <t>doa170214190439689</t>
  </si>
  <si>
    <t>NI20170216114654418814</t>
  </si>
  <si>
    <t>doa170208191926542</t>
  </si>
  <si>
    <t>NP20170216113859560474</t>
  </si>
  <si>
    <t>yyw170205212100029</t>
  </si>
  <si>
    <t>NC20170216113217774842</t>
  </si>
  <si>
    <t>nhq170216111009511</t>
  </si>
  <si>
    <t>NP20170216112823426752</t>
  </si>
  <si>
    <t>331000896840</t>
  </si>
  <si>
    <t>NI20170216114941214001</t>
  </si>
  <si>
    <t>xep170207192213600</t>
  </si>
  <si>
    <t>NP20170216112324899489</t>
  </si>
  <si>
    <t>pmo161125234558234</t>
  </si>
  <si>
    <t>NP20170216111936178923</t>
  </si>
  <si>
    <t>ysh170111172840397</t>
  </si>
  <si>
    <t>NI20170216115103172724</t>
  </si>
  <si>
    <t>doa170215080621995</t>
  </si>
  <si>
    <t>NP20170216114705873306</t>
  </si>
  <si>
    <t>xep170216094458473</t>
  </si>
  <si>
    <t>NP20170216114652945159</t>
  </si>
  <si>
    <t>331084433210</t>
  </si>
  <si>
    <t>NC20170216115158216428</t>
  </si>
  <si>
    <t>xep170216113821683</t>
  </si>
  <si>
    <t>NP20170216115000560914</t>
  </si>
  <si>
    <t>scv170216112631937</t>
  </si>
  <si>
    <t>NP20170216115422681949</t>
  </si>
  <si>
    <t>hhz170212184646545</t>
  </si>
  <si>
    <t>NP20170216113308847706</t>
  </si>
  <si>
    <t>331083855734</t>
  </si>
  <si>
    <t>NI20170216115409112176</t>
  </si>
  <si>
    <t>tjf170204184850080</t>
  </si>
  <si>
    <t>NP20170216111257889993</t>
  </si>
  <si>
    <t>xep170214180950819</t>
  </si>
  <si>
    <t>NP20170216113330261245</t>
  </si>
  <si>
    <t>xss170214161618540</t>
  </si>
  <si>
    <t>NC20170216115501278341</t>
  </si>
  <si>
    <t>xep170206165556431</t>
  </si>
  <si>
    <t>NP20170216115054703276</t>
  </si>
  <si>
    <t>xpb170215100546169</t>
  </si>
  <si>
    <t>NP20170216114324470371</t>
  </si>
  <si>
    <t>330966457020</t>
  </si>
  <si>
    <t>NP20170216112239319417</t>
  </si>
  <si>
    <t>doa170126135704725</t>
  </si>
  <si>
    <t>NI20170216111615563827</t>
  </si>
  <si>
    <t>hiy170125221703820</t>
  </si>
  <si>
    <t>NP20170216112246558673</t>
  </si>
  <si>
    <t>331075993956</t>
  </si>
  <si>
    <t>NP20170216115622278057</t>
  </si>
  <si>
    <t>yyw170129103800373</t>
  </si>
  <si>
    <t>NC20170216115636150375</t>
  </si>
  <si>
    <t>xep170208022108411</t>
  </si>
  <si>
    <t>NP20170216112903667723</t>
  </si>
  <si>
    <t>xep170203221647693</t>
  </si>
  <si>
    <t>NP20170216112948076415</t>
  </si>
  <si>
    <t>xuy170210082023377</t>
  </si>
  <si>
    <t>NI20170216115640059892</t>
  </si>
  <si>
    <t>xep170126094007896</t>
  </si>
  <si>
    <t>NP20170216115558800799</t>
  </si>
  <si>
    <t>ado170215185025240</t>
  </si>
  <si>
    <t>NP20170216115556751924</t>
  </si>
  <si>
    <t>doa170205085003925</t>
  </si>
  <si>
    <t>NP20170216112424068746</t>
  </si>
  <si>
    <t>kuq170213224451022e6cb5</t>
  </si>
  <si>
    <t>NI20170216111634537245</t>
  </si>
  <si>
    <t>jql170215031812192</t>
  </si>
  <si>
    <t>NP20170216111415267775</t>
  </si>
  <si>
    <t>xep170216110633299</t>
  </si>
  <si>
    <t>NP20170216110110549413</t>
  </si>
  <si>
    <t>331074250332</t>
  </si>
  <si>
    <t>NP20170216115514701891</t>
  </si>
  <si>
    <t>331050254354</t>
  </si>
  <si>
    <t>NP20170216114103388896</t>
  </si>
  <si>
    <t>331083672476</t>
  </si>
  <si>
    <t>NP20170216113605234806</t>
  </si>
  <si>
    <t>nhq170216111758044</t>
  </si>
  <si>
    <t>NP20170216115723911937</t>
  </si>
  <si>
    <t>331084445800</t>
  </si>
  <si>
    <t>NP20170216110630524464</t>
  </si>
  <si>
    <t>331060436465</t>
  </si>
  <si>
    <t>NP20170216115534423713</t>
  </si>
  <si>
    <t>qdj161023140852246</t>
  </si>
  <si>
    <t>NP20170216112726095622</t>
  </si>
  <si>
    <t>doa170208171502484</t>
  </si>
  <si>
    <t>NP20170216114826065305</t>
  </si>
  <si>
    <t>0059005905</t>
  </si>
  <si>
    <t>NP20170216115935230588</t>
  </si>
  <si>
    <t>czf170216114210844</t>
  </si>
  <si>
    <t>NP20170216114330607785</t>
  </si>
  <si>
    <t>xuy170215124407553</t>
  </si>
  <si>
    <t>NP20170216115003526323</t>
  </si>
  <si>
    <t>0059191714</t>
  </si>
  <si>
    <t>NP20170216120030186949</t>
  </si>
  <si>
    <t>331084102931</t>
  </si>
  <si>
    <t>NI20170216120137000993</t>
  </si>
  <si>
    <t>nhq170125193104026</t>
  </si>
  <si>
    <t>NP20170216120014944540</t>
  </si>
  <si>
    <t>yme161209192614785</t>
  </si>
  <si>
    <t>NP20170216120013739882</t>
  </si>
  <si>
    <t>331083952006</t>
  </si>
  <si>
    <t>NP20170216120049161600</t>
  </si>
  <si>
    <t>xep161209192925546</t>
  </si>
  <si>
    <t>NP20170216112542892568</t>
  </si>
  <si>
    <t>331082785461</t>
  </si>
  <si>
    <t>NP20170216115138491648</t>
  </si>
  <si>
    <t>xep170203161537700</t>
  </si>
  <si>
    <t>NP20170216114354146483</t>
  </si>
  <si>
    <t>nhq170119083227867</t>
  </si>
  <si>
    <t>NI20170216115410836950</t>
  </si>
  <si>
    <t>C1702060020789</t>
  </si>
  <si>
    <t>NP20170216115044210325</t>
  </si>
  <si>
    <t>ffs170131002203249</t>
  </si>
  <si>
    <t>NP20170216113140058159</t>
  </si>
  <si>
    <t>srs170110124744739</t>
  </si>
  <si>
    <t>NP20170216114613703965</t>
  </si>
  <si>
    <t>ppg170208112048003</t>
  </si>
  <si>
    <t>NP20170216115858997350</t>
  </si>
  <si>
    <t>331083005196</t>
  </si>
  <si>
    <t>NP20170216120224992213</t>
  </si>
  <si>
    <t>doa170202230126967</t>
  </si>
  <si>
    <t>NP20170216112544722192</t>
  </si>
  <si>
    <t>331082582754</t>
  </si>
  <si>
    <t>NI20170216110622791547</t>
  </si>
  <si>
    <t>jah170214232838671</t>
  </si>
  <si>
    <t>NI20170216114538036298</t>
  </si>
  <si>
    <t>331084294150</t>
  </si>
  <si>
    <t>NP20170216113135125401</t>
  </si>
  <si>
    <t>xep161116182346840</t>
  </si>
  <si>
    <t>NP20170216111427135301</t>
  </si>
  <si>
    <t>20170216110954TF702</t>
  </si>
  <si>
    <t>fp_3_045</t>
  </si>
  <si>
    <t>NP20170216112445564104</t>
  </si>
  <si>
    <t>331084064365</t>
  </si>
  <si>
    <t>NP20170216120256078199</t>
  </si>
  <si>
    <t>hiy161209165056201</t>
  </si>
  <si>
    <t>NP20170216120458914706</t>
  </si>
  <si>
    <t>xep170119104531515</t>
  </si>
  <si>
    <t>NI20170216120528098537</t>
  </si>
  <si>
    <t>xep170117213041427</t>
  </si>
  <si>
    <t>NP20170216120554846661</t>
  </si>
  <si>
    <t>xep170119002454047</t>
  </si>
  <si>
    <t>NC20170216120622753101</t>
  </si>
  <si>
    <t>331084335603</t>
  </si>
  <si>
    <t>NC20170216120650520370</t>
  </si>
  <si>
    <t>wxw170215141010560</t>
  </si>
  <si>
    <t>NC20170216120706350234</t>
  </si>
  <si>
    <t>hdn170216115307273</t>
  </si>
  <si>
    <t>NP20170216120705147701</t>
  </si>
  <si>
    <t>hiy170205111629362</t>
  </si>
  <si>
    <t>NP20170216120623995706</t>
  </si>
  <si>
    <t>pzf170105165910407</t>
  </si>
  <si>
    <t>NP20170216115948479246</t>
  </si>
  <si>
    <t>gll170216105523880</t>
  </si>
  <si>
    <t>NP20170216120756413379</t>
  </si>
  <si>
    <t>331084995603</t>
  </si>
  <si>
    <t>NI20170216120917962189</t>
  </si>
  <si>
    <t>xep170114004532119</t>
  </si>
  <si>
    <t>NP20170216121001462434</t>
  </si>
  <si>
    <t>ghc170214154341659</t>
  </si>
  <si>
    <t>NI20170216121224535996</t>
  </si>
  <si>
    <t>cqh170113105500621</t>
  </si>
  <si>
    <t>NC20170216121321469665</t>
  </si>
  <si>
    <t>xep170216121031601</t>
  </si>
  <si>
    <t>NP20170216120530888502</t>
  </si>
  <si>
    <t>xep170214001344696</t>
  </si>
  <si>
    <t>NP20170216120747971294</t>
  </si>
  <si>
    <t>fna170130203332736</t>
  </si>
  <si>
    <t>NP20170216121437725452</t>
  </si>
  <si>
    <t>xep170103233428804</t>
  </si>
  <si>
    <t>NP20170216120432765966</t>
  </si>
  <si>
    <t>331033298650</t>
  </si>
  <si>
    <t>NI20170216121459124650</t>
  </si>
  <si>
    <t>xep170109152942978</t>
  </si>
  <si>
    <t>NP20170216121333128857</t>
  </si>
  <si>
    <t>331015268133</t>
  </si>
  <si>
    <t>NI20170216115933726192</t>
  </si>
  <si>
    <t>331069579250</t>
  </si>
  <si>
    <t>NP20170216120835736052</t>
  </si>
  <si>
    <t>xep170212174703462</t>
  </si>
  <si>
    <t>NP20170216121230398955</t>
  </si>
  <si>
    <t>srs170203135934601</t>
  </si>
  <si>
    <t>NP20170216121355275840</t>
  </si>
  <si>
    <t>tjf170106065802867</t>
  </si>
  <si>
    <t>NP20170216121732807453</t>
  </si>
  <si>
    <t>pgl170215102441669</t>
  </si>
  <si>
    <t>NI20170216121727172663</t>
  </si>
  <si>
    <t>ghc170104155649579</t>
  </si>
  <si>
    <t>NP20170216121055203833</t>
  </si>
  <si>
    <t>qqd161105131140044e87cf</t>
  </si>
  <si>
    <t>NP20170216121038462076</t>
  </si>
  <si>
    <t>lyz161105161617915e485a</t>
  </si>
  <si>
    <t>NP20170216121907370792</t>
  </si>
  <si>
    <t>cdh170102223114571</t>
  </si>
  <si>
    <t>NP20170216121021299431</t>
  </si>
  <si>
    <t>lyz161105175224332ea93c</t>
  </si>
  <si>
    <t>NP20170216121913931805</t>
  </si>
  <si>
    <t>xep170213231934023</t>
  </si>
  <si>
    <t>NI20170216121902969760</t>
  </si>
  <si>
    <t>xep170103165426086</t>
  </si>
  <si>
    <t>NI20170216121844077764</t>
  </si>
  <si>
    <t>331084528821</t>
  </si>
  <si>
    <t>NP20170216121942789930</t>
  </si>
  <si>
    <t>byx170210120156116</t>
  </si>
  <si>
    <t>NP20170216121003031895</t>
  </si>
  <si>
    <t>330981070760</t>
  </si>
  <si>
    <t>NP20170216121408087160</t>
  </si>
  <si>
    <t>ysy170210113349850</t>
  </si>
  <si>
    <t>NP20170216120926963529</t>
  </si>
  <si>
    <t>330982893343</t>
  </si>
  <si>
    <t>NP20170216121602363970</t>
  </si>
  <si>
    <t>xep170202212828887</t>
  </si>
  <si>
    <t>NP20170216120910404372</t>
  </si>
  <si>
    <t>330982124100</t>
  </si>
  <si>
    <t>NP20170216120840262183</t>
  </si>
  <si>
    <t>330983843004</t>
  </si>
  <si>
    <t>NI20170216122158711017</t>
  </si>
  <si>
    <t>hiy170102091335870</t>
  </si>
  <si>
    <t>NP20170216120518555702</t>
  </si>
  <si>
    <t>knd170211133445013</t>
  </si>
  <si>
    <t>NP20170216121943123147</t>
  </si>
  <si>
    <t>sdc170213123320210</t>
  </si>
  <si>
    <t>NI20170216122431095335</t>
  </si>
  <si>
    <t>xep161230131927374</t>
  </si>
  <si>
    <t>NP20170216122005691104</t>
  </si>
  <si>
    <t>xep170202213446233</t>
  </si>
  <si>
    <t>NP20170216121857890728</t>
  </si>
  <si>
    <t>20170201131123TF981</t>
  </si>
  <si>
    <t>NC20170216122516922227</t>
  </si>
  <si>
    <t>klf170205082720694</t>
  </si>
  <si>
    <t>NP20170216122251012255</t>
  </si>
  <si>
    <t>yyw170216040257632</t>
  </si>
  <si>
    <t>NP20170216120102829580</t>
  </si>
  <si>
    <t>nhq170210195817124</t>
  </si>
  <si>
    <t>NP20170216121900423619</t>
  </si>
  <si>
    <t>yjw170212162032120</t>
  </si>
  <si>
    <t>NP20170216122436821237</t>
  </si>
  <si>
    <t>331081612414</t>
  </si>
  <si>
    <t>NC20170216122142330244</t>
  </si>
  <si>
    <t>scv170211092110686</t>
  </si>
  <si>
    <t>NP20170216122406517992</t>
  </si>
  <si>
    <t>hfp170216121510984</t>
  </si>
  <si>
    <t>NP20170216121847008761</t>
  </si>
  <si>
    <t>331081419473</t>
  </si>
  <si>
    <t>NC20170216121655033950</t>
  </si>
  <si>
    <t>doa170206205331271</t>
  </si>
  <si>
    <t>NI20170216122636176626</t>
  </si>
  <si>
    <t>hiy161228131000538</t>
  </si>
  <si>
    <t>NP20170216121817160528</t>
  </si>
  <si>
    <t>czc170214125912288</t>
  </si>
  <si>
    <t>NI20170216121730839302</t>
  </si>
  <si>
    <t>hiy170112175946027</t>
  </si>
  <si>
    <t>NP20170216122816038229</t>
  </si>
  <si>
    <t>331051987032</t>
  </si>
  <si>
    <t>NI20170216122925005939</t>
  </si>
  <si>
    <t>pzf161226131818574</t>
  </si>
  <si>
    <t>NP20170216122253682372</t>
  </si>
  <si>
    <t>331084569732</t>
  </si>
  <si>
    <t>NP20170216122506134281</t>
  </si>
  <si>
    <t>tyx170216105511641</t>
  </si>
  <si>
    <t>NI20170216123003359287</t>
  </si>
  <si>
    <t>xep161223090644360</t>
  </si>
  <si>
    <t>NI20170216123020560412</t>
  </si>
  <si>
    <t>yme161220102412109</t>
  </si>
  <si>
    <t>NI20170216123036162321</t>
  </si>
  <si>
    <t>scv161218210019437</t>
  </si>
  <si>
    <t>NI20170216123054721192</t>
  </si>
  <si>
    <t>sdc161217095826895</t>
  </si>
  <si>
    <t>NI20170216123136571848</t>
  </si>
  <si>
    <t>scv161216214400213</t>
  </si>
  <si>
    <t>NP20170216122005696461</t>
  </si>
  <si>
    <t>hiy170210120021700</t>
  </si>
  <si>
    <t>NP20170216120627835863</t>
  </si>
  <si>
    <t>331083161066</t>
  </si>
  <si>
    <t>NI20170216123202854140</t>
  </si>
  <si>
    <t>hiy161215174731336</t>
  </si>
  <si>
    <t>NP20170216122727357799</t>
  </si>
  <si>
    <t>331084556992</t>
  </si>
  <si>
    <t>NI20170216123225491371</t>
  </si>
  <si>
    <t>scv161215110506996</t>
  </si>
  <si>
    <t>NI20170216123235031668</t>
  </si>
  <si>
    <t>cxf161213094331385</t>
  </si>
  <si>
    <t>NP20170216123217418703</t>
  </si>
  <si>
    <t>GD2017021612326533</t>
  </si>
  <si>
    <t>NI20170216123247884675</t>
  </si>
  <si>
    <t>sme161212132324916</t>
  </si>
  <si>
    <t>NI20170216123332614267</t>
  </si>
  <si>
    <t>xuy161208092912906</t>
  </si>
  <si>
    <t>NC20170216123346865094</t>
  </si>
  <si>
    <t>fny170215143930347</t>
  </si>
  <si>
    <t>NI20170216123343392625</t>
  </si>
  <si>
    <t>doa170117132018612</t>
  </si>
  <si>
    <t>NC20170216123358274459</t>
  </si>
  <si>
    <t>tys170215202408521</t>
  </si>
  <si>
    <t>NI20170216123355895292</t>
  </si>
  <si>
    <t>ppg161206134736047</t>
  </si>
  <si>
    <t>NC20170216123405876027</t>
  </si>
  <si>
    <t>qyu170215143829078</t>
  </si>
  <si>
    <t>NI20170216123408332862</t>
  </si>
  <si>
    <t>xep161128141334782</t>
  </si>
  <si>
    <t>NC20170216123430158064</t>
  </si>
  <si>
    <t>tyx170127231732871</t>
  </si>
  <si>
    <t>NC20170216122603139916</t>
  </si>
  <si>
    <t>srs170211203230084</t>
  </si>
  <si>
    <t>NI20170216122512585005</t>
  </si>
  <si>
    <t>20170111155428UO689</t>
  </si>
  <si>
    <t>NP20170216121357984729</t>
  </si>
  <si>
    <t>331077578691</t>
  </si>
  <si>
    <t>NP20170216123153804433</t>
  </si>
  <si>
    <t>xep170216120130859</t>
  </si>
  <si>
    <t>NP20170216123057053202</t>
  </si>
  <si>
    <t>331078958563</t>
  </si>
  <si>
    <t>NP20170216122830228837</t>
  </si>
  <si>
    <t>hiy170212173233807</t>
  </si>
  <si>
    <t>NI20170216123419561052</t>
  </si>
  <si>
    <t>ghc161127100121000</t>
  </si>
  <si>
    <t>NC20170216123547731962</t>
  </si>
  <si>
    <t>xuy170119102548565</t>
  </si>
  <si>
    <t>NC20170216123606267240</t>
  </si>
  <si>
    <t>pzf170215142739218</t>
  </si>
  <si>
    <t>NI20170216123548359595</t>
  </si>
  <si>
    <t>201611261005533023</t>
  </si>
  <si>
    <t>NI20170216123627697738</t>
  </si>
  <si>
    <t>201611261003573000</t>
  </si>
  <si>
    <t>NP20170216123532465800</t>
  </si>
  <si>
    <t>fna170215193121019</t>
  </si>
  <si>
    <t>NP20170216122533317146</t>
  </si>
  <si>
    <t>jzj170207120907872</t>
  </si>
  <si>
    <t>NC20170216123643650363</t>
  </si>
  <si>
    <t>doa170113164023156</t>
  </si>
  <si>
    <t>NI20170216123638762082</t>
  </si>
  <si>
    <t>201611251457123490</t>
  </si>
  <si>
    <t>NI20170216123649353951</t>
  </si>
  <si>
    <t>tjf161120222121285</t>
  </si>
  <si>
    <t>NP20170216121733221120</t>
  </si>
  <si>
    <t>ghc170215140724762</t>
  </si>
  <si>
    <t>NP20170216123356179323</t>
  </si>
  <si>
    <t>yfu170216112901735</t>
  </si>
  <si>
    <t>NI20170216123410291704</t>
  </si>
  <si>
    <t>xep161223092250031</t>
  </si>
  <si>
    <t>NP20170216120620809347</t>
  </si>
  <si>
    <t>czl170211181643442</t>
  </si>
  <si>
    <t>NI20170216123635894147</t>
  </si>
  <si>
    <t>hiy170128122919745</t>
  </si>
  <si>
    <t>NP20170216123714016883</t>
  </si>
  <si>
    <t>qni160320145236525e63c7</t>
  </si>
  <si>
    <t>NP20170216122140333581</t>
  </si>
  <si>
    <t>331084871248</t>
  </si>
  <si>
    <t>NI20170216123102993118</t>
  </si>
  <si>
    <t>331082902412</t>
  </si>
  <si>
    <t>NP20170216123226143511</t>
  </si>
  <si>
    <t>fna170203202143678</t>
  </si>
  <si>
    <t>NP20170216123346390950</t>
  </si>
  <si>
    <t>331033615683</t>
  </si>
  <si>
    <t>NP20170216123515533436</t>
  </si>
  <si>
    <t>331058644516</t>
  </si>
  <si>
    <t>NP20170216123156554086</t>
  </si>
  <si>
    <t>331083040620</t>
  </si>
  <si>
    <t>NP20170216123657128874</t>
  </si>
  <si>
    <t>nhq170130103155302</t>
  </si>
  <si>
    <t>NP20170216123911764415</t>
  </si>
  <si>
    <t>331051893498</t>
  </si>
  <si>
    <t>NP20170216123902377929</t>
  </si>
  <si>
    <t>331019144951</t>
  </si>
  <si>
    <t>NP20170216123958997451</t>
  </si>
  <si>
    <t>xhp170215201031363</t>
  </si>
  <si>
    <t>NP20170216123603066925</t>
  </si>
  <si>
    <t>pmo170210091653837</t>
  </si>
  <si>
    <t>NC20170216124047922010</t>
  </si>
  <si>
    <t>kmb170215165201115</t>
  </si>
  <si>
    <t>NI20170216123659825250</t>
  </si>
  <si>
    <t>xep161118215551740</t>
  </si>
  <si>
    <t>NP20170216124111920893</t>
  </si>
  <si>
    <t>GD2017021612419866</t>
  </si>
  <si>
    <t>sp_3_079</t>
  </si>
  <si>
    <t>NI20170216124114678174</t>
  </si>
  <si>
    <t>201611171214341941</t>
  </si>
  <si>
    <t>NP20170216120406784045</t>
  </si>
  <si>
    <t>nhq170214155503533</t>
  </si>
  <si>
    <t>NI20170216124147303580</t>
  </si>
  <si>
    <t>xep161116225555483</t>
  </si>
  <si>
    <t>NP20170216123640682535</t>
  </si>
  <si>
    <t>sub170211202325571</t>
  </si>
  <si>
    <t>NI20170216124208737093</t>
  </si>
  <si>
    <t>wxw161116104820227</t>
  </si>
  <si>
    <t>NI20170216124256751107</t>
  </si>
  <si>
    <t>201611161039539734</t>
  </si>
  <si>
    <t>NP20170216124153039827</t>
  </si>
  <si>
    <t>doa170206172204310</t>
  </si>
  <si>
    <t>NI20170216124312008337</t>
  </si>
  <si>
    <t>pmo161115220247343</t>
  </si>
  <si>
    <t>NI20170216124336453710</t>
  </si>
  <si>
    <t>201611152136112387</t>
  </si>
  <si>
    <t>NI20170216124349776599</t>
  </si>
  <si>
    <t>201611151641437745</t>
  </si>
  <si>
    <t>NC20170216124402151566</t>
  </si>
  <si>
    <t>331008478073</t>
  </si>
  <si>
    <t>NI20170216123944643915</t>
  </si>
  <si>
    <t>51170214212682</t>
  </si>
  <si>
    <t>NP20170216124350627857</t>
  </si>
  <si>
    <t>331078663405</t>
  </si>
  <si>
    <t>NP20170216124216992689</t>
  </si>
  <si>
    <t>331084640146</t>
  </si>
  <si>
    <t>NP20170216124456991548</t>
  </si>
  <si>
    <t>331078266604</t>
  </si>
  <si>
    <t>NP20170216121607621863</t>
  </si>
  <si>
    <t>331066917680</t>
  </si>
  <si>
    <t>NI20170216124430007968</t>
  </si>
  <si>
    <t>ghc161111101748314</t>
  </si>
  <si>
    <t>NP20170216122750856979</t>
  </si>
  <si>
    <t>nhq170208102715993</t>
  </si>
  <si>
    <t>NI20170216124611678213</t>
  </si>
  <si>
    <t>ibi161111085742436</t>
  </si>
  <si>
    <t>NI20170216124622973648</t>
  </si>
  <si>
    <t>201611101947412731</t>
  </si>
  <si>
    <t>NP20170216124427331911</t>
  </si>
  <si>
    <t>tjf170130194025060</t>
  </si>
  <si>
    <t>NP20170216123959533514</t>
  </si>
  <si>
    <t>xep170216123213159</t>
  </si>
  <si>
    <t>NC20170216124809450542</t>
  </si>
  <si>
    <t>doa170119140933801</t>
  </si>
  <si>
    <t>NI20170216124700334699</t>
  </si>
  <si>
    <t>16N11877929</t>
  </si>
  <si>
    <t>NP20170216123839607209</t>
  </si>
  <si>
    <t>qyu170113142105768</t>
  </si>
  <si>
    <t>NP20170216123925012535</t>
  </si>
  <si>
    <t>yyw170216122823995</t>
  </si>
  <si>
    <t>NI20170216124836048299</t>
  </si>
  <si>
    <t>16N11803421</t>
  </si>
  <si>
    <t>NP20170216124219705421</t>
  </si>
  <si>
    <t>xuy161020121003469</t>
  </si>
  <si>
    <t>NI20170216124858273805</t>
  </si>
  <si>
    <t>tjf161101180646540</t>
  </si>
  <si>
    <t>NP20170216124540636614</t>
  </si>
  <si>
    <t>331076860694</t>
  </si>
  <si>
    <t>NP20170216124650416024</t>
  </si>
  <si>
    <t>sub170131225808979</t>
  </si>
  <si>
    <t>NI20170216120416299881</t>
  </si>
  <si>
    <t>xep170216115539122</t>
  </si>
  <si>
    <t>NP20170216122602071573</t>
  </si>
  <si>
    <t>doa161222135816727</t>
  </si>
  <si>
    <t>NP20170216122438845930</t>
  </si>
  <si>
    <t>xss170215140123970</t>
  </si>
  <si>
    <t>NP20170216124713750197</t>
  </si>
  <si>
    <t>331043172810</t>
  </si>
  <si>
    <t>NI20170216124749410059</t>
  </si>
  <si>
    <t>331084472877</t>
  </si>
  <si>
    <t>NP20170216124653811216</t>
  </si>
  <si>
    <t>331084362553</t>
  </si>
  <si>
    <t>NP20170216124411557465</t>
  </si>
  <si>
    <t>pzf170216122946435</t>
  </si>
  <si>
    <t>NP20170216124833382433</t>
  </si>
  <si>
    <t>xqi170206172955369</t>
  </si>
  <si>
    <t>NI20170216124527385292</t>
  </si>
  <si>
    <t>201702051707132776</t>
  </si>
  <si>
    <t>NI20170216124939470748</t>
  </si>
  <si>
    <t>doa170214150554036</t>
  </si>
  <si>
    <t>NP20170216124743659237</t>
  </si>
  <si>
    <t>xep170209215709223</t>
  </si>
  <si>
    <t>NP20170216121342134566</t>
  </si>
  <si>
    <t>srs170216114119589</t>
  </si>
  <si>
    <t>NC20170216124655563598</t>
  </si>
  <si>
    <t>kom170216092542633</t>
  </si>
  <si>
    <t>NP20170216124419070681</t>
  </si>
  <si>
    <t>331044621422</t>
  </si>
  <si>
    <t>NP20170216123719247671</t>
  </si>
  <si>
    <t>pzf170120225830765</t>
  </si>
  <si>
    <t>NP20170216123329934243</t>
  </si>
  <si>
    <t>xiy170211124801597</t>
  </si>
  <si>
    <t>NP20170216124535460723</t>
  </si>
  <si>
    <t>sub170202204441007</t>
  </si>
  <si>
    <t>NC20170216125408215253</t>
  </si>
  <si>
    <t>331084971512</t>
  </si>
  <si>
    <t>NP20170216125156962516</t>
  </si>
  <si>
    <t>sdc170213195650313</t>
  </si>
  <si>
    <t>NI20170216125302155414</t>
  </si>
  <si>
    <t>hiy170215063648848</t>
  </si>
  <si>
    <t>NC20170216125442142130</t>
  </si>
  <si>
    <t>331083059256</t>
  </si>
  <si>
    <t>NP20170216125316371952</t>
  </si>
  <si>
    <t>331074284917</t>
  </si>
  <si>
    <t>NP20170216124812569553</t>
  </si>
  <si>
    <t>nxw170116183135059</t>
  </si>
  <si>
    <t>NI20170216125150866354</t>
  </si>
  <si>
    <t>xep170122173046586</t>
  </si>
  <si>
    <t>NC20170216125549281802</t>
  </si>
  <si>
    <t>tjf170207112443176</t>
  </si>
  <si>
    <t>NI20170216122506067299</t>
  </si>
  <si>
    <t>tjf170117000947347</t>
  </si>
  <si>
    <t>NI20170216123733255468</t>
  </si>
  <si>
    <t>51161226936124</t>
  </si>
  <si>
    <t>NI20170216122749717618</t>
  </si>
  <si>
    <t>331075918975</t>
  </si>
  <si>
    <t>NI20170216125006081331</t>
  </si>
  <si>
    <t>tjf170114074845285</t>
  </si>
  <si>
    <t>NP20170216125514864333</t>
  </si>
  <si>
    <t>nxw170116183135067</t>
  </si>
  <si>
    <t>NP20170216124514528994</t>
  </si>
  <si>
    <t>cqh170125010041796</t>
  </si>
  <si>
    <t>NP20170216125353304497</t>
  </si>
  <si>
    <t>hiy170216124316546</t>
  </si>
  <si>
    <t>NP20170216123021471705</t>
  </si>
  <si>
    <t>qyu170114185856435</t>
  </si>
  <si>
    <t>NP20170216125617559943</t>
  </si>
  <si>
    <t>ghc170216121011513</t>
  </si>
  <si>
    <t>NI20170216125709230237</t>
  </si>
  <si>
    <t>sme170127183537267</t>
  </si>
  <si>
    <t>NP20170216123710906350</t>
  </si>
  <si>
    <t>xuy170215211833142</t>
  </si>
  <si>
    <t>NP20170216124550127350</t>
  </si>
  <si>
    <t>330978240350</t>
  </si>
  <si>
    <t>NP20170216125741839200</t>
  </si>
  <si>
    <t>pzf170128195142547</t>
  </si>
  <si>
    <t>NP20170216122921781156</t>
  </si>
  <si>
    <t>ghc161227151011520</t>
  </si>
  <si>
    <t>NC20170216130000525696</t>
  </si>
  <si>
    <t>xep170122220745907</t>
  </si>
  <si>
    <t>NC20170216124600179133</t>
  </si>
  <si>
    <t>331072582315</t>
  </si>
  <si>
    <t>NP20170216124638679866</t>
  </si>
  <si>
    <t>tib170130195605907</t>
  </si>
  <si>
    <t>NP20170216124317307238</t>
  </si>
  <si>
    <t>xep170210215419972</t>
  </si>
  <si>
    <t>NI20170216123638738121</t>
  </si>
  <si>
    <t>xep170209114509379</t>
  </si>
  <si>
    <t>NP20170216120317479097</t>
  </si>
  <si>
    <t>331082666195</t>
  </si>
  <si>
    <t>NP20170216130011657131</t>
  </si>
  <si>
    <t>czc170206201519317</t>
  </si>
  <si>
    <t>NP20170216125852519568</t>
  </si>
  <si>
    <t>pzf170216124548250</t>
  </si>
  <si>
    <t>NP20170216123023004253</t>
  </si>
  <si>
    <t>331083781923</t>
  </si>
  <si>
    <t>NP20170216130001073318</t>
  </si>
  <si>
    <t>331076615086</t>
  </si>
  <si>
    <t>NC20170216130057207199</t>
  </si>
  <si>
    <t>mir170215164824206</t>
  </si>
  <si>
    <t>NI20170216124026822251</t>
  </si>
  <si>
    <t>sdc170215110316032</t>
  </si>
  <si>
    <t>NP20170216130106024397</t>
  </si>
  <si>
    <t>nhq170208100442465</t>
  </si>
  <si>
    <t>NC20170216130142599191</t>
  </si>
  <si>
    <t>hiy170215095639616</t>
  </si>
  <si>
    <t>NP20170216130146307242</t>
  </si>
  <si>
    <t>hfp170210224634039</t>
  </si>
  <si>
    <t>NP20170216120518567633</t>
  </si>
  <si>
    <t>qya170216120245246</t>
  </si>
  <si>
    <t>NP20170216130215773499</t>
  </si>
  <si>
    <t>hfp170210225742165</t>
  </si>
  <si>
    <t>NP20170216124957206295</t>
  </si>
  <si>
    <t>pma170214170158701</t>
  </si>
  <si>
    <t>NP20170216125118595601</t>
  </si>
  <si>
    <t>xep170111213009051</t>
  </si>
  <si>
    <t>NP20170216122058295531</t>
  </si>
  <si>
    <t>331084778610</t>
  </si>
  <si>
    <t>NP20170216121352930511</t>
  </si>
  <si>
    <t>331082989364</t>
  </si>
  <si>
    <t>bp_3_061</t>
  </si>
  <si>
    <t>NI20170216124632393890</t>
  </si>
  <si>
    <t>331042222131</t>
  </si>
  <si>
    <t>NP20170216125950305983</t>
  </si>
  <si>
    <t>kqy170216090824858</t>
  </si>
  <si>
    <t>NP20170216130139939390</t>
  </si>
  <si>
    <t>331084764098</t>
  </si>
  <si>
    <t>NP20170216122531611855</t>
  </si>
  <si>
    <t>331037308083</t>
  </si>
  <si>
    <t>NP20170216122951138640</t>
  </si>
  <si>
    <t>201701141238063K753</t>
  </si>
  <si>
    <t>NP20170216125545391317</t>
  </si>
  <si>
    <t>331076875384</t>
  </si>
  <si>
    <t>NP20170216123951273342</t>
  </si>
  <si>
    <t>331084525822</t>
  </si>
  <si>
    <t>NP20170216130336452579</t>
  </si>
  <si>
    <t>nhq170129101225928</t>
  </si>
  <si>
    <t>NP20170216130309071156</t>
  </si>
  <si>
    <t>yyw170118122220741</t>
  </si>
  <si>
    <t>NC20170216130612479187</t>
  </si>
  <si>
    <t>doa170210173645909</t>
  </si>
  <si>
    <t>NC20170216130633574158</t>
  </si>
  <si>
    <t>xep170216125357771</t>
  </si>
  <si>
    <t>NP20170216130432287279</t>
  </si>
  <si>
    <t>331046614526</t>
  </si>
  <si>
    <t>NP20170216130331782051</t>
  </si>
  <si>
    <t>xxk170216123339602</t>
  </si>
  <si>
    <t>NI20170216122925582675</t>
  </si>
  <si>
    <t>331084695567</t>
  </si>
  <si>
    <t>NP20170216130712064946</t>
  </si>
  <si>
    <t>331084894023</t>
  </si>
  <si>
    <t>NC20170216131117464268</t>
  </si>
  <si>
    <t>wyh170216125951617</t>
  </si>
  <si>
    <t>NI20170216131107336440</t>
  </si>
  <si>
    <t>ghc170209144303280</t>
  </si>
  <si>
    <t>NP20170216131049481418</t>
  </si>
  <si>
    <t>doa170212123029078</t>
  </si>
  <si>
    <t>NI20170216131140511521</t>
  </si>
  <si>
    <t>wxw161222155947113</t>
  </si>
  <si>
    <t>NP20170216131145781888</t>
  </si>
  <si>
    <t>sme170216130850390</t>
  </si>
  <si>
    <t>NC20170216131457027660</t>
  </si>
  <si>
    <t>cfs170207142855364</t>
  </si>
  <si>
    <t>NC20170216130941040518</t>
  </si>
  <si>
    <t>xuy170216125859357</t>
  </si>
  <si>
    <t>NP20170216131453054264</t>
  </si>
  <si>
    <t>zru170210164813424</t>
  </si>
  <si>
    <t>NP20170216131328592847</t>
  </si>
  <si>
    <t>331084647567</t>
  </si>
  <si>
    <t>NC20170216131519053796</t>
  </si>
  <si>
    <t>tfa170212212900347</t>
  </si>
  <si>
    <t>NI20170216131230199815</t>
  </si>
  <si>
    <t>331084664649</t>
  </si>
  <si>
    <t>NP20170216131213450448</t>
  </si>
  <si>
    <t>doa170201223030919</t>
  </si>
  <si>
    <t>NP20170216131009803150</t>
  </si>
  <si>
    <t>331084593771</t>
  </si>
  <si>
    <t>NC20170216131615989911</t>
  </si>
  <si>
    <t>kmb170215172321357</t>
  </si>
  <si>
    <t>NC20170216131716194342</t>
  </si>
  <si>
    <t>pma161215132910440</t>
  </si>
  <si>
    <t>NP20170216131302114193</t>
  </si>
  <si>
    <t>331053515466</t>
  </si>
  <si>
    <t>NP20170216131441090325</t>
  </si>
  <si>
    <t>331074563915</t>
  </si>
  <si>
    <t>NP20170216130408429490</t>
  </si>
  <si>
    <t>hiy170212112916484</t>
  </si>
  <si>
    <t>NC20170216132015133099</t>
  </si>
  <si>
    <t>lua170214234519159</t>
  </si>
  <si>
    <t>NP20170216131826368416</t>
  </si>
  <si>
    <t>xuy170215093021554</t>
  </si>
  <si>
    <t>NP20170216131307000479</t>
  </si>
  <si>
    <t>201702031621301364</t>
  </si>
  <si>
    <t>NP20170216130631594538</t>
  </si>
  <si>
    <t>doa170124194328822</t>
  </si>
  <si>
    <t>NI20170216131954538597</t>
  </si>
  <si>
    <t>331083640146</t>
  </si>
  <si>
    <t>NP20170216131839842774</t>
  </si>
  <si>
    <t>pzf170216094655993</t>
  </si>
  <si>
    <t>NP20170216131943040011</t>
  </si>
  <si>
    <t>xep170108000541683</t>
  </si>
  <si>
    <t>NP20170216132329520875</t>
  </si>
  <si>
    <t>331071013668</t>
  </si>
  <si>
    <t>NP20170216132332744774</t>
  </si>
  <si>
    <t>nhq170215151625490</t>
  </si>
  <si>
    <t>NP20170216131435335241</t>
  </si>
  <si>
    <t>jle170215092004063</t>
  </si>
  <si>
    <t>NP20170216132426257124</t>
  </si>
  <si>
    <t>331071233628</t>
  </si>
  <si>
    <t>NI20170216131033403440</t>
  </si>
  <si>
    <t>doa170213192749456</t>
  </si>
  <si>
    <t>NP20170216132249332233</t>
  </si>
  <si>
    <t>331083347482</t>
  </si>
  <si>
    <t>NP20170216132059078554</t>
  </si>
  <si>
    <t>xep170125150025093</t>
  </si>
  <si>
    <t>NI20170216130547518410</t>
  </si>
  <si>
    <t>20161230210456TF178</t>
  </si>
  <si>
    <t>NP20170216131413086339</t>
  </si>
  <si>
    <t>yfu170115165955346</t>
  </si>
  <si>
    <t>NP20170216131206449360</t>
  </si>
  <si>
    <t>331084182155</t>
  </si>
  <si>
    <t>NP20170216132353055648</t>
  </si>
  <si>
    <t>kmb170215095704711</t>
  </si>
  <si>
    <t>NP20170216132604644431</t>
  </si>
  <si>
    <t>jqa170216131455342</t>
  </si>
  <si>
    <t>NC20170216132733255588</t>
  </si>
  <si>
    <t>ibi170215213218700</t>
  </si>
  <si>
    <t>NP20170216131621540480</t>
  </si>
  <si>
    <t>doa170125004805878</t>
  </si>
  <si>
    <t>NP20170216132520150932</t>
  </si>
  <si>
    <t>fna170202154029214</t>
  </si>
  <si>
    <t>NP20170216132609060443</t>
  </si>
  <si>
    <t>czl170216123153078</t>
  </si>
  <si>
    <t>NP20170216132529799548</t>
  </si>
  <si>
    <t>xau170204231152004</t>
  </si>
  <si>
    <t>NP20170216132334999422</t>
  </si>
  <si>
    <t>xuy170216130240466</t>
  </si>
  <si>
    <t>NP20170216132741243731</t>
  </si>
  <si>
    <t>nhq170209103723348</t>
  </si>
  <si>
    <t>NP20170216133104879498</t>
  </si>
  <si>
    <t>cgs170101214302797</t>
  </si>
  <si>
    <t>NP20170216132726230696</t>
  </si>
  <si>
    <t>331083205716</t>
  </si>
  <si>
    <t>NP20170216131857826092</t>
  </si>
  <si>
    <t>xkw170215181551154</t>
  </si>
  <si>
    <t>NP20170216132855508674</t>
  </si>
  <si>
    <t>hiy170206152549688</t>
  </si>
  <si>
    <t>NP20170216132944797886</t>
  </si>
  <si>
    <t>331014077111</t>
  </si>
  <si>
    <t>NI20170216131405459908</t>
  </si>
  <si>
    <t>331034318831</t>
  </si>
  <si>
    <t>NP20170216132349218430</t>
  </si>
  <si>
    <t>xep170215142147642</t>
  </si>
  <si>
    <t>NP20170216132933037710</t>
  </si>
  <si>
    <t>331079325714</t>
  </si>
  <si>
    <t>NC20170216133222128910</t>
  </si>
  <si>
    <t>sdc170212113029786</t>
  </si>
  <si>
    <t>NP20170216133102300326</t>
  </si>
  <si>
    <t>hyd170216104721162</t>
  </si>
  <si>
    <t>NP20170216133124969861</t>
  </si>
  <si>
    <t>331043559958</t>
  </si>
  <si>
    <t>NI20170216132608966434</t>
  </si>
  <si>
    <t>331077812442</t>
  </si>
  <si>
    <t>NP20170216133258225900</t>
  </si>
  <si>
    <t>srs170103153857332</t>
  </si>
  <si>
    <t>NP20170216133210233627</t>
  </si>
  <si>
    <t>srs170125005707553</t>
  </si>
  <si>
    <t>NP20170216131858744964</t>
  </si>
  <si>
    <t>hiy170214155452479</t>
  </si>
  <si>
    <t>NI20170216133018695594</t>
  </si>
  <si>
    <t>331083743246</t>
  </si>
  <si>
    <t>NC20170216133438775544</t>
  </si>
  <si>
    <t>sdc170213200358925</t>
  </si>
  <si>
    <t>NP20170216133506304902</t>
  </si>
  <si>
    <t>xuy170215114217137</t>
  </si>
  <si>
    <t>NP20170216133338177876</t>
  </si>
  <si>
    <t>sdc170210085143309</t>
  </si>
  <si>
    <t>NP20170216133330129512</t>
  </si>
  <si>
    <t>331073320621</t>
  </si>
  <si>
    <t>NI20170216131437167698</t>
  </si>
  <si>
    <t>pzf170204120353545</t>
  </si>
  <si>
    <t>NP20170216132711941388</t>
  </si>
  <si>
    <t>331084523693</t>
  </si>
  <si>
    <t>NP20170216133603967115</t>
  </si>
  <si>
    <t>ymz170213112450116</t>
  </si>
  <si>
    <t>NP20170216132031362885</t>
  </si>
  <si>
    <t>nhq170213133651058</t>
  </si>
  <si>
    <t>NC20170216133640123998</t>
  </si>
  <si>
    <t>331084665641</t>
  </si>
  <si>
    <t>NP20170216133652783327</t>
  </si>
  <si>
    <t>doa170208155804327</t>
  </si>
  <si>
    <t>NP20170216131356121804</t>
  </si>
  <si>
    <t>klf170214132625004</t>
  </si>
  <si>
    <t>NP20170216131811969598</t>
  </si>
  <si>
    <t>tjf170213144922436</t>
  </si>
  <si>
    <t>NP20170216133340633712</t>
  </si>
  <si>
    <t>nhq170211143042107</t>
  </si>
  <si>
    <t>NP20170216133429174418</t>
  </si>
  <si>
    <t>xuy170213123404470</t>
  </si>
  <si>
    <t>NP20170216133737397071</t>
  </si>
  <si>
    <t>doa170206112740021</t>
  </si>
  <si>
    <t>NP20170216132132311145</t>
  </si>
  <si>
    <t>331078236739</t>
  </si>
  <si>
    <t>NP20170216133312350946</t>
  </si>
  <si>
    <t>dzc170215171005828</t>
  </si>
  <si>
    <t>NC20170216133915028133</t>
  </si>
  <si>
    <t>xer161222181054790</t>
  </si>
  <si>
    <t>NP20170216132846594529</t>
  </si>
  <si>
    <t>tjf170215231420272</t>
  </si>
  <si>
    <t>NP20170216133449002026</t>
  </si>
  <si>
    <t>xep170214212634741</t>
  </si>
  <si>
    <t>NP20170216133717933615</t>
  </si>
  <si>
    <t>nhq170212135242769</t>
  </si>
  <si>
    <t>NP20170216133541695850</t>
  </si>
  <si>
    <t>hfp170210192108736</t>
  </si>
  <si>
    <t>NP20170216133834443220</t>
  </si>
  <si>
    <t>dhe170215155413649</t>
  </si>
  <si>
    <t>NP20170216133214044853</t>
  </si>
  <si>
    <t>xep170213005919793</t>
  </si>
  <si>
    <t>NP20170216130411686945</t>
  </si>
  <si>
    <t>hiy170208154440887</t>
  </si>
  <si>
    <t>NP20170216134024932285</t>
  </si>
  <si>
    <t>ghc170203104447784</t>
  </si>
  <si>
    <t>NP20170216132346773946</t>
  </si>
  <si>
    <t>331083384777</t>
  </si>
  <si>
    <t>NP20170216131031670947</t>
  </si>
  <si>
    <t>cqh170216125726901</t>
  </si>
  <si>
    <t>NP20170216133940177276</t>
  </si>
  <si>
    <t>sdc170216002812090</t>
  </si>
  <si>
    <t>NP20170216132432125127</t>
  </si>
  <si>
    <t>331083438398</t>
  </si>
  <si>
    <t>NP20170216133950145938</t>
  </si>
  <si>
    <t>331014272886</t>
  </si>
  <si>
    <t>NC20170216134238235839</t>
  </si>
  <si>
    <t>doa170202131916345</t>
  </si>
  <si>
    <t>NP20170216132507951749</t>
  </si>
  <si>
    <t>331083349737</t>
  </si>
  <si>
    <t>NP20170216132601305216</t>
  </si>
  <si>
    <t>331083749121</t>
  </si>
  <si>
    <t>NP20170216132633319941</t>
  </si>
  <si>
    <t>331078747726</t>
  </si>
  <si>
    <t>NC20170216134502812516</t>
  </si>
  <si>
    <t>rnf170216125249410</t>
  </si>
  <si>
    <t>NP20170216132739967892</t>
  </si>
  <si>
    <t>331078629150</t>
  </si>
  <si>
    <t>NP20170216132524562146</t>
  </si>
  <si>
    <t>xep170124221213015</t>
  </si>
  <si>
    <t>NP20170216133209923088</t>
  </si>
  <si>
    <t>zgl170205100343111</t>
  </si>
  <si>
    <t>NP20170216134537922506</t>
  </si>
  <si>
    <t>GD2017021613450426</t>
  </si>
  <si>
    <t>NP20170216134615564195</t>
  </si>
  <si>
    <t>xuy170210185050868</t>
  </si>
  <si>
    <t>NP20170216133520113591</t>
  </si>
  <si>
    <t>jah170130141213815</t>
  </si>
  <si>
    <t>NC20170216134644165915</t>
  </si>
  <si>
    <t>330987360475</t>
  </si>
  <si>
    <t>NP20170216134243113376</t>
  </si>
  <si>
    <t>ghc170215163342450</t>
  </si>
  <si>
    <t>p_3_062</t>
  </si>
  <si>
    <t>NP20170216134635917944</t>
  </si>
  <si>
    <t>klf170214182657655</t>
  </si>
  <si>
    <t>NP20170216131244958808</t>
  </si>
  <si>
    <t>pzf170212185426980</t>
  </si>
  <si>
    <t>NP20170216134659417630</t>
  </si>
  <si>
    <t>klf170215114443915</t>
  </si>
  <si>
    <t>NC20170216130937532585</t>
  </si>
  <si>
    <t>xep170123230809590</t>
  </si>
  <si>
    <t>NP20170216130725112990</t>
  </si>
  <si>
    <t>xep170208004528881</t>
  </si>
  <si>
    <t>NP20170216132232279484</t>
  </si>
  <si>
    <t>tyx170212213229080</t>
  </si>
  <si>
    <t>NI20170216134218779148</t>
  </si>
  <si>
    <t>ghc170114143315097</t>
  </si>
  <si>
    <t>NP20170216133148223623</t>
  </si>
  <si>
    <t>ghc170216080612549</t>
  </si>
  <si>
    <t>NC20170216134906278913</t>
  </si>
  <si>
    <t>pzf170216125601441</t>
  </si>
  <si>
    <t>NP20170216130431067002</t>
  </si>
  <si>
    <t>sub170216125740970</t>
  </si>
  <si>
    <t>NP20170216134702564852</t>
  </si>
  <si>
    <t>xep170216133819298</t>
  </si>
  <si>
    <t>NC20170216135101341561</t>
  </si>
  <si>
    <t>pzf170216133407090</t>
  </si>
  <si>
    <t>NP20170216134806334861</t>
  </si>
  <si>
    <t>xep170201100217525</t>
  </si>
  <si>
    <t>NP20170216131223853073</t>
  </si>
  <si>
    <t>gll170210211222657</t>
  </si>
  <si>
    <t>NP20170216133636974337</t>
  </si>
  <si>
    <t>331084054035</t>
  </si>
  <si>
    <t>NP20170216135002333940</t>
  </si>
  <si>
    <t>hua170208083900082</t>
  </si>
  <si>
    <t>NP20170216133724523821</t>
  </si>
  <si>
    <t>xep170216101417909</t>
  </si>
  <si>
    <t>NI20170216132418089029</t>
  </si>
  <si>
    <t>331051896064</t>
  </si>
  <si>
    <t>NP20170216134639192545</t>
  </si>
  <si>
    <t>doa170216095136313</t>
  </si>
  <si>
    <t>NP20170216135008784961</t>
  </si>
  <si>
    <t>331075552466</t>
  </si>
  <si>
    <t>NP20170216132139520427</t>
  </si>
  <si>
    <t>331084102618</t>
  </si>
  <si>
    <t>NI20170216133407824523</t>
  </si>
  <si>
    <t>331083787750</t>
  </si>
  <si>
    <t>NC20170216135331102371</t>
  </si>
  <si>
    <t>xuy170206213932080</t>
  </si>
  <si>
    <t>NP20170216133125832081</t>
  </si>
  <si>
    <t>xep170117101515172</t>
  </si>
  <si>
    <t>NP20170216135016166193</t>
  </si>
  <si>
    <t>331083628853</t>
  </si>
  <si>
    <t>NP20170216135120954467</t>
  </si>
  <si>
    <t>331083341690</t>
  </si>
  <si>
    <t>NP20170216135152565025</t>
  </si>
  <si>
    <t>331084637786</t>
  </si>
  <si>
    <t>NP20170216135211095721</t>
  </si>
  <si>
    <t>331084980932</t>
  </si>
  <si>
    <t>NP20170216134754088806</t>
  </si>
  <si>
    <t>xhp170212221915838</t>
  </si>
  <si>
    <t>NP20170216134925221773</t>
  </si>
  <si>
    <t>331084051864</t>
  </si>
  <si>
    <t>NC20170216135412200145</t>
  </si>
  <si>
    <t>yhs170216090623451</t>
  </si>
  <si>
    <t>NI20170216135227294854</t>
  </si>
  <si>
    <t>srs161227115019668</t>
  </si>
  <si>
    <t>NP20170216131838318804</t>
  </si>
  <si>
    <t>xep161229111921297</t>
  </si>
  <si>
    <t>NC20170216135514927151</t>
  </si>
  <si>
    <t>331083932071</t>
  </si>
  <si>
    <t>NP20170216135323559887</t>
  </si>
  <si>
    <t>hiy170215213252843</t>
  </si>
  <si>
    <t>NP20170216135342091979</t>
  </si>
  <si>
    <t>doa170214030308765</t>
  </si>
  <si>
    <t>NP20170216134732974538</t>
  </si>
  <si>
    <t>hiy170215134305790</t>
  </si>
  <si>
    <t>NP20170216135158160991</t>
  </si>
  <si>
    <t>pmo170209100433756</t>
  </si>
  <si>
    <t>NP20170216135514153307</t>
  </si>
  <si>
    <t>doa170212214556968</t>
  </si>
  <si>
    <t>NP20170216135409502608</t>
  </si>
  <si>
    <t>331071257048</t>
  </si>
  <si>
    <t>NP20170216134800508692</t>
  </si>
  <si>
    <t>331059847026</t>
  </si>
  <si>
    <t>NP20170216133212842742</t>
  </si>
  <si>
    <t>tdt170115230558865</t>
  </si>
  <si>
    <t>NP20170216135044470809</t>
  </si>
  <si>
    <t>331073170195</t>
  </si>
  <si>
    <t>NP20170216131704181653</t>
  </si>
  <si>
    <t>331079786526</t>
  </si>
  <si>
    <t>NP20170216135326565272</t>
  </si>
  <si>
    <t>jql170215220116883</t>
  </si>
  <si>
    <t>NP20170216130921644077</t>
  </si>
  <si>
    <t>knd170213064142241</t>
  </si>
  <si>
    <t>NP20170216135407401767</t>
  </si>
  <si>
    <t>sub170216131028925</t>
  </si>
  <si>
    <t>NP20170216131037804934</t>
  </si>
  <si>
    <t>MGGL6T-MQ45EA7H9M</t>
  </si>
  <si>
    <t>NP20170216135605649475</t>
  </si>
  <si>
    <t>xep170214133617712</t>
  </si>
  <si>
    <t>NP20170216135216174141</t>
  </si>
  <si>
    <t>yyw170215211513328</t>
  </si>
  <si>
    <t>NP20170216135616491565</t>
  </si>
  <si>
    <t>331062270875</t>
  </si>
  <si>
    <t>NP20170216135721305642</t>
  </si>
  <si>
    <t>pzf161224170459377</t>
  </si>
  <si>
    <t>NP20170216135525269792</t>
  </si>
  <si>
    <t>331056394602</t>
  </si>
  <si>
    <t>NP20170216135829767571</t>
  </si>
  <si>
    <t>nhq170216113148638</t>
  </si>
  <si>
    <t>NP20170216135027800963</t>
  </si>
  <si>
    <t>331018645789</t>
  </si>
  <si>
    <t>NP20170216135646322474</t>
  </si>
  <si>
    <t>hiy170215133325661</t>
  </si>
  <si>
    <t>NP20170216135048518385</t>
  </si>
  <si>
    <t>kns170214012928513</t>
  </si>
  <si>
    <t>NP20170216135908374747</t>
  </si>
  <si>
    <t>doa170215102332334</t>
  </si>
  <si>
    <t>NP20170216132129044931</t>
  </si>
  <si>
    <t>ysy170215190952333</t>
  </si>
  <si>
    <t>NP20170216132456021578</t>
  </si>
  <si>
    <t>331071689386</t>
  </si>
  <si>
    <t>NP20170216130358095860</t>
  </si>
  <si>
    <t>nhq170212100150485</t>
  </si>
  <si>
    <t>NC20170216135933608622</t>
  </si>
  <si>
    <t>xuy170211163757943</t>
  </si>
  <si>
    <t>NP20170216131820231968</t>
  </si>
  <si>
    <t>haf170215191120800</t>
  </si>
  <si>
    <t>NP20170216131438265445</t>
  </si>
  <si>
    <t>jql170126100812159</t>
  </si>
  <si>
    <t>NP20170216130450197378</t>
  </si>
  <si>
    <t>srs170119183131844</t>
  </si>
  <si>
    <t>NP20170216134810133306</t>
  </si>
  <si>
    <t>jpl170210144408132</t>
  </si>
  <si>
    <t>NI20170216135547988959</t>
  </si>
  <si>
    <t>hiy170216133907523</t>
  </si>
  <si>
    <t>NP20170216135550141131</t>
  </si>
  <si>
    <t>GD2017021613551581</t>
  </si>
  <si>
    <t>sp_3_012</t>
  </si>
  <si>
    <t>NI20170216132504544673</t>
  </si>
  <si>
    <t>331069292362</t>
  </si>
  <si>
    <t>NP20170216140014181850</t>
  </si>
  <si>
    <t>330987845079</t>
  </si>
  <si>
    <t>NI20170216135903948004</t>
  </si>
  <si>
    <t>yxw161128171410140</t>
  </si>
  <si>
    <t>NP20170216135453983752</t>
  </si>
  <si>
    <t>xep161216050555433</t>
  </si>
  <si>
    <t>NP20170216135114442696</t>
  </si>
  <si>
    <t>ghc170209114140333</t>
  </si>
  <si>
    <t>NP20170216135927706099</t>
  </si>
  <si>
    <t>331064316737</t>
  </si>
  <si>
    <t>NP20170216134905742916</t>
  </si>
  <si>
    <t>sub170215163316316</t>
  </si>
  <si>
    <t>NP20170216134540773911</t>
  </si>
  <si>
    <t>bsx170213193235526</t>
  </si>
  <si>
    <t>NP20170216135723220486</t>
  </si>
  <si>
    <t>nhq170114132602886</t>
  </si>
  <si>
    <t>NI20170216135552112571</t>
  </si>
  <si>
    <t>331084950448</t>
  </si>
  <si>
    <t>NP20170216140113503645</t>
  </si>
  <si>
    <t>331033322986</t>
  </si>
  <si>
    <t>NP20170216134509923934</t>
  </si>
  <si>
    <t>jle170113153037481</t>
  </si>
  <si>
    <t>NP20170216135302671316</t>
  </si>
  <si>
    <t>cqh170208092827278</t>
  </si>
  <si>
    <t>NP20170216135707286845</t>
  </si>
  <si>
    <t>xep170122121406459</t>
  </si>
  <si>
    <t>NP20170216132144341314</t>
  </si>
  <si>
    <t>20170129111601KE774</t>
  </si>
  <si>
    <t>NP20170216131359850553</t>
  </si>
  <si>
    <t>ppg170204184529310</t>
  </si>
  <si>
    <t>NP20170216140047679977</t>
  </si>
  <si>
    <t>sbk160111002803337</t>
  </si>
  <si>
    <t>NP20170216140032174792</t>
  </si>
  <si>
    <t>qyu170212221412844</t>
  </si>
  <si>
    <t>NP20170216135300083695</t>
  </si>
  <si>
    <t>331084696564</t>
  </si>
  <si>
    <t>NP20170216135637480211</t>
  </si>
  <si>
    <t>lfi170216102607366e970c</t>
  </si>
  <si>
    <t>NI20170216132817678639</t>
  </si>
  <si>
    <t>20170122221829TR650</t>
  </si>
  <si>
    <t>NP20170216132812796252</t>
  </si>
  <si>
    <t>331080365464</t>
  </si>
  <si>
    <t>NI20170216133102201223</t>
  </si>
  <si>
    <t>331069896146</t>
  </si>
  <si>
    <t>NC20170216140429338214</t>
  </si>
  <si>
    <t>hfp170215165655359</t>
  </si>
  <si>
    <t>NP20170216140454359434</t>
  </si>
  <si>
    <t>doa170212145012524</t>
  </si>
  <si>
    <t>NC20170216140535170836</t>
  </si>
  <si>
    <t>xep170216140138905</t>
  </si>
  <si>
    <t>NI20170216140619444049</t>
  </si>
  <si>
    <t>331069865392</t>
  </si>
  <si>
    <t>NP20170216140625658745</t>
  </si>
  <si>
    <t>xep170213160823824</t>
  </si>
  <si>
    <t>NP20170216140619653493</t>
  </si>
  <si>
    <t>ghc170112224331764</t>
  </si>
  <si>
    <t>NP20170216140706342280</t>
  </si>
  <si>
    <t>xep170213155049060</t>
  </si>
  <si>
    <t>NP20170216140752731959</t>
  </si>
  <si>
    <t>xep170213154546077</t>
  </si>
  <si>
    <t>NC20170216140913390619</t>
  </si>
  <si>
    <t>331042518144</t>
  </si>
  <si>
    <t>NC20170216140918738909</t>
  </si>
  <si>
    <t>dzc170205220234416</t>
  </si>
  <si>
    <t>NC20170216140927527518</t>
  </si>
  <si>
    <t>331084707313</t>
  </si>
  <si>
    <t>NP20170216140901679160</t>
  </si>
  <si>
    <t>lfi170119073801687ea3be</t>
  </si>
  <si>
    <t>NP20170216140721104986</t>
  </si>
  <si>
    <t>xep170131195836347</t>
  </si>
  <si>
    <t>NP20170216141002261392</t>
  </si>
  <si>
    <t>sub170216140528022</t>
  </si>
  <si>
    <t>NP20170216141128955856</t>
  </si>
  <si>
    <t>sub170208141905225</t>
  </si>
  <si>
    <t>NP20170216140853761187</t>
  </si>
  <si>
    <t>jxp170210205518948</t>
  </si>
  <si>
    <t>NP20170216141157337193</t>
  </si>
  <si>
    <t>yyw170203094321063</t>
  </si>
  <si>
    <t>NI20170216140815115391</t>
  </si>
  <si>
    <t>331030927486</t>
  </si>
  <si>
    <t>NC20170216141225509131</t>
  </si>
  <si>
    <t>331084289002</t>
  </si>
  <si>
    <t>NI20170216141110970988</t>
  </si>
  <si>
    <t>331084619230</t>
  </si>
  <si>
    <t>NI20170216134213657155</t>
  </si>
  <si>
    <t>zgl170204001034381</t>
  </si>
  <si>
    <t>NI20170216141308025652</t>
  </si>
  <si>
    <t>331030562247</t>
  </si>
  <si>
    <t>NP20170216141423629853</t>
  </si>
  <si>
    <t>pma170120162049026</t>
  </si>
  <si>
    <t>NC20170216140910449729</t>
  </si>
  <si>
    <t>331051072528</t>
  </si>
  <si>
    <t>NI20170216141424348242</t>
  </si>
  <si>
    <t>331030217222</t>
  </si>
  <si>
    <t>NP20170216141455699466</t>
  </si>
  <si>
    <t>ghc170215232633514</t>
  </si>
  <si>
    <t>NI20170216141456138399</t>
  </si>
  <si>
    <t>331033590501</t>
  </si>
  <si>
    <t>NI20170216141328652004</t>
  </si>
  <si>
    <t>331083732578</t>
  </si>
  <si>
    <t>NI20170216141610635510</t>
  </si>
  <si>
    <t>331078506358</t>
  </si>
  <si>
    <t>NI20170216141628714672</t>
  </si>
  <si>
    <t>331073971125</t>
  </si>
  <si>
    <t>NI20170216141639315929</t>
  </si>
  <si>
    <t>331073503217</t>
  </si>
  <si>
    <t>NI20170216141709564058</t>
  </si>
  <si>
    <t>331046973607</t>
  </si>
  <si>
    <t>NI20170216141716682714</t>
  </si>
  <si>
    <t>331046468138</t>
  </si>
  <si>
    <t>NI20170216141736544566</t>
  </si>
  <si>
    <t>331041452548</t>
  </si>
  <si>
    <t>NI20170216141754509428</t>
  </si>
  <si>
    <t>331040905195</t>
  </si>
  <si>
    <t>NI20170216141805126195</t>
  </si>
  <si>
    <t>331037902400</t>
  </si>
  <si>
    <t>NI20170216141820233751</t>
  </si>
  <si>
    <t>331036904154</t>
  </si>
  <si>
    <t>NI20170216140553390712</t>
  </si>
  <si>
    <t>xep170203154250286</t>
  </si>
  <si>
    <t>NP20170216141819992208</t>
  </si>
  <si>
    <t>ghc170216135446966</t>
  </si>
  <si>
    <t>NP20170216140406374996</t>
  </si>
  <si>
    <t>331023424123</t>
  </si>
  <si>
    <t>NC20170216142011800755</t>
  </si>
  <si>
    <t>hiy170130203513043</t>
  </si>
  <si>
    <t>NP20170216141649220665</t>
  </si>
  <si>
    <t>331082897433</t>
  </si>
  <si>
    <t>NP20170216141946652628</t>
  </si>
  <si>
    <t>sub170215213119452</t>
  </si>
  <si>
    <t>NP20170216141033450276</t>
  </si>
  <si>
    <t>331053401339</t>
  </si>
  <si>
    <t>NC20170216142305685087</t>
  </si>
  <si>
    <t>331082966255</t>
  </si>
  <si>
    <t>NP20170216142051305863</t>
  </si>
  <si>
    <t>xky170106145546424</t>
  </si>
  <si>
    <t>NP20170216141338333206</t>
  </si>
  <si>
    <t>331076610475</t>
  </si>
  <si>
    <t>NP20170216142019101576</t>
  </si>
  <si>
    <t>xep170216111511124</t>
  </si>
  <si>
    <t>NC20170216142107192877</t>
  </si>
  <si>
    <t>331083972319</t>
  </si>
  <si>
    <t>NP20170216141805594353</t>
  </si>
  <si>
    <t>331062903085</t>
  </si>
  <si>
    <t>NC20170216142503489352</t>
  </si>
  <si>
    <t>bbw170216141932101</t>
  </si>
  <si>
    <t>NP20170216142233230918</t>
  </si>
  <si>
    <t>jql170216100203313</t>
  </si>
  <si>
    <t>NP20170216141857697732</t>
  </si>
  <si>
    <t>331084249946</t>
  </si>
  <si>
    <t>NP20170216142002420370</t>
  </si>
  <si>
    <t>xep170214114908782</t>
  </si>
  <si>
    <t>NC20170216142601524416</t>
  </si>
  <si>
    <t>nhq170119161843965</t>
  </si>
  <si>
    <t>NP20170216142331810819</t>
  </si>
  <si>
    <t>doa170215121850043</t>
  </si>
  <si>
    <t>NP20170216142622328054</t>
  </si>
  <si>
    <t>GD2017021614265462</t>
  </si>
  <si>
    <t>NP20170216142404120100</t>
  </si>
  <si>
    <t>jql170216100203314</t>
  </si>
  <si>
    <t>NP20170216142503279486</t>
  </si>
  <si>
    <t>knd170207112037854</t>
  </si>
  <si>
    <t>NI20170216140315669744</t>
  </si>
  <si>
    <t>330979026318</t>
  </si>
  <si>
    <t>NC20170216142714531500</t>
  </si>
  <si>
    <t>doa170202145533324</t>
  </si>
  <si>
    <t>NP20170216142244065686</t>
  </si>
  <si>
    <t>GD2017021614222641</t>
  </si>
  <si>
    <t>NP20170216141905150277</t>
  </si>
  <si>
    <t>bbw170204121316393</t>
  </si>
  <si>
    <t>NP20170216142433644940</t>
  </si>
  <si>
    <t>hiy170213133827544</t>
  </si>
  <si>
    <t>NC20170216142803606118</t>
  </si>
  <si>
    <t>331084570173</t>
  </si>
  <si>
    <t>NC20170216142836750260</t>
  </si>
  <si>
    <t>ghc170216141956208</t>
  </si>
  <si>
    <t>NP20170216142537347250</t>
  </si>
  <si>
    <t>tyx170210104624089</t>
  </si>
  <si>
    <t>NC20170216142845091973</t>
  </si>
  <si>
    <t>xyz170209212347054</t>
  </si>
  <si>
    <t>NP20170216140959492819</t>
  </si>
  <si>
    <t>331035999046</t>
  </si>
  <si>
    <t>NP20170216142629819351</t>
  </si>
  <si>
    <t>jyk170212134040194</t>
  </si>
  <si>
    <t>NP20170216140454781947</t>
  </si>
  <si>
    <t>331084924840</t>
  </si>
  <si>
    <t>NP20170216141937646717</t>
  </si>
  <si>
    <t>nhq170216135756840</t>
  </si>
  <si>
    <t>NP20170216141952816755</t>
  </si>
  <si>
    <t>xep170206112846368</t>
  </si>
  <si>
    <t>NP20170216141843980704</t>
  </si>
  <si>
    <t>ghc170216135258480</t>
  </si>
  <si>
    <t>NI20170216141626429089</t>
  </si>
  <si>
    <t>330995384881</t>
  </si>
  <si>
    <t>NP20170216143022069536</t>
  </si>
  <si>
    <t>331084351890</t>
  </si>
  <si>
    <t>NP20170216141834223864</t>
  </si>
  <si>
    <t>xep170213145837887</t>
  </si>
  <si>
    <t>NP20170216142556987309</t>
  </si>
  <si>
    <t>scv170126202305135</t>
  </si>
  <si>
    <t>NC20170216143207063131</t>
  </si>
  <si>
    <t>330998932940</t>
  </si>
  <si>
    <t>NP20170216142631356526</t>
  </si>
  <si>
    <t>0067166615</t>
  </si>
  <si>
    <t>NP20170216140928402282</t>
  </si>
  <si>
    <t>20170216114306UO672</t>
  </si>
  <si>
    <t>NP20170216142128850197</t>
  </si>
  <si>
    <t>ghc170124135000745</t>
  </si>
  <si>
    <t>NP20170216140910691677</t>
  </si>
  <si>
    <t>jql170104232514758</t>
  </si>
  <si>
    <t>NC20170216141427631209</t>
  </si>
  <si>
    <t>ysh170118102210219</t>
  </si>
  <si>
    <t>NP20170216142821222193</t>
  </si>
  <si>
    <t>szv170215151344700</t>
  </si>
  <si>
    <t>NP20170216143313208737</t>
  </si>
  <si>
    <t>kmb170131131500112</t>
  </si>
  <si>
    <t>NP20170216142655386074</t>
  </si>
  <si>
    <t>sdc170209132931117</t>
  </si>
  <si>
    <t>NP20170216143542439861</t>
  </si>
  <si>
    <t>201701051110033K595</t>
  </si>
  <si>
    <t>NP20170216142601691240</t>
  </si>
  <si>
    <t>mir160614095418720</t>
  </si>
  <si>
    <t>NP20170216142029845833</t>
  </si>
  <si>
    <t>mir160614095418721</t>
  </si>
  <si>
    <t>NP20170216143425112623</t>
  </si>
  <si>
    <t>doa170114213016380</t>
  </si>
  <si>
    <t>NP20170216143402544317</t>
  </si>
  <si>
    <t>hiy170114213409205</t>
  </si>
  <si>
    <t>NP20170216143334326564</t>
  </si>
  <si>
    <t>doa170114213543530</t>
  </si>
  <si>
    <t>NP20170216143308203356</t>
  </si>
  <si>
    <t>331054815689</t>
  </si>
  <si>
    <t>NI20170216141230386626</t>
  </si>
  <si>
    <t>331030035381</t>
  </si>
  <si>
    <t>NP20170216143457034546</t>
  </si>
  <si>
    <t>hxg170215140640565</t>
  </si>
  <si>
    <t>NI20170216143230233375</t>
  </si>
  <si>
    <t>sjd170216142637120</t>
  </si>
  <si>
    <t>NP20170216143713623529</t>
  </si>
  <si>
    <t>331042444558</t>
  </si>
  <si>
    <t>NP20170216143432304866</t>
  </si>
  <si>
    <t>xep170213213744242</t>
  </si>
  <si>
    <t>NP20170216143751011868</t>
  </si>
  <si>
    <t>20161225121433TZ292</t>
  </si>
  <si>
    <t>NP20170216143705274504</t>
  </si>
  <si>
    <t>pzf170205230433468</t>
  </si>
  <si>
    <t>NP20170216142902546728</t>
  </si>
  <si>
    <t>wxw170213224630084</t>
  </si>
  <si>
    <t>NP20170216143120881935</t>
  </si>
  <si>
    <t>doa161124164057268</t>
  </si>
  <si>
    <t>NP20170216141519722099</t>
  </si>
  <si>
    <t>ldf170216134411230e89c4</t>
  </si>
  <si>
    <t>NP20170216143825533986</t>
  </si>
  <si>
    <t>20170104001031TZ511</t>
  </si>
  <si>
    <t>NP20170216140612030568</t>
  </si>
  <si>
    <t>xep170128145516638</t>
  </si>
  <si>
    <t>NP20170216143218051751</t>
  </si>
  <si>
    <t>pma170204162447841</t>
  </si>
  <si>
    <t>NP20170216142154107330</t>
  </si>
  <si>
    <t>xpb170215173659811</t>
  </si>
  <si>
    <t>NC20170216143915591149</t>
  </si>
  <si>
    <t>czg170215150258659</t>
  </si>
  <si>
    <t>NP20170216143456788337</t>
  </si>
  <si>
    <t>hiy170203105403941</t>
  </si>
  <si>
    <t>NC20170216143932739244</t>
  </si>
  <si>
    <t>jxp170210093634177</t>
  </si>
  <si>
    <t>NP20170216143240260499</t>
  </si>
  <si>
    <t>qdj170216125536289</t>
  </si>
  <si>
    <t>NP20170216144006617043</t>
  </si>
  <si>
    <t>ghc170112141204994</t>
  </si>
  <si>
    <t>NI20170216141732607095</t>
  </si>
  <si>
    <t>ghc170213210913185</t>
  </si>
  <si>
    <t>NP20170216143935567559</t>
  </si>
  <si>
    <t>GD2017021614399984</t>
  </si>
  <si>
    <t>NP20170216144044896218</t>
  </si>
  <si>
    <t>doa170113094329964</t>
  </si>
  <si>
    <t>NP20170216141457008370</t>
  </si>
  <si>
    <t>xep170206133353170</t>
  </si>
  <si>
    <t>NP20170216143148813349</t>
  </si>
  <si>
    <t>xep170213121332542</t>
  </si>
  <si>
    <t>NC20170216144137752065</t>
  </si>
  <si>
    <t>sdc170212143805120</t>
  </si>
  <si>
    <t>NP20170216143419057441</t>
  </si>
  <si>
    <t>zdx160811150107122</t>
  </si>
  <si>
    <t>NP20170216142812542922</t>
  </si>
  <si>
    <t>tjf170212111040828</t>
  </si>
  <si>
    <t>NP20170216144147446148</t>
  </si>
  <si>
    <t>xep170117102746706</t>
  </si>
  <si>
    <t>NP20170216142930131296</t>
  </si>
  <si>
    <t>331084914366</t>
  </si>
  <si>
    <t>NP20170216143811544259</t>
  </si>
  <si>
    <t>doa170216110217929</t>
  </si>
  <si>
    <t>NP20170216144130542682</t>
  </si>
  <si>
    <t>xuy170216121938316</t>
  </si>
  <si>
    <t>NP20170216142811544682</t>
  </si>
  <si>
    <t>331084073731</t>
  </si>
  <si>
    <t>NP20170216144211998745</t>
  </si>
  <si>
    <t>cqh170123123331724</t>
  </si>
  <si>
    <t>NP20170216140526595107</t>
  </si>
  <si>
    <t>hiy161227145145834</t>
  </si>
  <si>
    <t>NP20170216144244291061</t>
  </si>
  <si>
    <t>hiy170203212708753</t>
  </si>
  <si>
    <t>NC20170216144343028130</t>
  </si>
  <si>
    <t>sdc170131180043520</t>
  </si>
  <si>
    <t>NP20170216144419872619</t>
  </si>
  <si>
    <t>hmk170120100550231</t>
  </si>
  <si>
    <t>NP20170216143427139214</t>
  </si>
  <si>
    <t>jnw170204184946276</t>
  </si>
  <si>
    <t>NP20170216144438455078</t>
  </si>
  <si>
    <t>hmk170120095528757</t>
  </si>
  <si>
    <t>NP20170216143647234997</t>
  </si>
  <si>
    <t>331076206005</t>
  </si>
  <si>
    <t>NP20170216141349597188</t>
  </si>
  <si>
    <t>jtg170120095651073</t>
  </si>
  <si>
    <t>NP20170216143433978645</t>
  </si>
  <si>
    <t>ebb170214142014387</t>
  </si>
  <si>
    <t>NP20170216140848388157</t>
  </si>
  <si>
    <t>khl161204133249026</t>
  </si>
  <si>
    <t>NP20170216144229396910</t>
  </si>
  <si>
    <t>331084566206</t>
  </si>
  <si>
    <t>NP20170216141955347689</t>
  </si>
  <si>
    <t>xep170216135905203</t>
  </si>
  <si>
    <t>NP20170216144344746141</t>
  </si>
  <si>
    <t>fny170212105726587</t>
  </si>
  <si>
    <t>NP20170216144223493101</t>
  </si>
  <si>
    <t>xep170216085350161</t>
  </si>
  <si>
    <t>NP20170216142049318937</t>
  </si>
  <si>
    <t>hxz170216090921072</t>
  </si>
  <si>
    <t>NP20170216143522901534</t>
  </si>
  <si>
    <t>331081858751</t>
  </si>
  <si>
    <t>NP20170216143306977267</t>
  </si>
  <si>
    <t>GD2017021614336419</t>
  </si>
  <si>
    <t>NP20170216140721141075</t>
  </si>
  <si>
    <t>nhq170215210246158</t>
  </si>
  <si>
    <t>NP20170216144001128814</t>
  </si>
  <si>
    <t>331066413897</t>
  </si>
  <si>
    <t>NP20170216143208022371</t>
  </si>
  <si>
    <t>ghc170106144111464</t>
  </si>
  <si>
    <t>NP20170216140731287791</t>
  </si>
  <si>
    <t>xuy170210100223496</t>
  </si>
  <si>
    <t>NP20170216141127404830</t>
  </si>
  <si>
    <t>ghc170215173121448</t>
  </si>
  <si>
    <t>NI20170216143317203115</t>
  </si>
  <si>
    <t>xep170205134414506</t>
  </si>
  <si>
    <t>NI20170216144157698595</t>
  </si>
  <si>
    <t>ghc170205132713067</t>
  </si>
  <si>
    <t>NP20170216144302056536</t>
  </si>
  <si>
    <t>331076311352</t>
  </si>
  <si>
    <t>NP20170216144207008816</t>
  </si>
  <si>
    <t>xxk170122145628379</t>
  </si>
  <si>
    <t>NP20170216142342209988</t>
  </si>
  <si>
    <t>330875610983</t>
  </si>
  <si>
    <t>NP20170216144815055287</t>
  </si>
  <si>
    <t>xep170112162528433</t>
  </si>
  <si>
    <t>NP20170216144849270784</t>
  </si>
  <si>
    <t>xep170112154813041</t>
  </si>
  <si>
    <t>NP20170216144637109867</t>
  </si>
  <si>
    <t>yyw170216123126945</t>
  </si>
  <si>
    <t>NP20170216144325952710</t>
  </si>
  <si>
    <t>331083981934</t>
  </si>
  <si>
    <t>NP20170216144917202278</t>
  </si>
  <si>
    <t>hiy170112170704099</t>
  </si>
  <si>
    <t>NP20170216144631675951</t>
  </si>
  <si>
    <t>nhq170208192022770</t>
  </si>
  <si>
    <t>NP20170216144658394676</t>
  </si>
  <si>
    <t>xep170212222327639</t>
  </si>
  <si>
    <t>NP20170216144358088035</t>
  </si>
  <si>
    <t>wuw161223144938302</t>
  </si>
  <si>
    <t>NP20170216144733519685</t>
  </si>
  <si>
    <t>331084634780</t>
  </si>
  <si>
    <t>NP20170216145006927893</t>
  </si>
  <si>
    <t>nhq170120135817196</t>
  </si>
  <si>
    <t>NP20170216142304644756</t>
  </si>
  <si>
    <t>20170215161817TZ019</t>
  </si>
  <si>
    <t>NI20170216144000076054</t>
  </si>
  <si>
    <t>331073838929</t>
  </si>
  <si>
    <t>NP20170216144106590497</t>
  </si>
  <si>
    <t>tjf170209213648220</t>
  </si>
  <si>
    <t>NP20170216141717617815</t>
  </si>
  <si>
    <t>xep170216140805746</t>
  </si>
  <si>
    <t>NI20170216144758269660</t>
  </si>
  <si>
    <t>331061063296</t>
  </si>
  <si>
    <t>NP20170216144755821542</t>
  </si>
  <si>
    <t>xep161231202918726</t>
  </si>
  <si>
    <t>NP20170216144020476462</t>
  </si>
  <si>
    <t>hiy170116194517488</t>
  </si>
  <si>
    <t>NI20170216141602718262</t>
  </si>
  <si>
    <t>pgl170209230628771</t>
  </si>
  <si>
    <t>NP20170216144623075049</t>
  </si>
  <si>
    <t>sme170113162116120</t>
  </si>
  <si>
    <t>NP20170216143628125553</t>
  </si>
  <si>
    <t>ylr170216143221785</t>
  </si>
  <si>
    <t>NP20170216145206165281</t>
  </si>
  <si>
    <t>xep161013115401357</t>
  </si>
  <si>
    <t>NP20170216144640920388</t>
  </si>
  <si>
    <t>331075193350</t>
  </si>
  <si>
    <t>NP20170216145209499837</t>
  </si>
  <si>
    <t>331084953106</t>
  </si>
  <si>
    <t>NP20170216143501199273</t>
  </si>
  <si>
    <t>czc170214142458634</t>
  </si>
  <si>
    <t>NP20170216144840452142</t>
  </si>
  <si>
    <t>xep170215151518166</t>
  </si>
  <si>
    <t>NP20170216144259195574</t>
  </si>
  <si>
    <t>331084235909</t>
  </si>
  <si>
    <t>NI20170216144418188102</t>
  </si>
  <si>
    <t>axo170216111642615</t>
  </si>
  <si>
    <t>NP20170216144916448502</t>
  </si>
  <si>
    <t>fhr170216143852530</t>
  </si>
  <si>
    <t>NP20170216142629964198</t>
  </si>
  <si>
    <t>sme170201192921325</t>
  </si>
  <si>
    <t>NC20170216145500424418</t>
  </si>
  <si>
    <t>ffs170213162134576</t>
  </si>
  <si>
    <t>NP20170216145252775756</t>
  </si>
  <si>
    <t>ysh170131213315267</t>
  </si>
  <si>
    <t>NC20170216145506650990</t>
  </si>
  <si>
    <t>331084104466</t>
  </si>
  <si>
    <t>NP20170216144151600161</t>
  </si>
  <si>
    <t>nhq170122082913222</t>
  </si>
  <si>
    <t>NP20170216145017826066</t>
  </si>
  <si>
    <t>331084956446</t>
  </si>
  <si>
    <t>NP20170216143026485654</t>
  </si>
  <si>
    <t>331084471032</t>
  </si>
  <si>
    <t>NP20170216145145380088</t>
  </si>
  <si>
    <t>sme170215154928375</t>
  </si>
  <si>
    <t>NP20170216143250810325</t>
  </si>
  <si>
    <t>cos170216141700378</t>
  </si>
  <si>
    <t>NI20170216144159455152</t>
  </si>
  <si>
    <t>hck170216142118596</t>
  </si>
  <si>
    <t>NP20170216145305677119</t>
  </si>
  <si>
    <t>331061408289</t>
  </si>
  <si>
    <t>NP20170216145502015116</t>
  </si>
  <si>
    <t>xep170216141737546</t>
  </si>
  <si>
    <t>NP20170216144956167375</t>
  </si>
  <si>
    <t>scv170211200124709</t>
  </si>
  <si>
    <t>NP20170216145142757704</t>
  </si>
  <si>
    <t>331084395018</t>
  </si>
  <si>
    <t>NP20170216145601156002</t>
  </si>
  <si>
    <t>doa170114115334946</t>
  </si>
  <si>
    <t>NP20170216144838425762</t>
  </si>
  <si>
    <t>fna170126234244902</t>
  </si>
  <si>
    <t>NP20170216145229272697</t>
  </si>
  <si>
    <t>ydl170216143352152</t>
  </si>
  <si>
    <t>NP20170216144858173581</t>
  </si>
  <si>
    <t>xuy170131165724356</t>
  </si>
  <si>
    <t>NP20170216144533562211</t>
  </si>
  <si>
    <t>cme170216143104424</t>
  </si>
  <si>
    <t>NP20170216144602695686</t>
  </si>
  <si>
    <t>xep170216131520430</t>
  </si>
  <si>
    <t>NP20170216145636200329</t>
  </si>
  <si>
    <t>xep170112173112202</t>
  </si>
  <si>
    <t>NP20170216145259276278</t>
  </si>
  <si>
    <t>331084035435</t>
  </si>
  <si>
    <t>NI20170216145647416933</t>
  </si>
  <si>
    <t>tjf170216090338959</t>
  </si>
  <si>
    <t>NP20170216145317730159</t>
  </si>
  <si>
    <t>jzj170129001108121</t>
  </si>
  <si>
    <t>NP20170216145456636493</t>
  </si>
  <si>
    <t>331081791774</t>
  </si>
  <si>
    <t>NP20170216142044943233</t>
  </si>
  <si>
    <t>C1702160051747</t>
  </si>
  <si>
    <t>NP20170216145306922585</t>
  </si>
  <si>
    <t>bhs170216064203767</t>
  </si>
  <si>
    <t>NI20170216144440186904</t>
  </si>
  <si>
    <t>331058194181</t>
  </si>
  <si>
    <t>NP20170216143654546228</t>
  </si>
  <si>
    <t>331082344121</t>
  </si>
  <si>
    <t>NI20170216145644377410</t>
  </si>
  <si>
    <t>nhq170129122516643</t>
  </si>
  <si>
    <t>NP20170216145601732281</t>
  </si>
  <si>
    <t>331084032060</t>
  </si>
  <si>
    <t>NP20170216145705138118</t>
  </si>
  <si>
    <t>ghc170120102714766</t>
  </si>
  <si>
    <t>NI20170216141123812740</t>
  </si>
  <si>
    <t>xkw170209214947355</t>
  </si>
  <si>
    <t>NI20170216143521617082</t>
  </si>
  <si>
    <t>pzf170212153049314</t>
  </si>
  <si>
    <t>NP20170216145035068921</t>
  </si>
  <si>
    <t>yyw170216131232748</t>
  </si>
  <si>
    <t>NP20170216145739640540</t>
  </si>
  <si>
    <t>xep170112161016676</t>
  </si>
  <si>
    <t>NP20170216144833542562</t>
  </si>
  <si>
    <t>xep170216123928377</t>
  </si>
  <si>
    <t>NP20170216144419643645</t>
  </si>
  <si>
    <t>201702161154123870</t>
  </si>
  <si>
    <t>NP20170216145702547184</t>
  </si>
  <si>
    <t>201702081943096135</t>
  </si>
  <si>
    <t>NP20170216145811657777</t>
  </si>
  <si>
    <t>hiy170120135538886</t>
  </si>
  <si>
    <t>NP20170216143642447113</t>
  </si>
  <si>
    <t>xep170119141558281</t>
  </si>
  <si>
    <t>NP20170216145151841160</t>
  </si>
  <si>
    <t>331084113904</t>
  </si>
  <si>
    <t>NP20170216145451280428</t>
  </si>
  <si>
    <t>xuy170103221316987</t>
  </si>
  <si>
    <t>NP20170216140938737100</t>
  </si>
  <si>
    <t>331083475298</t>
  </si>
  <si>
    <t>NP20170216145259523035</t>
  </si>
  <si>
    <t>sdc170102130700237</t>
  </si>
  <si>
    <t>NI20170216145651865837</t>
  </si>
  <si>
    <t>331084717913</t>
  </si>
  <si>
    <t>NI20170216145705419633</t>
  </si>
  <si>
    <t>331084928333</t>
  </si>
  <si>
    <t>NP20170216142043134779</t>
  </si>
  <si>
    <t>doa170113082337479</t>
  </si>
  <si>
    <t>NI20170216145204933495</t>
  </si>
  <si>
    <t>qyp170212001640722</t>
  </si>
  <si>
    <t>NP20170216145939100811</t>
  </si>
  <si>
    <t>sie170215174934862</t>
  </si>
  <si>
    <t>NI20170216144803487690</t>
  </si>
  <si>
    <t>331084910718</t>
  </si>
  <si>
    <t>NP20170216144901850603</t>
  </si>
  <si>
    <t>xep170206083210584</t>
  </si>
  <si>
    <t>NP20170216144653167680</t>
  </si>
  <si>
    <t>xep170215143545358</t>
  </si>
  <si>
    <t>NP20170216144516515120</t>
  </si>
  <si>
    <t>GD2017021614454811</t>
  </si>
  <si>
    <t>NP20170216145252012127</t>
  </si>
  <si>
    <t>xep170202101317258</t>
  </si>
  <si>
    <t>NC20170216150102260297</t>
  </si>
  <si>
    <t>xuy170216092049554</t>
  </si>
  <si>
    <t>NP20170216150008604613</t>
  </si>
  <si>
    <t>331084813055</t>
  </si>
  <si>
    <t>NI20170216150046222811</t>
  </si>
  <si>
    <t>331056361501</t>
  </si>
  <si>
    <t>NP20170216142425696316</t>
  </si>
  <si>
    <t>mxc170213014625813</t>
  </si>
  <si>
    <t>NP20170216145955481598</t>
  </si>
  <si>
    <t>331054032469</t>
  </si>
  <si>
    <t>NP20170216144133824571</t>
  </si>
  <si>
    <t>xep170212174111386</t>
  </si>
  <si>
    <t>NP20170216145523278672</t>
  </si>
  <si>
    <t>scv170126153829705</t>
  </si>
  <si>
    <t>NI20170216145643294655</t>
  </si>
  <si>
    <t>201702112208107294</t>
  </si>
  <si>
    <t>NP20170216145254479681</t>
  </si>
  <si>
    <t>tjf170118193507982</t>
  </si>
  <si>
    <t>NP20170216140527628343</t>
  </si>
  <si>
    <t>xep170215175617527</t>
  </si>
  <si>
    <t>NP20170216145021999565</t>
  </si>
  <si>
    <t>dzq161220103345234</t>
  </si>
  <si>
    <t>NP20170216150014616184</t>
  </si>
  <si>
    <t>ghc170210183349865</t>
  </si>
  <si>
    <t>NP20170216150105445261</t>
  </si>
  <si>
    <t>xep161217132651896</t>
  </si>
  <si>
    <t>NP20170216145952583685</t>
  </si>
  <si>
    <t>331010400836</t>
  </si>
  <si>
    <t>NP20170216141416771296</t>
  </si>
  <si>
    <t>yse170131212525693</t>
  </si>
  <si>
    <t>NP20170216145115030774</t>
  </si>
  <si>
    <t>tyx170216133958739</t>
  </si>
  <si>
    <t>NP20170216144948193424</t>
  </si>
  <si>
    <t>xep170215181339606</t>
  </si>
  <si>
    <t>NP20170216145138356721</t>
  </si>
  <si>
    <t>331084401235</t>
  </si>
  <si>
    <t>NP20170216143607004253</t>
  </si>
  <si>
    <t>GD2017021614368756</t>
  </si>
  <si>
    <t>NP20170216150000410021</t>
  </si>
  <si>
    <t>jql170216143748248</t>
  </si>
  <si>
    <t>NP20170216145312378050</t>
  </si>
  <si>
    <t>xep170211113033073</t>
  </si>
  <si>
    <t>NP20170216143340425634</t>
  </si>
  <si>
    <t>ghc170124091732176</t>
  </si>
  <si>
    <t>NP20170216145128330054</t>
  </si>
  <si>
    <t>doa170118154125632</t>
  </si>
  <si>
    <t>NP20170216143454076104</t>
  </si>
  <si>
    <t>201612242159043K707</t>
  </si>
  <si>
    <t>NP20170216143641723357</t>
  </si>
  <si>
    <t>331002605926</t>
  </si>
  <si>
    <t>NP20170216145854732037</t>
  </si>
  <si>
    <t>doa170209131557315</t>
  </si>
  <si>
    <t>NP20170216145718158885</t>
  </si>
  <si>
    <t>tjf170216011015190</t>
  </si>
  <si>
    <t>NP20170216150148255903</t>
  </si>
  <si>
    <t>ghc170216145639483</t>
  </si>
  <si>
    <t>NP20170216140825692709</t>
  </si>
  <si>
    <t>331084484415</t>
  </si>
  <si>
    <t>NP20170216145534574713</t>
  </si>
  <si>
    <t>hiy170203135937616</t>
  </si>
  <si>
    <t>NP20170216142955087310</t>
  </si>
  <si>
    <t>hhn170216140035614</t>
  </si>
  <si>
    <t>NP20170216145544070831</t>
  </si>
  <si>
    <t>ppg170216133958738</t>
  </si>
  <si>
    <t>NI20170216145832819521</t>
  </si>
  <si>
    <t>pzf170117212619307</t>
  </si>
  <si>
    <t>NC20170216145722266677</t>
  </si>
  <si>
    <t>331076774773</t>
  </si>
  <si>
    <t>NP20170216145939294148</t>
  </si>
  <si>
    <t>ghc170124094104465</t>
  </si>
  <si>
    <t>NP20170216140936951827</t>
  </si>
  <si>
    <t>ghc170215140800935</t>
  </si>
  <si>
    <t>NP20170216145822277151</t>
  </si>
  <si>
    <t>xep170216144639690</t>
  </si>
  <si>
    <t>NP20170216145808746812</t>
  </si>
  <si>
    <t>xgx161211200306255</t>
  </si>
  <si>
    <t>NP20170216145905600829</t>
  </si>
  <si>
    <t>xuy170216144804083</t>
  </si>
  <si>
    <t>NP20170216144550113769</t>
  </si>
  <si>
    <t>331084072733</t>
  </si>
  <si>
    <t>NP20170216145159732417</t>
  </si>
  <si>
    <t>dzc170214211630326</t>
  </si>
  <si>
    <t>NI20170216150259253957</t>
  </si>
  <si>
    <t>330998664817</t>
  </si>
  <si>
    <t>NP20170216144942280513</t>
  </si>
  <si>
    <t>doa170206083522989</t>
  </si>
  <si>
    <t>NP20170216142923115950</t>
  </si>
  <si>
    <t>xep170216141043466</t>
  </si>
  <si>
    <t>NP20170216150350782157</t>
  </si>
  <si>
    <t>dzq160307113737098</t>
  </si>
  <si>
    <t>NP20170216150251881508</t>
  </si>
  <si>
    <t>hhz161227115355897</t>
  </si>
  <si>
    <t>NC20170216150708768706</t>
  </si>
  <si>
    <t>331004425977</t>
  </si>
  <si>
    <t>NP20170216150437719050</t>
  </si>
  <si>
    <t>tjf170209205216253</t>
  </si>
  <si>
    <t>NC20170216150835838833</t>
  </si>
  <si>
    <t>doa170209140426880</t>
  </si>
  <si>
    <t>NP20170216150552314865</t>
  </si>
  <si>
    <t>xep170216104410155</t>
  </si>
  <si>
    <t>NP20170216150707793045</t>
  </si>
  <si>
    <t>ppg170206123324193</t>
  </si>
  <si>
    <t>NC20170216150951514061</t>
  </si>
  <si>
    <t>scv170207133949558</t>
  </si>
  <si>
    <t>NP20170216150510400533</t>
  </si>
  <si>
    <t>xep170206123324194</t>
  </si>
  <si>
    <t>NC20170216151137175455</t>
  </si>
  <si>
    <t>mhw170216150952100</t>
  </si>
  <si>
    <t>NP20170216150416058141</t>
  </si>
  <si>
    <t>nhq170205140013479</t>
  </si>
  <si>
    <t>NI20170216151112919019</t>
  </si>
  <si>
    <t>331052356646</t>
  </si>
  <si>
    <t>NC20170216151146360713</t>
  </si>
  <si>
    <t>bbw170216132012926</t>
  </si>
  <si>
    <t>NI20170216150656612669</t>
  </si>
  <si>
    <t>xep170216130830302</t>
  </si>
  <si>
    <t>NP20170216150916375719</t>
  </si>
  <si>
    <t>xuy170216095421143</t>
  </si>
  <si>
    <t>NP20170216150217300299</t>
  </si>
  <si>
    <t>51170106126952</t>
  </si>
  <si>
    <t>NP20170216150907436597</t>
  </si>
  <si>
    <t>pzf170213145644401</t>
  </si>
  <si>
    <t>NP20170216151102883508</t>
  </si>
  <si>
    <t>xep170215185352192</t>
  </si>
  <si>
    <t>NC20170216151506841850</t>
  </si>
  <si>
    <t>xuy170120164918309</t>
  </si>
  <si>
    <t>NP20170216151110032280</t>
  </si>
  <si>
    <t>xep170212094313609</t>
  </si>
  <si>
    <t>NP20170216151331536805</t>
  </si>
  <si>
    <t>331072899616</t>
  </si>
  <si>
    <t>NP20170216150741747610</t>
  </si>
  <si>
    <t>ghc170216091401061</t>
  </si>
  <si>
    <t>NP20170216151228255877</t>
  </si>
  <si>
    <t>pzf170116152452148</t>
  </si>
  <si>
    <t>NP20170216151025787151</t>
  </si>
  <si>
    <t>xep170212094313610</t>
  </si>
  <si>
    <t>NP20170216151503655313</t>
  </si>
  <si>
    <t>czc170216140502914</t>
  </si>
  <si>
    <t>NP20170216150345749195</t>
  </si>
  <si>
    <t>331061325361</t>
  </si>
  <si>
    <t>NP20170216151555918205</t>
  </si>
  <si>
    <t>doa170209101638148</t>
  </si>
  <si>
    <t>NC20170216151757529158</t>
  </si>
  <si>
    <t>kmb170216145935320</t>
  </si>
  <si>
    <t>NP20170216151651087262</t>
  </si>
  <si>
    <t>yyw170201093057117</t>
  </si>
  <si>
    <t>NC20170216151809031552</t>
  </si>
  <si>
    <t>bbw170215092726805</t>
  </si>
  <si>
    <t>NP20170216150411439145</t>
  </si>
  <si>
    <t>doa170206182959968</t>
  </si>
  <si>
    <t>NP20170216151055515076</t>
  </si>
  <si>
    <t>xep170215101922185</t>
  </si>
  <si>
    <t>NP20170216151807929796</t>
  </si>
  <si>
    <t>pzf170109093904652</t>
  </si>
  <si>
    <t>NP20170216151114262541</t>
  </si>
  <si>
    <t>xep161223144118933</t>
  </si>
  <si>
    <t>NP20170216151533487908</t>
  </si>
  <si>
    <t>0067014296</t>
  </si>
  <si>
    <t>NC20170216150525199203</t>
  </si>
  <si>
    <t>xep170123160706021</t>
  </si>
  <si>
    <t>NP20170216150749380066</t>
  </si>
  <si>
    <t>yyw170208132305777</t>
  </si>
  <si>
    <t>NI20170216150658979399</t>
  </si>
  <si>
    <t>doa170215125627153</t>
  </si>
  <si>
    <t>NC20170216151949437309</t>
  </si>
  <si>
    <t>yyw170216151831459</t>
  </si>
  <si>
    <t>NP20170216151848706158</t>
  </si>
  <si>
    <t>jql170211171933474</t>
  </si>
  <si>
    <t>NP20170216150341151498</t>
  </si>
  <si>
    <t>sdc170202105053922</t>
  </si>
  <si>
    <t>NP20170216151923034848</t>
  </si>
  <si>
    <t>331083404150</t>
  </si>
  <si>
    <t>NP20170216150742397723</t>
  </si>
  <si>
    <t>scv170216093208654</t>
  </si>
  <si>
    <t>NP20170216151105565684</t>
  </si>
  <si>
    <t>xep170216141412502</t>
  </si>
  <si>
    <t>NI20170216151315498376</t>
  </si>
  <si>
    <t>331047463633</t>
  </si>
  <si>
    <t>NI20170216152145417739</t>
  </si>
  <si>
    <t>331032077523</t>
  </si>
  <si>
    <t>NC20170216151157978534</t>
  </si>
  <si>
    <t>331082185534</t>
  </si>
  <si>
    <t>NI20170216152236403729</t>
  </si>
  <si>
    <t>331030263589</t>
  </si>
  <si>
    <t>NI20170216151720605172</t>
  </si>
  <si>
    <t>331083072440</t>
  </si>
  <si>
    <t>NP20170216150731229211</t>
  </si>
  <si>
    <t>331084285202</t>
  </si>
  <si>
    <t>NP20170216151854376555</t>
  </si>
  <si>
    <t>331084045871</t>
  </si>
  <si>
    <t>NC20170216152406622459</t>
  </si>
  <si>
    <t>331072481105</t>
  </si>
  <si>
    <t>NP20170216150254837270</t>
  </si>
  <si>
    <t>xkw170215164621662</t>
  </si>
  <si>
    <t>NC20170216152500650867</t>
  </si>
  <si>
    <t>dzq170216120439815</t>
  </si>
  <si>
    <t>NP20170216151917481432</t>
  </si>
  <si>
    <t>qdu170213114544090</t>
  </si>
  <si>
    <t>NC20170216152507278140</t>
  </si>
  <si>
    <t>fna170210165507240</t>
  </si>
  <si>
    <t>NP20170216152431785298</t>
  </si>
  <si>
    <t>330987991463</t>
  </si>
  <si>
    <t>NP20170216152014104179</t>
  </si>
  <si>
    <t>czc170214111754232</t>
  </si>
  <si>
    <t>NC20170216151827050944</t>
  </si>
  <si>
    <t>tjf161218133646015</t>
  </si>
  <si>
    <t>NP20170216151040760522</t>
  </si>
  <si>
    <t>hij170204174620188</t>
  </si>
  <si>
    <t>NP20170216152528857850</t>
  </si>
  <si>
    <t>330987313602</t>
  </si>
  <si>
    <t>NC20170216152600952112</t>
  </si>
  <si>
    <t>nhq170212134427998</t>
  </si>
  <si>
    <t>NP20170216152511347663</t>
  </si>
  <si>
    <t>ebb170215131041268</t>
  </si>
  <si>
    <t>NI20170216150623086380</t>
  </si>
  <si>
    <t>doa170121224021609</t>
  </si>
  <si>
    <t>NP20170216151510475622</t>
  </si>
  <si>
    <t>331005241619</t>
  </si>
  <si>
    <t>NP20170216152135216639</t>
  </si>
  <si>
    <t>xuy170123223546686</t>
  </si>
  <si>
    <t>NP20170216152708232815</t>
  </si>
  <si>
    <t>331084995441</t>
  </si>
  <si>
    <t>NP20170216152615728884</t>
  </si>
  <si>
    <t>czc170214172403341</t>
  </si>
  <si>
    <t>NI20170216150914102553</t>
  </si>
  <si>
    <t>sub161212164243355</t>
  </si>
  <si>
    <t>NC20170216152738671859</t>
  </si>
  <si>
    <t>331083874949</t>
  </si>
  <si>
    <t>NP20170216150403621599</t>
  </si>
  <si>
    <t>hxn161212092304776</t>
  </si>
  <si>
    <t>NI20170216152312982903</t>
  </si>
  <si>
    <t>331083478307</t>
  </si>
  <si>
    <t>NC20170216152913379089</t>
  </si>
  <si>
    <t>331074846212</t>
  </si>
  <si>
    <t>NI20170216152603971422</t>
  </si>
  <si>
    <t>pzf170216145501064</t>
  </si>
  <si>
    <t>NP20170216151555776273</t>
  </si>
  <si>
    <t>doa170209000220055</t>
  </si>
  <si>
    <t>NP20170216151959969118</t>
  </si>
  <si>
    <t>C1702150027612</t>
  </si>
  <si>
    <t>NP20170216151853536372</t>
  </si>
  <si>
    <t>xep170213081837317</t>
  </si>
  <si>
    <t>NP20170216152811894702</t>
  </si>
  <si>
    <t>zgl170216142805575</t>
  </si>
  <si>
    <t>NP20170216152041844746</t>
  </si>
  <si>
    <t>ppg170111115248526</t>
  </si>
  <si>
    <t>NC20170216153157184344</t>
  </si>
  <si>
    <t>331083239223</t>
  </si>
  <si>
    <t>NP20170216151952795246</t>
  </si>
  <si>
    <t>doa170209001425457</t>
  </si>
  <si>
    <t>NP20170216151840671036</t>
  </si>
  <si>
    <t>20161110212922TZ485</t>
  </si>
  <si>
    <t>NP20170216152603580590</t>
  </si>
  <si>
    <t>xqi170213144211476</t>
  </si>
  <si>
    <t>NP20170216153202901088</t>
  </si>
  <si>
    <t>wxl170216093634269</t>
  </si>
  <si>
    <t>NP20170216152445321188</t>
  </si>
  <si>
    <t>331082738714</t>
  </si>
  <si>
    <t>NC20170216153301097827</t>
  </si>
  <si>
    <t>xyz170206134349028</t>
  </si>
  <si>
    <t>NC20170216153313530751</t>
  </si>
  <si>
    <t>331084129133</t>
  </si>
  <si>
    <t>NP20170216152138394569</t>
  </si>
  <si>
    <t>ppg170201170400737</t>
  </si>
  <si>
    <t>NC20170216153303405124</t>
  </si>
  <si>
    <t>xep161128094624612</t>
  </si>
  <si>
    <t>NP20170216151302758500</t>
  </si>
  <si>
    <t>nhq170116093509424</t>
  </si>
  <si>
    <t>NP20170216152901742567</t>
  </si>
  <si>
    <t>qdu170207125421974</t>
  </si>
  <si>
    <t>NP20170216151215522260</t>
  </si>
  <si>
    <t>nhq170115135619340</t>
  </si>
  <si>
    <t>NP20170216153153637933</t>
  </si>
  <si>
    <t>331083947974</t>
  </si>
  <si>
    <t>NP20170216151843560162</t>
  </si>
  <si>
    <t>xep170214133013989</t>
  </si>
  <si>
    <t>NP20170216152450034054</t>
  </si>
  <si>
    <t>331042762057</t>
  </si>
  <si>
    <t>NP20170216152418181233</t>
  </si>
  <si>
    <t>331084644034</t>
  </si>
  <si>
    <t>NP20170216153033645044</t>
  </si>
  <si>
    <t>331071689616</t>
  </si>
  <si>
    <t>NP20170216151611758896</t>
  </si>
  <si>
    <t>jxp170128103600132</t>
  </si>
  <si>
    <t>NP20170216152759271196</t>
  </si>
  <si>
    <t>ghc170205102740739</t>
  </si>
  <si>
    <t>NI20170216152528078999</t>
  </si>
  <si>
    <t>331083049280</t>
  </si>
  <si>
    <t>NC20170216152852844944</t>
  </si>
  <si>
    <t>nhq170212194918203</t>
  </si>
  <si>
    <t>NC20170216153024529414</t>
  </si>
  <si>
    <t>xep170216130242480</t>
  </si>
  <si>
    <t>NC20170216153757250211</t>
  </si>
  <si>
    <t>bsx170216101627541</t>
  </si>
  <si>
    <t>NP20170216153443499698</t>
  </si>
  <si>
    <t>xep170118143642537</t>
  </si>
  <si>
    <t>NC20170216153824911638</t>
  </si>
  <si>
    <t>331083948410</t>
  </si>
  <si>
    <t>NP20170216152449316003</t>
  </si>
  <si>
    <t>pzf170211164428138</t>
  </si>
  <si>
    <t>NP20170216153713299909</t>
  </si>
  <si>
    <t>331034365154</t>
  </si>
  <si>
    <t>NC20170216153842160009</t>
  </si>
  <si>
    <t>xuy170205121226522</t>
  </si>
  <si>
    <t>NP20170216153558374831</t>
  </si>
  <si>
    <t>xuy170203105116970</t>
  </si>
  <si>
    <t>NP20170216152501732029</t>
  </si>
  <si>
    <t>xgx170211164428139</t>
  </si>
  <si>
    <t>NP20170216153852054886</t>
  </si>
  <si>
    <t>nhq170216152858233</t>
  </si>
  <si>
    <t>NP20170216153628045335</t>
  </si>
  <si>
    <t>pzf170202203210281</t>
  </si>
  <si>
    <t>NP20170216151724010625</t>
  </si>
  <si>
    <t>doa170113170727944</t>
  </si>
  <si>
    <t>NP20170216153749415013</t>
  </si>
  <si>
    <t>331084058011</t>
  </si>
  <si>
    <t>NI20170216152737107184</t>
  </si>
  <si>
    <t>doa170118134747136</t>
  </si>
  <si>
    <t>NP20170216152718212495</t>
  </si>
  <si>
    <t>hiy170213140859337</t>
  </si>
  <si>
    <t>NC20170216154038961413</t>
  </si>
  <si>
    <t>ghc170216112805456</t>
  </si>
  <si>
    <t>NP20170216153501468853</t>
  </si>
  <si>
    <t>xep170214081449499</t>
  </si>
  <si>
    <t>NP20170216153958050714</t>
  </si>
  <si>
    <t>sxz170215190357660</t>
  </si>
  <si>
    <t>NP20170216153728360935</t>
  </si>
  <si>
    <t>new170216144152325</t>
  </si>
  <si>
    <t>NP20170216151408370528</t>
  </si>
  <si>
    <t>xep170216143509499</t>
  </si>
  <si>
    <t>NP20170216152055366244</t>
  </si>
  <si>
    <t>cdh170107183610277</t>
  </si>
  <si>
    <t>NP20170216153510031779</t>
  </si>
  <si>
    <t>tjf170216152142279</t>
  </si>
  <si>
    <t>NP20170216153902343295</t>
  </si>
  <si>
    <t>yfu170209160715887</t>
  </si>
  <si>
    <t>NI20170216153117700966</t>
  </si>
  <si>
    <t>331084725373</t>
  </si>
  <si>
    <t>NP20170216152123005544</t>
  </si>
  <si>
    <t>doa170209092140963</t>
  </si>
  <si>
    <t>NP20170216153603225843</t>
  </si>
  <si>
    <t>331084581604</t>
  </si>
  <si>
    <t>NP20170216152954735115</t>
  </si>
  <si>
    <t>ysh160122165636691</t>
  </si>
  <si>
    <t>NP20170216152752693664</t>
  </si>
  <si>
    <t>331083257325</t>
  </si>
  <si>
    <t>NP20170216154130624974</t>
  </si>
  <si>
    <t>331084297117</t>
  </si>
  <si>
    <t>NP20170216153804659145</t>
  </si>
  <si>
    <t>xep170216153352616</t>
  </si>
  <si>
    <t>NP20170216154142753878</t>
  </si>
  <si>
    <t>331071300168</t>
  </si>
  <si>
    <t>NP20170216152650884662</t>
  </si>
  <si>
    <t>txb170112164826459</t>
  </si>
  <si>
    <t>NP20170216154320710919</t>
  </si>
  <si>
    <t>pzf170118143642536</t>
  </si>
  <si>
    <t>NP20170216153444707153</t>
  </si>
  <si>
    <t>20161212110155048557</t>
  </si>
  <si>
    <t>NP20170216153913238741</t>
  </si>
  <si>
    <t>xuy170101213951124</t>
  </si>
  <si>
    <t>NP20170216153426025685</t>
  </si>
  <si>
    <t>GD2017021615340066</t>
  </si>
  <si>
    <t>NP20170216152630089298</t>
  </si>
  <si>
    <t>cua170215165726496</t>
  </si>
  <si>
    <t>NP20170216153517428159</t>
  </si>
  <si>
    <t>xep170214141014714</t>
  </si>
  <si>
    <t>NP20170216154332324721</t>
  </si>
  <si>
    <t>331071538312</t>
  </si>
  <si>
    <t>NP20170216153734661735</t>
  </si>
  <si>
    <t>331083732633</t>
  </si>
  <si>
    <t>NP20170216153714165120</t>
  </si>
  <si>
    <t>fna170216140507944</t>
  </si>
  <si>
    <t>NP20170216153834101917</t>
  </si>
  <si>
    <t>rxj170216151450748e9b6f</t>
  </si>
  <si>
    <t>ip_3_011</t>
  </si>
  <si>
    <t>NP20170216154319347486</t>
  </si>
  <si>
    <t>xep161220082651769</t>
  </si>
  <si>
    <t>NC20170216154542439132</t>
  </si>
  <si>
    <t>hiy170115104504248</t>
  </si>
  <si>
    <t>NP20170216150603336912</t>
  </si>
  <si>
    <t>xuy170129212130606</t>
  </si>
  <si>
    <t>NP20170216150150940084</t>
  </si>
  <si>
    <t>nhq170207232844079</t>
  </si>
  <si>
    <t>NP20170216154503234869</t>
  </si>
  <si>
    <t>nhq170216151001127</t>
  </si>
  <si>
    <t>NP20170216152554929143</t>
  </si>
  <si>
    <t>yjh170212220131191</t>
  </si>
  <si>
    <t>NI20170216154332779676</t>
  </si>
  <si>
    <t>331084241955</t>
  </si>
  <si>
    <t>NI20170216150907522706</t>
  </si>
  <si>
    <t>331083336353</t>
  </si>
  <si>
    <t>NP20170216154347276929</t>
  </si>
  <si>
    <t>srs170118174533583</t>
  </si>
  <si>
    <t>NC20170216154718294571</t>
  </si>
  <si>
    <t>xep170216154512801</t>
  </si>
  <si>
    <t>NP20170216154443723485</t>
  </si>
  <si>
    <t>331084962808</t>
  </si>
  <si>
    <t>NI20170216154544856047</t>
  </si>
  <si>
    <t>xep170216025640699</t>
  </si>
  <si>
    <t>NP20170216154459908568</t>
  </si>
  <si>
    <t>331082330801</t>
  </si>
  <si>
    <t>NP20170216154535616908</t>
  </si>
  <si>
    <t>hiy170117131839158</t>
  </si>
  <si>
    <t>NP20170216154502321569</t>
  </si>
  <si>
    <t>GD2017021615459364</t>
  </si>
  <si>
    <t>NP20170216154428141602</t>
  </si>
  <si>
    <t>hiy170116102342540</t>
  </si>
  <si>
    <t>NP20170216153702087393</t>
  </si>
  <si>
    <t>ghc170211170123089</t>
  </si>
  <si>
    <t>NP20170216154313275023</t>
  </si>
  <si>
    <t>xep170113090959243</t>
  </si>
  <si>
    <t>NP20170216152444827487</t>
  </si>
  <si>
    <t>331076682090</t>
  </si>
  <si>
    <t>NP20170216153436276353</t>
  </si>
  <si>
    <t>20161216231857WE915</t>
  </si>
  <si>
    <t>NP20170216154819301914</t>
  </si>
  <si>
    <t>331081677844</t>
  </si>
  <si>
    <t>NP20170216154726460633</t>
  </si>
  <si>
    <t>331059627194</t>
  </si>
  <si>
    <t>NP20170216153606554901</t>
  </si>
  <si>
    <t>nhq170216152433014</t>
  </si>
  <si>
    <t>NP20170216153929402068</t>
  </si>
  <si>
    <t>xep170216143554716</t>
  </si>
  <si>
    <t>NC20170216154939646864</t>
  </si>
  <si>
    <t>331048673436</t>
  </si>
  <si>
    <t>NP20170216154814603942</t>
  </si>
  <si>
    <t>mgo170216102353848</t>
  </si>
  <si>
    <t>NP20170216154227442530</t>
  </si>
  <si>
    <t>xep161112211101674</t>
  </si>
  <si>
    <t>NP20170216154713077794</t>
  </si>
  <si>
    <t>sub170214142012382</t>
  </si>
  <si>
    <t>NC20170216154959922801</t>
  </si>
  <si>
    <t>331084504762</t>
  </si>
  <si>
    <t>NP20170216154824707402</t>
  </si>
  <si>
    <t>331082588103</t>
  </si>
  <si>
    <t>NP20170216154600759327</t>
  </si>
  <si>
    <t>qyp170206164712351</t>
  </si>
  <si>
    <t>NI20170216154717298328</t>
  </si>
  <si>
    <t>wdy170214135135012</t>
  </si>
  <si>
    <t>NP20170216154952693161</t>
  </si>
  <si>
    <t>hiy170103094257721</t>
  </si>
  <si>
    <t>NP20170216154948217824</t>
  </si>
  <si>
    <t>hiy170129165710147</t>
  </si>
  <si>
    <t>NC20170216155038611790</t>
  </si>
  <si>
    <t>hiy170203192552926</t>
  </si>
  <si>
    <t>NP20170216155038748877</t>
  </si>
  <si>
    <t>hiy170104103727621</t>
  </si>
  <si>
    <t>NP20170216154618859803</t>
  </si>
  <si>
    <t>quu170212130117363</t>
  </si>
  <si>
    <t>NP20170216154630012610</t>
  </si>
  <si>
    <t>xep170209121400953</t>
  </si>
  <si>
    <t>NP20170216151754740478</t>
  </si>
  <si>
    <t>sub170205093229206</t>
  </si>
  <si>
    <t>NP20170216155050070463</t>
  </si>
  <si>
    <t>xuy170105092303028</t>
  </si>
  <si>
    <t>NP20170216153335794814</t>
  </si>
  <si>
    <t>331084924338</t>
  </si>
  <si>
    <t>NP20170216154647536327</t>
  </si>
  <si>
    <t>xky170212130117362</t>
  </si>
  <si>
    <t>NP20170216153032241552</t>
  </si>
  <si>
    <t>330967927471</t>
  </si>
  <si>
    <t>NP20170216153030120899</t>
  </si>
  <si>
    <t>xyx170214181239462</t>
  </si>
  <si>
    <t>NP20170216155106203398</t>
  </si>
  <si>
    <t>xep170105095229644</t>
  </si>
  <si>
    <t>NP20170216153351946113</t>
  </si>
  <si>
    <t>ghc170216094238850</t>
  </si>
  <si>
    <t>NP20170216155119314059</t>
  </si>
  <si>
    <t>xep170106185719342</t>
  </si>
  <si>
    <t>NP20170216152341571262</t>
  </si>
  <si>
    <t>xuy160927095730605</t>
  </si>
  <si>
    <t>NP20170216155131250984</t>
  </si>
  <si>
    <t>xep170107160637203</t>
  </si>
  <si>
    <t>NP20170216155141270638</t>
  </si>
  <si>
    <t>xep170108211907685</t>
  </si>
  <si>
    <t>NP20170216155154518912</t>
  </si>
  <si>
    <t>yyw170109095623877</t>
  </si>
  <si>
    <t>NC20170216155224476907</t>
  </si>
  <si>
    <t>331083003762</t>
  </si>
  <si>
    <t>NP20170216155224799808</t>
  </si>
  <si>
    <t>pmo170110091349380</t>
  </si>
  <si>
    <t>NP20170216155236796240</t>
  </si>
  <si>
    <t>ymz170110091651040</t>
  </si>
  <si>
    <t>NP20170216154705129107</t>
  </si>
  <si>
    <t>pzf170123081300080</t>
  </si>
  <si>
    <t>NP20170216154557182859</t>
  </si>
  <si>
    <t>jtg170215174436714</t>
  </si>
  <si>
    <t>NP20170216155049489093</t>
  </si>
  <si>
    <t>xep170216152657674</t>
  </si>
  <si>
    <t>NP20170216155249806683</t>
  </si>
  <si>
    <t>fna170110091921602</t>
  </si>
  <si>
    <t>NI20170216152201038741</t>
  </si>
  <si>
    <t>xep170216145444981</t>
  </si>
  <si>
    <t>NP20170216155029715048</t>
  </si>
  <si>
    <t>xep170209203908047</t>
  </si>
  <si>
    <t>NI20170216154314611757</t>
  </si>
  <si>
    <t>doa170205212625280</t>
  </si>
  <si>
    <t>NP20170216155303102469</t>
  </si>
  <si>
    <t>hiy170110092050958</t>
  </si>
  <si>
    <t>NP20170216155004921638</t>
  </si>
  <si>
    <t>xep170216154414529</t>
  </si>
  <si>
    <t>NC20170216155315564114</t>
  </si>
  <si>
    <t>331084770995</t>
  </si>
  <si>
    <t>NP20170216152743195379</t>
  </si>
  <si>
    <t>hiy161204203327830</t>
  </si>
  <si>
    <t>NP20170216155034884428</t>
  </si>
  <si>
    <t>nhq170203123701752</t>
  </si>
  <si>
    <t>NP20170216155253276967</t>
  </si>
  <si>
    <t>330987599003</t>
  </si>
  <si>
    <t>NP20170216155318175922</t>
  </si>
  <si>
    <t>nhq170112151308790</t>
  </si>
  <si>
    <t>NP20170216154642468686</t>
  </si>
  <si>
    <t>doa170209001111357</t>
  </si>
  <si>
    <t>NI20170216154542493506</t>
  </si>
  <si>
    <t>czc170216000015021</t>
  </si>
  <si>
    <t>NP20170216150925331127</t>
  </si>
  <si>
    <t>20170131061452TZ256</t>
  </si>
  <si>
    <t>NC20170216155331432828</t>
  </si>
  <si>
    <t>331083652318</t>
  </si>
  <si>
    <t>NP20170216150356463631</t>
  </si>
  <si>
    <t>tvk160611182429662</t>
  </si>
  <si>
    <t>NP20170216155338030637</t>
  </si>
  <si>
    <t>sme170115092517335</t>
  </si>
  <si>
    <t>NP20170216155343951864</t>
  </si>
  <si>
    <t>jxp170211152534737</t>
  </si>
  <si>
    <t>NP20170216153956851007</t>
  </si>
  <si>
    <t>xuy170216152754935</t>
  </si>
  <si>
    <t>NC20170216154612232766</t>
  </si>
  <si>
    <t>hiy170214024634493</t>
  </si>
  <si>
    <t>NP20170216155353648306</t>
  </si>
  <si>
    <t>xep170116095529061</t>
  </si>
  <si>
    <t>NP20170216151416835236</t>
  </si>
  <si>
    <t>331065689755</t>
  </si>
  <si>
    <t>NC20170216155403972072</t>
  </si>
  <si>
    <t>xep170216154840708</t>
  </si>
  <si>
    <t>NC20170216155409908983</t>
  </si>
  <si>
    <t>201702161359356608</t>
  </si>
  <si>
    <t>NP20170216155411683366</t>
  </si>
  <si>
    <t>yyw161224222920694</t>
  </si>
  <si>
    <t>NP20170216155411929203</t>
  </si>
  <si>
    <t>pzf170117170726810</t>
  </si>
  <si>
    <t>NP20170216152712975747</t>
  </si>
  <si>
    <t>cpb160913083814922e4750</t>
  </si>
  <si>
    <t>NP20170216155009037035</t>
  </si>
  <si>
    <t>jql170111203100811</t>
  </si>
  <si>
    <t>NP20170216155425787013</t>
  </si>
  <si>
    <t>xep170117172910950</t>
  </si>
  <si>
    <t>NP20170216155429492898</t>
  </si>
  <si>
    <t>kmb161217004201889</t>
  </si>
  <si>
    <t>NP20170216155439652282</t>
  </si>
  <si>
    <t>yvi170119151823683</t>
  </si>
  <si>
    <t>NP20170216153529322517</t>
  </si>
  <si>
    <t>pzf170209191401694</t>
  </si>
  <si>
    <t>NI20170216155217887592</t>
  </si>
  <si>
    <t>ffs170202222933608</t>
  </si>
  <si>
    <t>NP20170216152100685064</t>
  </si>
  <si>
    <t>20170215163546TF811</t>
  </si>
  <si>
    <t>NC20170216151921425235</t>
  </si>
  <si>
    <t>mir170206174207374</t>
  </si>
  <si>
    <t>NI20170216154110625988</t>
  </si>
  <si>
    <t>ltg170212153021224</t>
  </si>
  <si>
    <t>NI20170216154614365627</t>
  </si>
  <si>
    <t>scv170214115340040</t>
  </si>
  <si>
    <t>NP20170216155451828125</t>
  </si>
  <si>
    <t>xgx170123075439575</t>
  </si>
  <si>
    <t>NP20170216154845477396</t>
  </si>
  <si>
    <t>331021254605</t>
  </si>
  <si>
    <t>NP20170216155039661312</t>
  </si>
  <si>
    <t>tjf170129165258462</t>
  </si>
  <si>
    <t>NP20170216154503312685</t>
  </si>
  <si>
    <t>331084729497</t>
  </si>
  <si>
    <t>NP20170216152741652468</t>
  </si>
  <si>
    <t>sme161204202942953</t>
  </si>
  <si>
    <t>NP20170216152744818521</t>
  </si>
  <si>
    <t>xep161204192639669</t>
  </si>
  <si>
    <t>NP20170216155005009698</t>
  </si>
  <si>
    <t>331081818991</t>
  </si>
  <si>
    <t>NP20170216155543278517</t>
  </si>
  <si>
    <t>hiy170211110615356</t>
  </si>
  <si>
    <t>NP20170216153008009817</t>
  </si>
  <si>
    <t>fna170206223554411</t>
  </si>
  <si>
    <t>NP20170216151930490481</t>
  </si>
  <si>
    <t>pzf170216151353163</t>
  </si>
  <si>
    <t>NP20170216154114140346</t>
  </si>
  <si>
    <t>xep170126195911205</t>
  </si>
  <si>
    <t>NP20170216150926790054</t>
  </si>
  <si>
    <t>0066810623</t>
  </si>
  <si>
    <t>NP20170216154524040780</t>
  </si>
  <si>
    <t>xep170118132622415</t>
  </si>
  <si>
    <t>NP20170216154257101692</t>
  </si>
  <si>
    <t>331084555297</t>
  </si>
  <si>
    <t>NP20170216152603613892</t>
  </si>
  <si>
    <t>czl170206100111063</t>
  </si>
  <si>
    <t>NP20170216153832935010</t>
  </si>
  <si>
    <t>pzf170216152959519</t>
  </si>
  <si>
    <t>NP20170216154449129561</t>
  </si>
  <si>
    <t>331084635631</t>
  </si>
  <si>
    <t>NP20170216155443899184</t>
  </si>
  <si>
    <t>xep170213170414367</t>
  </si>
  <si>
    <t>NC20170216155002831051</t>
  </si>
  <si>
    <t>dha170214150009736</t>
  </si>
  <si>
    <t>NC20170216155501202840</t>
  </si>
  <si>
    <t>xpb170212224719111</t>
  </si>
  <si>
    <t>NP20170216152533264725</t>
  </si>
  <si>
    <t>xep170126200340919</t>
  </si>
  <si>
    <t>NP20170216150612718348</t>
  </si>
  <si>
    <t>zgo170215174934861</t>
  </si>
  <si>
    <t>NP20170216155055889863</t>
  </si>
  <si>
    <t>xep170122150841920</t>
  </si>
  <si>
    <t>NP20170216155256480223</t>
  </si>
  <si>
    <t>tyx170205232807510</t>
  </si>
  <si>
    <t>NP20170216155352116023</t>
  </si>
  <si>
    <t>20170214215720TF835</t>
  </si>
  <si>
    <t>NP20170216155521760582</t>
  </si>
  <si>
    <t>yyw170216145150166</t>
  </si>
  <si>
    <t>NP20170216155557479596</t>
  </si>
  <si>
    <t>tys170215201152664</t>
  </si>
  <si>
    <t>NP20170216153731963079</t>
  </si>
  <si>
    <t>ghc170118164159747</t>
  </si>
  <si>
    <t>NP20170216155503995119</t>
  </si>
  <si>
    <t>331084097278</t>
  </si>
  <si>
    <t>NC20170216155809735278</t>
  </si>
  <si>
    <t>331084664397</t>
  </si>
  <si>
    <t>NP20170216152725331006</t>
  </si>
  <si>
    <t>331084992604</t>
  </si>
  <si>
    <t>NP20170216151623051010</t>
  </si>
  <si>
    <t>xep170214205926659</t>
  </si>
  <si>
    <t>NP20170216155515816590</t>
  </si>
  <si>
    <t>nhq170216153015599</t>
  </si>
  <si>
    <t>NP20170216155829635083</t>
  </si>
  <si>
    <t>fna170203210252919</t>
  </si>
  <si>
    <t>NP20170216155752801476</t>
  </si>
  <si>
    <t>czc170215194626667</t>
  </si>
  <si>
    <t>NI20170216155200641022</t>
  </si>
  <si>
    <t>331080744128</t>
  </si>
  <si>
    <t>NC20170216155853622598</t>
  </si>
  <si>
    <t>czc170216092321137</t>
  </si>
  <si>
    <t>NP20170216155206681672</t>
  </si>
  <si>
    <t>ghc170111005619212</t>
  </si>
  <si>
    <t>NP20170216153744975834</t>
  </si>
  <si>
    <t>331084756187</t>
  </si>
  <si>
    <t>NP20170216152449333143</t>
  </si>
  <si>
    <t>heu160913083814922eb77f</t>
  </si>
  <si>
    <t>NC20170216155909548616</t>
  </si>
  <si>
    <t>331084508467</t>
  </si>
  <si>
    <t>NP20170216155408123190</t>
  </si>
  <si>
    <t>fna170216151847529</t>
  </si>
  <si>
    <t>NP20170216155228892331</t>
  </si>
  <si>
    <t>hua170209095802008</t>
  </si>
  <si>
    <t>NC20170216155912404992</t>
  </si>
  <si>
    <t>331084685897</t>
  </si>
  <si>
    <t>NP20170216154211758620</t>
  </si>
  <si>
    <t>331079447375</t>
  </si>
  <si>
    <t>NP20170216155623124007</t>
  </si>
  <si>
    <t>qyp161222122356093</t>
  </si>
  <si>
    <t>NP20170216154812099863</t>
  </si>
  <si>
    <t>tjf170215181334582</t>
  </si>
  <si>
    <t>NP20170216155053653718</t>
  </si>
  <si>
    <t>331084005538</t>
  </si>
  <si>
    <t>NP20170216155441000372</t>
  </si>
  <si>
    <t>fna170216151847530</t>
  </si>
  <si>
    <t>NI20170216155725328740</t>
  </si>
  <si>
    <t>dzc161231153523572</t>
  </si>
  <si>
    <t>NP20170216155510551173</t>
  </si>
  <si>
    <t>xep170216154317284</t>
  </si>
  <si>
    <t>NI20170216155300499994</t>
  </si>
  <si>
    <t>330912139919</t>
  </si>
  <si>
    <t>NP20170216155940745551</t>
  </si>
  <si>
    <t>czl170216151513554</t>
  </si>
  <si>
    <t>NP20170216152211341638</t>
  </si>
  <si>
    <t>331074633702</t>
  </si>
  <si>
    <t>NC20170216160000208999</t>
  </si>
  <si>
    <t>331084994449</t>
  </si>
  <si>
    <t>NP20170216155834344544</t>
  </si>
  <si>
    <t>xep170215184059025</t>
  </si>
  <si>
    <t>NC20170216155540267132</t>
  </si>
  <si>
    <t>pzf170212183229893</t>
  </si>
  <si>
    <t>NP20170216160005393468</t>
  </si>
  <si>
    <t>wyc170207050520668</t>
  </si>
  <si>
    <t>NP20170216155921898835</t>
  </si>
  <si>
    <t>331084779996</t>
  </si>
  <si>
    <t>NP20170216155556446699</t>
  </si>
  <si>
    <t>xep161030150926199</t>
  </si>
  <si>
    <t>NP20170216151920744924</t>
  </si>
  <si>
    <t>qyu170207170945517</t>
  </si>
  <si>
    <t>NP20170216153600435666</t>
  </si>
  <si>
    <t>hiy170214145631800</t>
  </si>
  <si>
    <t>NP20170216155100345976</t>
  </si>
  <si>
    <t>xer161124114111751</t>
  </si>
  <si>
    <t>NC20170216155226157406</t>
  </si>
  <si>
    <t>ghc170208221149241</t>
  </si>
  <si>
    <t>NP20170216160018629514</t>
  </si>
  <si>
    <t>yhs170215154632606</t>
  </si>
  <si>
    <t>NP20170216151807703401</t>
  </si>
  <si>
    <t>331074137808</t>
  </si>
  <si>
    <t>NP20170216152632810404</t>
  </si>
  <si>
    <t>331084283342</t>
  </si>
  <si>
    <t>NI20170216151933366100</t>
  </si>
  <si>
    <t>xuy170202154517254</t>
  </si>
  <si>
    <t>NP20170216160050209241</t>
  </si>
  <si>
    <t>xkw170124145649309</t>
  </si>
  <si>
    <t>NP20170216155236842343</t>
  </si>
  <si>
    <t>ghc170127183824559</t>
  </si>
  <si>
    <t>NP20170216153426035708</t>
  </si>
  <si>
    <t>331083569084</t>
  </si>
  <si>
    <t>NP20170216154706517887</t>
  </si>
  <si>
    <t>fyr170216154352432</t>
  </si>
  <si>
    <t>NP20170216152341228503</t>
  </si>
  <si>
    <t>xyx170214191504905</t>
  </si>
  <si>
    <t>NP20170216160113371061</t>
  </si>
  <si>
    <t>ppg170128115548429</t>
  </si>
  <si>
    <t>NP20170216155839682619</t>
  </si>
  <si>
    <t>ghc170201212307840</t>
  </si>
  <si>
    <t>NP20170216155835695108</t>
  </si>
  <si>
    <t>331084160152</t>
  </si>
  <si>
    <t>NC20170216160131261634</t>
  </si>
  <si>
    <t>doa170216153714549</t>
  </si>
  <si>
    <t>NP20170216153422645631</t>
  </si>
  <si>
    <t>xep170216150424573</t>
  </si>
  <si>
    <t>NI20170216160023399127</t>
  </si>
  <si>
    <t>331076258071</t>
  </si>
  <si>
    <t>NP20170216155704137349</t>
  </si>
  <si>
    <t>xep170211120149265</t>
  </si>
  <si>
    <t>NP20170216160142499167</t>
  </si>
  <si>
    <t>xep170114123950415</t>
  </si>
  <si>
    <t>NP20170216160055365168</t>
  </si>
  <si>
    <t>331084716146</t>
  </si>
  <si>
    <t>NP20170216160133355519</t>
  </si>
  <si>
    <t>ffs170213011840771</t>
  </si>
  <si>
    <t>NP20170216152424584453</t>
  </si>
  <si>
    <t>sub170214145958684</t>
  </si>
  <si>
    <t>NP20170216155823327264</t>
  </si>
  <si>
    <t>scv170213215841484</t>
  </si>
  <si>
    <t>NP20170216155303216223</t>
  </si>
  <si>
    <t>20170122124750TR911</t>
  </si>
  <si>
    <t>NP20170216155432764534</t>
  </si>
  <si>
    <t>sub170216153117885</t>
  </si>
  <si>
    <t>NP20170216145913325485</t>
  </si>
  <si>
    <t>xep170120023053426</t>
  </si>
  <si>
    <t>NP20170216160213845748</t>
  </si>
  <si>
    <t>pzf170212152717696</t>
  </si>
  <si>
    <t>NP20170216160232758548</t>
  </si>
  <si>
    <t>xep170202155046419</t>
  </si>
  <si>
    <t>NP20170216154249703502</t>
  </si>
  <si>
    <t>czl170212095935960</t>
  </si>
  <si>
    <t>NP20170216160130603842</t>
  </si>
  <si>
    <t>hiy170216114606092</t>
  </si>
  <si>
    <t>NP20170216155734603386</t>
  </si>
  <si>
    <t>xep161223235257375</t>
  </si>
  <si>
    <t>NP20170216153548513591</t>
  </si>
  <si>
    <t>331064243797</t>
  </si>
  <si>
    <t>NP20170216160237306191</t>
  </si>
  <si>
    <t>srs170206165515235</t>
  </si>
  <si>
    <t>NP20170216160215510106</t>
  </si>
  <si>
    <t>331084750205</t>
  </si>
  <si>
    <t>NI20170216152419995558</t>
  </si>
  <si>
    <t>mxw170130212420190</t>
  </si>
  <si>
    <t>NP20170216153439887014</t>
  </si>
  <si>
    <t>nhq170201235003267</t>
  </si>
  <si>
    <t>NP20170216154926397290</t>
  </si>
  <si>
    <t>201701140616027C946</t>
  </si>
  <si>
    <t>NP20170216155346092756</t>
  </si>
  <si>
    <t>yhs170216151119466</t>
  </si>
  <si>
    <t>NP20170216160308666913</t>
  </si>
  <si>
    <t>pzf170212144957460</t>
  </si>
  <si>
    <t>NP20170216160108675416</t>
  </si>
  <si>
    <t>20170207085841TF054</t>
  </si>
  <si>
    <t>NP20170216160122030081</t>
  </si>
  <si>
    <t>xep170215170826392</t>
  </si>
  <si>
    <t>NP20170216155753526460</t>
  </si>
  <si>
    <t>sdc170216154603025</t>
  </si>
  <si>
    <t>NP20170216160306107013</t>
  </si>
  <si>
    <t>tys170215173359075</t>
  </si>
  <si>
    <t>NP20170216160237105641</t>
  </si>
  <si>
    <t>GD2017021616025052</t>
  </si>
  <si>
    <t>NP20170216155910795645</t>
  </si>
  <si>
    <t>xuy170214225502595</t>
  </si>
  <si>
    <t>NP20170216160202603875</t>
  </si>
  <si>
    <t>yri170216150107736</t>
  </si>
  <si>
    <t>NP20170216152229557256</t>
  </si>
  <si>
    <t>331083257305</t>
  </si>
  <si>
    <t>NP20170216155732253221</t>
  </si>
  <si>
    <t>sub170216155415252</t>
  </si>
  <si>
    <t>NP20170216160325644866</t>
  </si>
  <si>
    <t>rui170206164257256</t>
  </si>
  <si>
    <t>NP20170216155648397327</t>
  </si>
  <si>
    <t>331083282839</t>
  </si>
  <si>
    <t>NP20170216154646232664</t>
  </si>
  <si>
    <t>xep170215111953326</t>
  </si>
  <si>
    <t>NP20170216153948628183</t>
  </si>
  <si>
    <t>331013735532</t>
  </si>
  <si>
    <t>NC20170216160347738574</t>
  </si>
  <si>
    <t>doa170124224000637</t>
  </si>
  <si>
    <t>NP20170216160136491130</t>
  </si>
  <si>
    <t>ppg161223234519425</t>
  </si>
  <si>
    <t>NP20170216150825982925</t>
  </si>
  <si>
    <t>331072772045</t>
  </si>
  <si>
    <t>NP20170216160337080038</t>
  </si>
  <si>
    <t>qyp170216103827299</t>
  </si>
  <si>
    <t>NP20170216155548620802</t>
  </si>
  <si>
    <t>331083973278</t>
  </si>
  <si>
    <t>NC20170216160426300702</t>
  </si>
  <si>
    <t>czc170209144954127</t>
  </si>
  <si>
    <t>NC20170216160431216041</t>
  </si>
  <si>
    <t>xep170216160102058</t>
  </si>
  <si>
    <t>NP20170216160402056571</t>
  </si>
  <si>
    <t>doa170212174019223</t>
  </si>
  <si>
    <t>NP20170216160428083995</t>
  </si>
  <si>
    <t>ghc170129113426795</t>
  </si>
  <si>
    <t>NP20170216160506279689</t>
  </si>
  <si>
    <t>sme170106211600359</t>
  </si>
  <si>
    <t>NC20170216160514162262</t>
  </si>
  <si>
    <t>xep161227100800985</t>
  </si>
  <si>
    <t>NC20170216160526817362</t>
  </si>
  <si>
    <t>xep161219211026364</t>
  </si>
  <si>
    <t>NP20170216160542450222</t>
  </si>
  <si>
    <t>xuy170101162505774</t>
  </si>
  <si>
    <t>NP20170216160538297080</t>
  </si>
  <si>
    <t>xep170124135502878</t>
  </si>
  <si>
    <t>NC20170216160606270154</t>
  </si>
  <si>
    <t>331084881152</t>
  </si>
  <si>
    <t>NP20170216160441896721</t>
  </si>
  <si>
    <t>331084540834</t>
  </si>
  <si>
    <t>NP20170216160513910431</t>
  </si>
  <si>
    <t>mxw170216154905834</t>
  </si>
  <si>
    <t>NP20170216160627848949</t>
  </si>
  <si>
    <t>xep170124132233776</t>
  </si>
  <si>
    <t>NP20170216160425472850</t>
  </si>
  <si>
    <t>xuy170214211328639</t>
  </si>
  <si>
    <t>NC20170216160707520893</t>
  </si>
  <si>
    <t>xep170216155403194</t>
  </si>
  <si>
    <t>NP20170216160733839000</t>
  </si>
  <si>
    <t>xxk161211100236075</t>
  </si>
  <si>
    <t>NP20170216160415982289</t>
  </si>
  <si>
    <t>331076087521</t>
  </si>
  <si>
    <t>NP20170216160538743446</t>
  </si>
  <si>
    <t>nhq170204121409689</t>
  </si>
  <si>
    <t>NP20170216160719965389</t>
  </si>
  <si>
    <t>xep170216155526582</t>
  </si>
  <si>
    <t>NP20170216160414250802</t>
  </si>
  <si>
    <t>doa170216005210000</t>
  </si>
  <si>
    <t>NP20170216160819528898</t>
  </si>
  <si>
    <t>jtg170215154714809</t>
  </si>
  <si>
    <t>NC20170216161004413385</t>
  </si>
  <si>
    <t>ghc170216123145032</t>
  </si>
  <si>
    <t>NP20170216160849194602</t>
  </si>
  <si>
    <t>xep170215201235823</t>
  </si>
  <si>
    <t>NI20170216160955420847</t>
  </si>
  <si>
    <t>sdc170214202539481</t>
  </si>
  <si>
    <t>NP20170216160920504847</t>
  </si>
  <si>
    <t>xep170216113441560</t>
  </si>
  <si>
    <t>NP20170216161018170598</t>
  </si>
  <si>
    <t>yyw170216153506937</t>
  </si>
  <si>
    <t>NP20170216161106117041</t>
  </si>
  <si>
    <t>yyw170216153146029</t>
  </si>
  <si>
    <t>NP20170216161114492983</t>
  </si>
  <si>
    <t>yyw170216152731825</t>
  </si>
  <si>
    <t>NP20170216161021916829</t>
  </si>
  <si>
    <t>331084586608</t>
  </si>
  <si>
    <t>NP20170216160758102571</t>
  </si>
  <si>
    <t>hiy170128152956816</t>
  </si>
  <si>
    <t>NP20170216160322745807</t>
  </si>
  <si>
    <t>hfx170216155238814</t>
  </si>
  <si>
    <t>NP20170216160503779543</t>
  </si>
  <si>
    <t>331067308761</t>
  </si>
  <si>
    <t>NP20170216160937451503</t>
  </si>
  <si>
    <t>331052218912</t>
  </si>
  <si>
    <t>NP20170216161036264172</t>
  </si>
  <si>
    <t>zgl170216143816381</t>
  </si>
  <si>
    <t>NP20170216161253523722</t>
  </si>
  <si>
    <t>srs161215205241940</t>
  </si>
  <si>
    <t>NC20170216161308764647</t>
  </si>
  <si>
    <t>nhq170216153436804</t>
  </si>
  <si>
    <t>NP20170216161034226670</t>
  </si>
  <si>
    <t>yyw170204085612247</t>
  </si>
  <si>
    <t>NP20170216160942715397</t>
  </si>
  <si>
    <t>331040803225</t>
  </si>
  <si>
    <t>NP20170216161326698700</t>
  </si>
  <si>
    <t>xep161213222606869</t>
  </si>
  <si>
    <t>NP20170216160603071125</t>
  </si>
  <si>
    <t>ghc161201190407933</t>
  </si>
  <si>
    <t>NP20170216161345502829</t>
  </si>
  <si>
    <t>xep170105223356682</t>
  </si>
  <si>
    <t>NP20170216160346000423</t>
  </si>
  <si>
    <t>pzf170212160952997</t>
  </si>
  <si>
    <t>NP20170216161253817365</t>
  </si>
  <si>
    <t>fhr170116204925310</t>
  </si>
  <si>
    <t>NP20170216160157771475</t>
  </si>
  <si>
    <t>nhq170214201955196</t>
  </si>
  <si>
    <t>NP20170216160359239014</t>
  </si>
  <si>
    <t>ghc170216155754263</t>
  </si>
  <si>
    <t>NC20170216161459812568</t>
  </si>
  <si>
    <t>ghc170210111407818</t>
  </si>
  <si>
    <t>NP20170216161112258475</t>
  </si>
  <si>
    <t>tjf170210115256623</t>
  </si>
  <si>
    <t>NP20170216161547124547</t>
  </si>
  <si>
    <t>xep170215171453108</t>
  </si>
  <si>
    <t>NP20170216161441833228</t>
  </si>
  <si>
    <t>331084106934</t>
  </si>
  <si>
    <t>NP20170216160156536240</t>
  </si>
  <si>
    <t>331084922110</t>
  </si>
  <si>
    <t>NP20170216161033032285</t>
  </si>
  <si>
    <t>xep170210123218908</t>
  </si>
  <si>
    <t>NP20170216160514740732</t>
  </si>
  <si>
    <t>xep170208214632997</t>
  </si>
  <si>
    <t>NP20170216161428679816</t>
  </si>
  <si>
    <t>xep170216095504335</t>
  </si>
  <si>
    <t>NP20170216161708873669</t>
  </si>
  <si>
    <t>sbs170216140747653</t>
  </si>
  <si>
    <t>NP20170216161241295559</t>
  </si>
  <si>
    <t>xep170202193408785</t>
  </si>
  <si>
    <t>NC20170216161256621058</t>
  </si>
  <si>
    <t>fna170216160442980</t>
  </si>
  <si>
    <t>NC20170216161737528765</t>
  </si>
  <si>
    <t>331084032067</t>
  </si>
  <si>
    <t>NP20170216161531790511</t>
  </si>
  <si>
    <t>xuy170216155318995</t>
  </si>
  <si>
    <t>NP20170216161458886700</t>
  </si>
  <si>
    <t>qyu170119175411941</t>
  </si>
  <si>
    <t>NP20170216161329757489</t>
  </si>
  <si>
    <t>xep170202193408786</t>
  </si>
  <si>
    <t>NP20170216161822165103</t>
  </si>
  <si>
    <t>hiy170216145226342</t>
  </si>
  <si>
    <t>NP20170216161852259518</t>
  </si>
  <si>
    <t>xep170205144233776</t>
  </si>
  <si>
    <t>NP20170216160942765774</t>
  </si>
  <si>
    <t>xep170216110101502</t>
  </si>
  <si>
    <t>NP20170216161718812656</t>
  </si>
  <si>
    <t>cqh170208184256326</t>
  </si>
  <si>
    <t>NC20170216162039786872</t>
  </si>
  <si>
    <t>sdc170130095826108</t>
  </si>
  <si>
    <t>NP20170216161919477797</t>
  </si>
  <si>
    <t>yxq161031073652209</t>
  </si>
  <si>
    <t>NC20170216162100582948</t>
  </si>
  <si>
    <t>sdc170216155620826</t>
  </si>
  <si>
    <t>NP20170216162032606725</t>
  </si>
  <si>
    <t>xep170216161727572</t>
  </si>
  <si>
    <t>NP20170216162033566275</t>
  </si>
  <si>
    <t>doa170215105328600</t>
  </si>
  <si>
    <t>NP20170216161911083760</t>
  </si>
  <si>
    <t>pzf170216161023537</t>
  </si>
  <si>
    <t>NP20170216161949606229</t>
  </si>
  <si>
    <t>331084186940</t>
  </si>
  <si>
    <t>NP20170216161910196526</t>
  </si>
  <si>
    <t>ghc170115211215412</t>
  </si>
  <si>
    <t>NP20170216161434772637</t>
  </si>
  <si>
    <t>xep170110224709805</t>
  </si>
  <si>
    <t>NP20170216161609050007</t>
  </si>
  <si>
    <t>331065280261</t>
  </si>
  <si>
    <t>NP20170216162310922241</t>
  </si>
  <si>
    <t>330964935816</t>
  </si>
  <si>
    <t>NP20170216160253323616</t>
  </si>
  <si>
    <t>xky161218170959549</t>
  </si>
  <si>
    <t>NP20170216162326158056</t>
  </si>
  <si>
    <t>331058208469</t>
  </si>
  <si>
    <t>NC20170216162407595722</t>
  </si>
  <si>
    <t>doa170216102625579</t>
  </si>
  <si>
    <t>NP20170216160859324479</t>
  </si>
  <si>
    <t>ylo170216153154065</t>
  </si>
  <si>
    <t>NP20170216161932166711</t>
  </si>
  <si>
    <t>yck170208151650515</t>
  </si>
  <si>
    <t>NP20170216162040855108</t>
  </si>
  <si>
    <t>331060013703</t>
  </si>
  <si>
    <t>NP20170216162226129735</t>
  </si>
  <si>
    <t>qte170216141400442</t>
  </si>
  <si>
    <t>NC20170216162514869995</t>
  </si>
  <si>
    <t>pzf170216162232073</t>
  </si>
  <si>
    <t>NC20170216162525010615</t>
  </si>
  <si>
    <t>pzf170214215617698</t>
  </si>
  <si>
    <t>NP20170216161110120518</t>
  </si>
  <si>
    <t>yxm170216150442661</t>
  </si>
  <si>
    <t>NP20170216160824646554</t>
  </si>
  <si>
    <t>czc170210065006058</t>
  </si>
  <si>
    <t>NI20170216162353218427</t>
  </si>
  <si>
    <t>331084714919</t>
  </si>
  <si>
    <t>NP20170216162131590500</t>
  </si>
  <si>
    <t>doa170214145018208</t>
  </si>
  <si>
    <t>NI20170216162242778404</t>
  </si>
  <si>
    <t>pmo161221203729564</t>
  </si>
  <si>
    <t>NP20170216162625971490</t>
  </si>
  <si>
    <t>huj160129094305124</t>
  </si>
  <si>
    <t>NC20170216162658084897</t>
  </si>
  <si>
    <t>201702101156412752</t>
  </si>
  <si>
    <t>NP20170216161754987840</t>
  </si>
  <si>
    <t>xxk170210110132951</t>
  </si>
  <si>
    <t>NC20170216162715490729</t>
  </si>
  <si>
    <t>xep161203144250245</t>
  </si>
  <si>
    <t>NI20170216162542573598</t>
  </si>
  <si>
    <t>tyx170131185111577</t>
  </si>
  <si>
    <t>NC20170216162730939283</t>
  </si>
  <si>
    <t>xep170208170355488</t>
  </si>
  <si>
    <t>NP20170216161509974489</t>
  </si>
  <si>
    <t>331081517995</t>
  </si>
  <si>
    <t>NP20170216162739363520</t>
  </si>
  <si>
    <t>331022177255</t>
  </si>
  <si>
    <t>NP20170216160835886660</t>
  </si>
  <si>
    <t>331059930611</t>
  </si>
  <si>
    <t>NP20170216160900871022</t>
  </si>
  <si>
    <t>331084897949</t>
  </si>
  <si>
    <t>NP20170216160936351190</t>
  </si>
  <si>
    <t>331084992984</t>
  </si>
  <si>
    <t>NP20170216162637905417</t>
  </si>
  <si>
    <t>czc161212020800980</t>
  </si>
  <si>
    <t>NP20170216162537517373</t>
  </si>
  <si>
    <t>czc161212020800979</t>
  </si>
  <si>
    <t>NP20170216162257878418</t>
  </si>
  <si>
    <t>330901566086</t>
  </si>
  <si>
    <t>NP20170216161246044462</t>
  </si>
  <si>
    <t>jql170210174249308</t>
  </si>
  <si>
    <t>NC20170216162922195747</t>
  </si>
  <si>
    <t>qyp170110142025900</t>
  </si>
  <si>
    <t>NP20170216160817103569</t>
  </si>
  <si>
    <t>tjf170205172819834</t>
  </si>
  <si>
    <t>NP20170216160541662762</t>
  </si>
  <si>
    <t>yyw170215161928543</t>
  </si>
  <si>
    <t>NP20170216162819554301</t>
  </si>
  <si>
    <t>331060887528</t>
  </si>
  <si>
    <t>NP20170216162432127431</t>
  </si>
  <si>
    <t>doa170215180204951</t>
  </si>
  <si>
    <t>NP20170216162604169813</t>
  </si>
  <si>
    <t>331083040653</t>
  </si>
  <si>
    <t>NP20170216162934255957</t>
  </si>
  <si>
    <t>xep170216112534612</t>
  </si>
  <si>
    <t>NP20170216163033827044</t>
  </si>
  <si>
    <t>tys161226123925490</t>
  </si>
  <si>
    <t>NP20170216161727527985</t>
  </si>
  <si>
    <t>xep170212184354001</t>
  </si>
  <si>
    <t>NP20170216161037100863</t>
  </si>
  <si>
    <t>331084239557</t>
  </si>
  <si>
    <t>NC20170216163239192960</t>
  </si>
  <si>
    <t>tjf170204153135374</t>
  </si>
  <si>
    <t>NP20170216163214777236</t>
  </si>
  <si>
    <t>xuy161123222540882</t>
  </si>
  <si>
    <t>NP20170216163231167457</t>
  </si>
  <si>
    <t>pmo170207161304101</t>
  </si>
  <si>
    <t>NP20170216162705686130</t>
  </si>
  <si>
    <t>20170118124506UO720</t>
  </si>
  <si>
    <t>NP20170216162602946494</t>
  </si>
  <si>
    <t>331055879729</t>
  </si>
  <si>
    <t>NI20170216162827026073</t>
  </si>
  <si>
    <t>yjp170216101540307</t>
  </si>
  <si>
    <t>NP20170216163243701150</t>
  </si>
  <si>
    <t>scv170216162615172</t>
  </si>
  <si>
    <t>NP20170216162313410254</t>
  </si>
  <si>
    <t>jxp170126221512878</t>
  </si>
  <si>
    <t>NI20170216162914128675</t>
  </si>
  <si>
    <t>xep170211191814492</t>
  </si>
  <si>
    <t>NP20170216163256350391</t>
  </si>
  <si>
    <t>xep170207233713367</t>
  </si>
  <si>
    <t>NP20170216163233166031</t>
  </si>
  <si>
    <t>hxz170216122640460</t>
  </si>
  <si>
    <t>NP20170216160800146201</t>
  </si>
  <si>
    <t>pzf161212094941263</t>
  </si>
  <si>
    <t>NC20170216163404905576</t>
  </si>
  <si>
    <t>331082300759</t>
  </si>
  <si>
    <t>NP20170216163345937719</t>
  </si>
  <si>
    <t>srs170216160708634</t>
  </si>
  <si>
    <t>NP20170216162642239804</t>
  </si>
  <si>
    <t>cdh170214143302812</t>
  </si>
  <si>
    <t>NC20170216163421465791</t>
  </si>
  <si>
    <t>xkw170216160357784</t>
  </si>
  <si>
    <t>NP20170216162212688125</t>
  </si>
  <si>
    <t>331075108329</t>
  </si>
  <si>
    <t>NP20170216162645883931</t>
  </si>
  <si>
    <t>txb170207153549062</t>
  </si>
  <si>
    <t>NP20170216163015189895</t>
  </si>
  <si>
    <t>331083158931</t>
  </si>
  <si>
    <t>NP20170216163045299928</t>
  </si>
  <si>
    <t>lyt170211131109698</t>
  </si>
  <si>
    <t>NP20170216163215852418</t>
  </si>
  <si>
    <t>doa170210092817299</t>
  </si>
  <si>
    <t>NP20170216163459293395</t>
  </si>
  <si>
    <t>xep170216160308581</t>
  </si>
  <si>
    <t>NP20170216163131587284</t>
  </si>
  <si>
    <t>gef170216160608363</t>
  </si>
  <si>
    <t>NP20170216160410791464</t>
  </si>
  <si>
    <t>zgl170213130740404</t>
  </si>
  <si>
    <t>NP20170216162959241434</t>
  </si>
  <si>
    <t>xgx161027150227831</t>
  </si>
  <si>
    <t>NP20170216162519950005</t>
  </si>
  <si>
    <t>331084141499</t>
  </si>
  <si>
    <t>NC20170216163312423016</t>
  </si>
  <si>
    <t>20170210224136TF347</t>
  </si>
  <si>
    <t>fp_3_026</t>
  </si>
  <si>
    <t>NP20170216163249950109</t>
  </si>
  <si>
    <t>jql170216155012153</t>
  </si>
  <si>
    <t>NP20170216162947044323</t>
  </si>
  <si>
    <t>pzf170106101226076</t>
  </si>
  <si>
    <t>NP20170216162853008713</t>
  </si>
  <si>
    <t>xuy170213181240100</t>
  </si>
  <si>
    <t>NP20170216163408536876</t>
  </si>
  <si>
    <t>nhq170215193116999</t>
  </si>
  <si>
    <t>NP20170216163609496407</t>
  </si>
  <si>
    <t>330999472437</t>
  </si>
  <si>
    <t>NP20170216163420907974</t>
  </si>
  <si>
    <t>ghc170210164930764</t>
  </si>
  <si>
    <t>NP20170216163451372712</t>
  </si>
  <si>
    <t>331084108156</t>
  </si>
  <si>
    <t>NP20170216161722980504</t>
  </si>
  <si>
    <t>51170104802243</t>
  </si>
  <si>
    <t>NP20170216162727145686</t>
  </si>
  <si>
    <t>xep170106122401695</t>
  </si>
  <si>
    <t>NP20170216161618146070</t>
  </si>
  <si>
    <t>sdc170216153235262</t>
  </si>
  <si>
    <t>NI20170216163037114267</t>
  </si>
  <si>
    <t>sme170122115736634</t>
  </si>
  <si>
    <t>NP20170216160951192199</t>
  </si>
  <si>
    <t>331047405755</t>
  </si>
  <si>
    <t>NP20170216163602635078</t>
  </si>
  <si>
    <t>GD2017021616361743</t>
  </si>
  <si>
    <t>NC20170216161341641736</t>
  </si>
  <si>
    <t>331084818124</t>
  </si>
  <si>
    <t>NI20170216163242836399</t>
  </si>
  <si>
    <t>tys170215104233185</t>
  </si>
  <si>
    <t>NI20170216161221711942</t>
  </si>
  <si>
    <t>sme170122115600218</t>
  </si>
  <si>
    <t>NP20170216163544459750</t>
  </si>
  <si>
    <t>xep170216145909205</t>
  </si>
  <si>
    <t>NP20170216161747856345</t>
  </si>
  <si>
    <t>xep170207233256708</t>
  </si>
  <si>
    <t>NP20170216163447316914</t>
  </si>
  <si>
    <t>xep161129192633609</t>
  </si>
  <si>
    <t>NP20170216162120616275</t>
  </si>
  <si>
    <t>331084929115</t>
  </si>
  <si>
    <t>NC20170216163823531896</t>
  </si>
  <si>
    <t>331083755273</t>
  </si>
  <si>
    <t>NP20170216162418788551</t>
  </si>
  <si>
    <t>331084694568</t>
  </si>
  <si>
    <t>NP20170216162950581195</t>
  </si>
  <si>
    <t>pzf170114211612389</t>
  </si>
  <si>
    <t>NP20170216163157643659</t>
  </si>
  <si>
    <t>xep170213165306321</t>
  </si>
  <si>
    <t>NP20170216162447615647</t>
  </si>
  <si>
    <t>dzq170214041646765</t>
  </si>
  <si>
    <t>NP20170216163558474970</t>
  </si>
  <si>
    <t>pzf170209181650330</t>
  </si>
  <si>
    <t>NP20170216163814407071</t>
  </si>
  <si>
    <t>331084777990</t>
  </si>
  <si>
    <t>NP20170216163107748309</t>
  </si>
  <si>
    <t>yfx170216152227488</t>
  </si>
  <si>
    <t>NP20170216163841197014</t>
  </si>
  <si>
    <t>hxz170216160231424</t>
  </si>
  <si>
    <t>NP20170216160322313613</t>
  </si>
  <si>
    <t>pzf170216103621633</t>
  </si>
  <si>
    <t>NP20170216162812690348</t>
  </si>
  <si>
    <t>xep170215111938237</t>
  </si>
  <si>
    <t>NP20170216163707071783</t>
  </si>
  <si>
    <t>ghc170213171036105</t>
  </si>
  <si>
    <t>NP20170216163043767610</t>
  </si>
  <si>
    <t>331008563153</t>
  </si>
  <si>
    <t>NP20170216163443905925</t>
  </si>
  <si>
    <t>331084002535</t>
  </si>
  <si>
    <t>NP20170216163124277793</t>
  </si>
  <si>
    <t>pzf170106101226075</t>
  </si>
  <si>
    <t>NC20170216163943029625</t>
  </si>
  <si>
    <t>xuy170215074609159</t>
  </si>
  <si>
    <t>NC20170216163946103437</t>
  </si>
  <si>
    <t>pzf170102084743983</t>
  </si>
  <si>
    <t>NP20170216163447144105</t>
  </si>
  <si>
    <t>doa170209181458944</t>
  </si>
  <si>
    <t>NP20170216163720715829</t>
  </si>
  <si>
    <t>331079858835</t>
  </si>
  <si>
    <t>NP20170216163825020920</t>
  </si>
  <si>
    <t>nhq170120004149868</t>
  </si>
  <si>
    <t>NP20170216163651207268</t>
  </si>
  <si>
    <t>czc170216155012154</t>
  </si>
  <si>
    <t>NP20170216161218864448</t>
  </si>
  <si>
    <t>xep170208125306214</t>
  </si>
  <si>
    <t>NP20170216162800546519</t>
  </si>
  <si>
    <t>xep170216145008663</t>
  </si>
  <si>
    <t>NP20170216163541865013</t>
  </si>
  <si>
    <t>xgx161027142618873</t>
  </si>
  <si>
    <t>NI20170216163759589333</t>
  </si>
  <si>
    <t>cqh170216130256547</t>
  </si>
  <si>
    <t>NP20170216163123684141</t>
  </si>
  <si>
    <t>330899945703</t>
  </si>
  <si>
    <t>NP20170216163948450016</t>
  </si>
  <si>
    <t>331036305223</t>
  </si>
  <si>
    <t>NP20170216164059801560</t>
  </si>
  <si>
    <t>330872975798</t>
  </si>
  <si>
    <t>NP20170216163926498600</t>
  </si>
  <si>
    <t>doa170216162524911</t>
  </si>
  <si>
    <t>NP20170216163619282185</t>
  </si>
  <si>
    <t>ghc161201215744926</t>
  </si>
  <si>
    <t>NC20170216164215220034</t>
  </si>
  <si>
    <t>tjf170216162005333</t>
  </si>
  <si>
    <t>NP20170216164002659622</t>
  </si>
  <si>
    <t>xhp170213102315775</t>
  </si>
  <si>
    <t>NP20170216160756455152</t>
  </si>
  <si>
    <t>hiy170215140743852</t>
  </si>
  <si>
    <t>NP20170216163619411572</t>
  </si>
  <si>
    <t>sme170130065246484</t>
  </si>
  <si>
    <t>NP20170216164129967555</t>
  </si>
  <si>
    <t>xep170216161903048</t>
  </si>
  <si>
    <t>NC20170216164229751908</t>
  </si>
  <si>
    <t>ppg170212073326231</t>
  </si>
  <si>
    <t>NP20170216163616748553</t>
  </si>
  <si>
    <t>xep161128093337928</t>
  </si>
  <si>
    <t>NI20170216163005083152</t>
  </si>
  <si>
    <t>pzf170216161446772</t>
  </si>
  <si>
    <t>NP20170216162850326907</t>
  </si>
  <si>
    <t>wxw170216161343466</t>
  </si>
  <si>
    <t>NP20170216163607180170</t>
  </si>
  <si>
    <t>ghc161128062103352</t>
  </si>
  <si>
    <t>NI20170216160248730345</t>
  </si>
  <si>
    <t>xep170209151220915</t>
  </si>
  <si>
    <t>NP20170216163556479167</t>
  </si>
  <si>
    <t>hiy161125123410823</t>
  </si>
  <si>
    <t>NP20170216163157263574</t>
  </si>
  <si>
    <t>201611111447056175</t>
  </si>
  <si>
    <t>NP20170216164301087550</t>
  </si>
  <si>
    <t>sxb170216162236098</t>
  </si>
  <si>
    <t>NP20170216162308081000</t>
  </si>
  <si>
    <t>331042481684</t>
  </si>
  <si>
    <t>NP20170216162353060171</t>
  </si>
  <si>
    <t>331071662666</t>
  </si>
  <si>
    <t>NI20170216164253680470</t>
  </si>
  <si>
    <t>xep170216162324308</t>
  </si>
  <si>
    <t>NI20170216162116080293</t>
  </si>
  <si>
    <t>331083194692</t>
  </si>
  <si>
    <t>NP20170216163056402819</t>
  </si>
  <si>
    <t>rnf160801161931824</t>
  </si>
  <si>
    <t>NP20170216164340971169</t>
  </si>
  <si>
    <t>hxz170112084608585</t>
  </si>
  <si>
    <t>NP20170216163016022290</t>
  </si>
  <si>
    <t>xuy160801160917641</t>
  </si>
  <si>
    <t>NP20170216163621754658</t>
  </si>
  <si>
    <t>hiy170216162834842</t>
  </si>
  <si>
    <t>NP20170216160719211256</t>
  </si>
  <si>
    <t>bsx170216150721407</t>
  </si>
  <si>
    <t>NP20170216162105206954</t>
  </si>
  <si>
    <t>xep170216161451794</t>
  </si>
  <si>
    <t>NI20170216164354611852</t>
  </si>
  <si>
    <t>ghc170210100740964</t>
  </si>
  <si>
    <t>NI20170216160815482638</t>
  </si>
  <si>
    <t>ffs170210174602039</t>
  </si>
  <si>
    <t>NP20170216164423416984</t>
  </si>
  <si>
    <t>ghc170215231150831</t>
  </si>
  <si>
    <t>NP20170216163949608429</t>
  </si>
  <si>
    <t>GD2017021616397078</t>
  </si>
  <si>
    <t>NC20170216164501900828</t>
  </si>
  <si>
    <t>331084798154</t>
  </si>
  <si>
    <t>NP20170216163321757753</t>
  </si>
  <si>
    <t>xuy170206131455715</t>
  </si>
  <si>
    <t>NP20170216164256622539</t>
  </si>
  <si>
    <t>czl170216162914022</t>
  </si>
  <si>
    <t>NP20170216160653847498</t>
  </si>
  <si>
    <t>doa170206203911465</t>
  </si>
  <si>
    <t>NI20170216161425332095</t>
  </si>
  <si>
    <t>ffs170216131058088</t>
  </si>
  <si>
    <t>NP20170216164309739120</t>
  </si>
  <si>
    <t>331082161537</t>
  </si>
  <si>
    <t>NP20170216163507627888</t>
  </si>
  <si>
    <t>20170216155120TF992</t>
  </si>
  <si>
    <t>NP20170216162344142340</t>
  </si>
  <si>
    <t>tyx161206074421975</t>
  </si>
  <si>
    <t>NP20170216162130123315</t>
  </si>
  <si>
    <t>nhq170212225203915</t>
  </si>
  <si>
    <t>NP20170216164318176263</t>
  </si>
  <si>
    <t>tyx170212162818689</t>
  </si>
  <si>
    <t>NP20170216164025803005</t>
  </si>
  <si>
    <t>wxw170209132711449</t>
  </si>
  <si>
    <t>NP20170216164239743335</t>
  </si>
  <si>
    <t>xau170214222513279</t>
  </si>
  <si>
    <t>NP20170216162645750675</t>
  </si>
  <si>
    <t>qyu170216161451795</t>
  </si>
  <si>
    <t>NP20170216163821140699</t>
  </si>
  <si>
    <t>330999650841</t>
  </si>
  <si>
    <t>NP20170216164306534650</t>
  </si>
  <si>
    <t>pzf170216161736923</t>
  </si>
  <si>
    <t>NP20170216164422678535</t>
  </si>
  <si>
    <t>nhq170210171316010</t>
  </si>
  <si>
    <t>NP20170216164612146513</t>
  </si>
  <si>
    <t>xep170216164012131</t>
  </si>
  <si>
    <t>NP20170216162523372634</t>
  </si>
  <si>
    <t>331084393011</t>
  </si>
  <si>
    <t>NP20170216164200019895</t>
  </si>
  <si>
    <t>xep170107153804827</t>
  </si>
  <si>
    <t>NP20170216164543190077</t>
  </si>
  <si>
    <t>ghc170119094150230</t>
  </si>
  <si>
    <t>NP20170216161158678284</t>
  </si>
  <si>
    <t>xep170209180014671</t>
  </si>
  <si>
    <t>NP20170216164348622517</t>
  </si>
  <si>
    <t>yfu170216152124203</t>
  </si>
  <si>
    <t>NP20170216164551897205</t>
  </si>
  <si>
    <t>nhq170216154251183</t>
  </si>
  <si>
    <t>NP20170216160941920640</t>
  </si>
  <si>
    <t>yyw170216154036534</t>
  </si>
  <si>
    <t>NC20170216164622042319</t>
  </si>
  <si>
    <t>fna170210210543226</t>
  </si>
  <si>
    <t>NI20170216162406112488</t>
  </si>
  <si>
    <t>C1702130091511</t>
  </si>
  <si>
    <t>NP20170216162747586333</t>
  </si>
  <si>
    <t>doa170106094512657</t>
  </si>
  <si>
    <t>NP20170216161944797461</t>
  </si>
  <si>
    <t>xnz170216160014904e6bf8</t>
  </si>
  <si>
    <t>NP20170216160802466845</t>
  </si>
  <si>
    <t>czl170215111605116</t>
  </si>
  <si>
    <t>NP20170216162841170941</t>
  </si>
  <si>
    <t>doa170106094512658</t>
  </si>
  <si>
    <t>NP20170216164558195805</t>
  </si>
  <si>
    <t>xuy170215090650100</t>
  </si>
  <si>
    <t>NP20170216160435548462</t>
  </si>
  <si>
    <t>xgx170216153535059</t>
  </si>
  <si>
    <t>NP20170216164552915988</t>
  </si>
  <si>
    <t>wdy170213095248258</t>
  </si>
  <si>
    <t>NI20170216161813090798</t>
  </si>
  <si>
    <t>knd170203125528447</t>
  </si>
  <si>
    <t>NC20170216164903044515</t>
  </si>
  <si>
    <t>331084068778</t>
  </si>
  <si>
    <t>NC20170216164904905968</t>
  </si>
  <si>
    <t>331084823621</t>
  </si>
  <si>
    <t>NP20170216164423491559</t>
  </si>
  <si>
    <t>hiy170111183344087</t>
  </si>
  <si>
    <t>NP20170216163911206805</t>
  </si>
  <si>
    <t>20170211213415OZ647</t>
  </si>
  <si>
    <t>NP20170216163645218500</t>
  </si>
  <si>
    <t>331084430962</t>
  </si>
  <si>
    <t>NP20170216163500675950</t>
  </si>
  <si>
    <t>hiy170112130001432</t>
  </si>
  <si>
    <t>NP20170216163413386053</t>
  </si>
  <si>
    <t>331084588607</t>
  </si>
  <si>
    <t>NP20170216164151280192</t>
  </si>
  <si>
    <t>pzf170214163112932</t>
  </si>
  <si>
    <t>NP20170216164254567096</t>
  </si>
  <si>
    <t>pmo170129122150950</t>
  </si>
  <si>
    <t>NP20170216161124855611</t>
  </si>
  <si>
    <t>yjp170215164831239</t>
  </si>
  <si>
    <t>NP20170216161303260695</t>
  </si>
  <si>
    <t>yyw161123235317754</t>
  </si>
  <si>
    <t>NP20170216164951995256</t>
  </si>
  <si>
    <t>doa161226233636429</t>
  </si>
  <si>
    <t>NP20170216164536063142</t>
  </si>
  <si>
    <t>scv170215175253663</t>
  </si>
  <si>
    <t>NP20170216161636551667</t>
  </si>
  <si>
    <t>yyw170210120537223</t>
  </si>
  <si>
    <t>NP20170216164027343219</t>
  </si>
  <si>
    <t>xep161228101459295</t>
  </si>
  <si>
    <t>NI20170216161731215740</t>
  </si>
  <si>
    <t>hiy170216141222953</t>
  </si>
  <si>
    <t>NP20170216164513945269</t>
  </si>
  <si>
    <t>330995510837</t>
  </si>
  <si>
    <t>NP20170216164828740874</t>
  </si>
  <si>
    <t>xep170207145145777</t>
  </si>
  <si>
    <t>NC20170216160551735325</t>
  </si>
  <si>
    <t>331069496949</t>
  </si>
  <si>
    <t>NP20170216164723651281</t>
  </si>
  <si>
    <t>xep170216141746598</t>
  </si>
  <si>
    <t>NP20170216161123899271</t>
  </si>
  <si>
    <t>jql170214162602435</t>
  </si>
  <si>
    <t>NP20170216163923946402</t>
  </si>
  <si>
    <t>xep170206173542812</t>
  </si>
  <si>
    <t>NP20170216164320185648</t>
  </si>
  <si>
    <t>wdy170215113603307</t>
  </si>
  <si>
    <t>NP20170216163327333055</t>
  </si>
  <si>
    <t>0066922802</t>
  </si>
  <si>
    <t>NP20170216163836226449</t>
  </si>
  <si>
    <t>sme170216160929269</t>
  </si>
  <si>
    <t>NP20170216161049530000</t>
  </si>
  <si>
    <t>qyu170209182127413</t>
  </si>
  <si>
    <t>NP20170216162751669274</t>
  </si>
  <si>
    <t>331084281204</t>
  </si>
  <si>
    <t>NP20170216163816425353</t>
  </si>
  <si>
    <t>xep170216162947170</t>
  </si>
  <si>
    <t>NP20170216162059761350</t>
  </si>
  <si>
    <t>331071520555</t>
  </si>
  <si>
    <t>NP20170216163310652182</t>
  </si>
  <si>
    <t>doa170116210012054</t>
  </si>
  <si>
    <t>NP20170216163145060232</t>
  </si>
  <si>
    <t>tjf170211081755118</t>
  </si>
  <si>
    <t>NP20170216164952311169</t>
  </si>
  <si>
    <t>331083191605</t>
  </si>
  <si>
    <t>NP20170216165247712662</t>
  </si>
  <si>
    <t>jah161219181133553</t>
  </si>
  <si>
    <t>NP20170216165257520121</t>
  </si>
  <si>
    <t>ghc170109212837579</t>
  </si>
  <si>
    <t>NP20170216163104318732</t>
  </si>
  <si>
    <t>scv170216162323305</t>
  </si>
  <si>
    <t>NI20170216165047222376</t>
  </si>
  <si>
    <t>331082461717</t>
  </si>
  <si>
    <t>NP20170216163128292674</t>
  </si>
  <si>
    <t>sdc170204225031757</t>
  </si>
  <si>
    <t>NC20170216165345082052</t>
  </si>
  <si>
    <t>sdc170213200157446</t>
  </si>
  <si>
    <t>NP20170216165337982159</t>
  </si>
  <si>
    <t>hiy161226232455976</t>
  </si>
  <si>
    <t>NP20170216165048307027</t>
  </si>
  <si>
    <t>330977654240</t>
  </si>
  <si>
    <t>NP20170216165237526352</t>
  </si>
  <si>
    <t>sdc170207104054505</t>
  </si>
  <si>
    <t>NP20170216165352695671</t>
  </si>
  <si>
    <t>331084979603</t>
  </si>
  <si>
    <t>NP20170216162602119893</t>
  </si>
  <si>
    <t>331078036655</t>
  </si>
  <si>
    <t>NP20170216165142629291</t>
  </si>
  <si>
    <t>ymp170216154021510e9bd7</t>
  </si>
  <si>
    <t>NP20170216165117119776</t>
  </si>
  <si>
    <t>xhp170216164323007</t>
  </si>
  <si>
    <t>NI20170216164243048418</t>
  </si>
  <si>
    <t>xep170216162726533</t>
  </si>
  <si>
    <t>NP20170216164457981828</t>
  </si>
  <si>
    <t>xep170216164007109</t>
  </si>
  <si>
    <t>NP20170216164441327246</t>
  </si>
  <si>
    <t>331077734899</t>
  </si>
  <si>
    <t>NP20170216164759250626</t>
  </si>
  <si>
    <t>xep170210104205011</t>
  </si>
  <si>
    <t>NP20170216165021295922</t>
  </si>
  <si>
    <t>GD2017021616503893</t>
  </si>
  <si>
    <t>NP20170216162103755210</t>
  </si>
  <si>
    <t>xep170216155536613</t>
  </si>
  <si>
    <t>NP20170216165035214597</t>
  </si>
  <si>
    <t>xep170215214000553</t>
  </si>
  <si>
    <t>NP20170216165235041297</t>
  </si>
  <si>
    <t>hyd170216113058380</t>
  </si>
  <si>
    <t>NI20170216160839474836</t>
  </si>
  <si>
    <t>pzf170216140907024</t>
  </si>
  <si>
    <t>NP20170216165041761350</t>
  </si>
  <si>
    <t>yjw170216095045065</t>
  </si>
  <si>
    <t>NI20170216162953075511</t>
  </si>
  <si>
    <t>hiy170106223547692</t>
  </si>
  <si>
    <t>NP20170216165211857489</t>
  </si>
  <si>
    <t>kuq170211122807339e92d7</t>
  </si>
  <si>
    <t>NP20170216165407634562</t>
  </si>
  <si>
    <t>xep170216144755033</t>
  </si>
  <si>
    <t>NP20170216164940308368</t>
  </si>
  <si>
    <t>pzf170216152930399</t>
  </si>
  <si>
    <t>NI20170216165510034458</t>
  </si>
  <si>
    <t>xhp170215205922310</t>
  </si>
  <si>
    <t>NP20170216163210722858</t>
  </si>
  <si>
    <t>jpl170216162435667</t>
  </si>
  <si>
    <t>NC20170216165520412312</t>
  </si>
  <si>
    <t>331084573812</t>
  </si>
  <si>
    <t>NP20170216164209261341</t>
  </si>
  <si>
    <t>srs170208223340548</t>
  </si>
  <si>
    <t>NP20170216164344290157</t>
  </si>
  <si>
    <t>jql170216152435024</t>
  </si>
  <si>
    <t>NP20170216165329053875</t>
  </si>
  <si>
    <t>kys170216163149757</t>
  </si>
  <si>
    <t>NP20170216165047279829</t>
  </si>
  <si>
    <t>ysh170113223624788</t>
  </si>
  <si>
    <t>NI20170216162307961136</t>
  </si>
  <si>
    <t>xep170216160734738</t>
  </si>
  <si>
    <t>NP20170216164345674935</t>
  </si>
  <si>
    <t>hiy170210141148382</t>
  </si>
  <si>
    <t>NI20170216165158999551</t>
  </si>
  <si>
    <t>doa170213161542887</t>
  </si>
  <si>
    <t>NP20170216163650790106</t>
  </si>
  <si>
    <t>xep170216163151769</t>
  </si>
  <si>
    <t>NP20170216165535502112</t>
  </si>
  <si>
    <t>331084774491</t>
  </si>
  <si>
    <t>NI20170216165548725228</t>
  </si>
  <si>
    <t>doa170211170438685</t>
  </si>
  <si>
    <t>NP20170216164509992165</t>
  </si>
  <si>
    <t>czl170216154409508</t>
  </si>
  <si>
    <t>NP20170216164857126466</t>
  </si>
  <si>
    <t>nhq170216160643525</t>
  </si>
  <si>
    <t>NI20170216163949805305</t>
  </si>
  <si>
    <t>331080811895</t>
  </si>
  <si>
    <t>NP20170216165429664932</t>
  </si>
  <si>
    <t>yhs170216151055356</t>
  </si>
  <si>
    <t>NI20170216164627804483</t>
  </si>
  <si>
    <t>xhp170215205922311</t>
  </si>
  <si>
    <t>NP20170216165111599465</t>
  </si>
  <si>
    <t>xep170215102339379</t>
  </si>
  <si>
    <t>NP20170216165230831009</t>
  </si>
  <si>
    <t>ghc170207230528886</t>
  </si>
  <si>
    <t>NP20170216165541305723</t>
  </si>
  <si>
    <t>xep170210231059323</t>
  </si>
  <si>
    <t>NP20170216163157546093</t>
  </si>
  <si>
    <t>jpl170118212610259</t>
  </si>
  <si>
    <t>NP20170216164713090388</t>
  </si>
  <si>
    <t>ghc170216141322245</t>
  </si>
  <si>
    <t>NI20170216165422017573</t>
  </si>
  <si>
    <t>xep170215095852229</t>
  </si>
  <si>
    <t>NP20170216165613951462</t>
  </si>
  <si>
    <t>331083155039</t>
  </si>
  <si>
    <t>NC20170216165642902340</t>
  </si>
  <si>
    <t>331047083926</t>
  </si>
  <si>
    <t>NI20170216164202765306</t>
  </si>
  <si>
    <t>xep170216163732379</t>
  </si>
  <si>
    <t>NP20170216165047280750</t>
  </si>
  <si>
    <t>xhp170212134154450</t>
  </si>
  <si>
    <t>NC20170216165703994396</t>
  </si>
  <si>
    <t>331084643567</t>
  </si>
  <si>
    <t>NP20170216162146756381</t>
  </si>
  <si>
    <t>xep170216161438740</t>
  </si>
  <si>
    <t>NP20170216165632127698</t>
  </si>
  <si>
    <t>ghc170216114005247</t>
  </si>
  <si>
    <t>NP20170216162828763265</t>
  </si>
  <si>
    <t>nhq170216130651778</t>
  </si>
  <si>
    <t>NP20170216164441804008</t>
  </si>
  <si>
    <t>xep170108181949952</t>
  </si>
  <si>
    <t>NP20170216165627387038</t>
  </si>
  <si>
    <t>331084574517</t>
  </si>
  <si>
    <t>NP20170216165106531633</t>
  </si>
  <si>
    <t>331080909325</t>
  </si>
  <si>
    <t>NP20170216165705070701</t>
  </si>
  <si>
    <t>nhq170121010734372</t>
  </si>
  <si>
    <t>NP20170216165419899509</t>
  </si>
  <si>
    <t>xep170214103329341</t>
  </si>
  <si>
    <t>NP20170216165724005686</t>
  </si>
  <si>
    <t>331084427067</t>
  </si>
  <si>
    <t>NI20170216165723386611</t>
  </si>
  <si>
    <t>fna170216164129486</t>
  </si>
  <si>
    <t>NP20170216162952745929</t>
  </si>
  <si>
    <t>sdc170116160233023</t>
  </si>
  <si>
    <t>NC20170216165743735411</t>
  </si>
  <si>
    <t>331084713659</t>
  </si>
  <si>
    <t>NP20170216164213044420</t>
  </si>
  <si>
    <t>xuy170128175121141</t>
  </si>
  <si>
    <t>NP20170216165623936892</t>
  </si>
  <si>
    <t>xep170211174408832</t>
  </si>
  <si>
    <t>NI20170216162408600079</t>
  </si>
  <si>
    <t>xep161215090704010</t>
  </si>
  <si>
    <t>NI20170216162728650115</t>
  </si>
  <si>
    <t>330965957394</t>
  </si>
  <si>
    <t>NP20170216165145926274</t>
  </si>
  <si>
    <t>ghc170216142542862</t>
  </si>
  <si>
    <t>NP20170216161448338753</t>
  </si>
  <si>
    <t>sdc170104182339572</t>
  </si>
  <si>
    <t>NP20170216164756927481</t>
  </si>
  <si>
    <t>doa170215170405246</t>
  </si>
  <si>
    <t>NP20170216160553887742</t>
  </si>
  <si>
    <t>xep170216160138214</t>
  </si>
  <si>
    <t>NP20170216162711382352</t>
  </si>
  <si>
    <t>xep170120134224851</t>
  </si>
  <si>
    <t>NP20170216161418786152</t>
  </si>
  <si>
    <t>331084759189</t>
  </si>
  <si>
    <t>NP20170216164316405714</t>
  </si>
  <si>
    <t>xep170111112655695</t>
  </si>
  <si>
    <t>NP20170216165606852252</t>
  </si>
  <si>
    <t>wxw170215220152032</t>
  </si>
  <si>
    <t>NP20170216165539026188</t>
  </si>
  <si>
    <t>hiy170213214743759</t>
  </si>
  <si>
    <t>NP20170216165608298466</t>
  </si>
  <si>
    <t>331084921561</t>
  </si>
  <si>
    <t>NP20170216163211973752</t>
  </si>
  <si>
    <t>rnf170207131356020</t>
  </si>
  <si>
    <t>NC20170216165829444443</t>
  </si>
  <si>
    <t>hyd170205101929380</t>
  </si>
  <si>
    <t>NI20170216165658020009</t>
  </si>
  <si>
    <t>331084988933</t>
  </si>
  <si>
    <t>NP20170216162508505659</t>
  </si>
  <si>
    <t>xep170216155912615</t>
  </si>
  <si>
    <t>NP20170216160921819004</t>
  </si>
  <si>
    <t>qyp170214114732320</t>
  </si>
  <si>
    <t>NI20170216165622804672</t>
  </si>
  <si>
    <t>doa170204084453273</t>
  </si>
  <si>
    <t>NP20170216164600908988</t>
  </si>
  <si>
    <t>331084313412</t>
  </si>
  <si>
    <t>NP20170216164813797413</t>
  </si>
  <si>
    <t>xep170216164310953</t>
  </si>
  <si>
    <t>NI20170216165525560690</t>
  </si>
  <si>
    <t>fhr170216162754662</t>
  </si>
  <si>
    <t>NP20170216165520639240</t>
  </si>
  <si>
    <t>doa161217130153302</t>
  </si>
  <si>
    <t>NP20170216165807999628</t>
  </si>
  <si>
    <t>pzf170207131717054</t>
  </si>
  <si>
    <t>NP20170216165612478786</t>
  </si>
  <si>
    <t>ysh170214132722225</t>
  </si>
  <si>
    <t>NP20170216165323586535</t>
  </si>
  <si>
    <t>xep170201174847890</t>
  </si>
  <si>
    <t>NP20170216165858313092</t>
  </si>
  <si>
    <t>ppg170216155515532</t>
  </si>
  <si>
    <t>NP20170216164736046012</t>
  </si>
  <si>
    <t>yhs170125141636620</t>
  </si>
  <si>
    <t>NO20170216165854822251</t>
  </si>
  <si>
    <t>hiy170216124017617</t>
  </si>
  <si>
    <t>NP20170216165855780104</t>
  </si>
  <si>
    <t>xep170216163812592</t>
  </si>
  <si>
    <t>NP20170216165915249785</t>
  </si>
  <si>
    <t>nhq170216162812733</t>
  </si>
  <si>
    <t>NI20170216164928801021</t>
  </si>
  <si>
    <t>gpw170121202038148</t>
  </si>
  <si>
    <t>NP20170216165522511441</t>
  </si>
  <si>
    <t>xep170122183124279</t>
  </si>
  <si>
    <t>NP20170216165616391002</t>
  </si>
  <si>
    <t>mxw170202185108679</t>
  </si>
  <si>
    <t>NP20170216165757252206</t>
  </si>
  <si>
    <t>pzf170109192654947</t>
  </si>
  <si>
    <t>NP20170216165415917451</t>
  </si>
  <si>
    <t>331041351402</t>
  </si>
  <si>
    <t>NP20170216165729161687</t>
  </si>
  <si>
    <t>qyp170216081937960</t>
  </si>
  <si>
    <t>NP20170216165633164166</t>
  </si>
  <si>
    <t>331074032256</t>
  </si>
  <si>
    <t>NP20170216163814474362</t>
  </si>
  <si>
    <t>xhz170215230950538e737b</t>
  </si>
  <si>
    <t>NP20170216161957242220</t>
  </si>
  <si>
    <t>xep170210081644027</t>
  </si>
  <si>
    <t>NC20170216165956594785</t>
  </si>
  <si>
    <t>hfp170215201257917</t>
  </si>
  <si>
    <t>NP20170216165838375058</t>
  </si>
  <si>
    <t>mir170204094527478</t>
  </si>
  <si>
    <t>NP20170216165530807812</t>
  </si>
  <si>
    <t>doa170103215536012</t>
  </si>
  <si>
    <t>NI20170216165658136835</t>
  </si>
  <si>
    <t>sub170211190521400</t>
  </si>
  <si>
    <t>NP20170216165914000952</t>
  </si>
  <si>
    <t>xep170208210247141</t>
  </si>
  <si>
    <t>NP20170216165941681830</t>
  </si>
  <si>
    <t>doa170216165002797</t>
  </si>
  <si>
    <t>NP20170216165631171585</t>
  </si>
  <si>
    <t>jah170216092852385</t>
  </si>
  <si>
    <t>NP20170216165826710595</t>
  </si>
  <si>
    <t>xhp170216165414961</t>
  </si>
  <si>
    <t>NP20170216165858238732</t>
  </si>
  <si>
    <t>xep170204221136927</t>
  </si>
  <si>
    <t>NI20170216165511375564</t>
  </si>
  <si>
    <t>hiy170211184349837</t>
  </si>
  <si>
    <t>NI20170216163158028382</t>
  </si>
  <si>
    <t>hiy170203223005759</t>
  </si>
  <si>
    <t>NP20170216165854493571</t>
  </si>
  <si>
    <t>scv170204153145416</t>
  </si>
  <si>
    <t>NP20170216165522350493</t>
  </si>
  <si>
    <t>331082930405</t>
  </si>
  <si>
    <t>NP20170216170023921850</t>
  </si>
  <si>
    <t>xep170106181330458</t>
  </si>
  <si>
    <t>NP20170216164643069933</t>
  </si>
  <si>
    <t>doa170205092240032</t>
  </si>
  <si>
    <t>NP20170216161056823257</t>
  </si>
  <si>
    <t>331082430084</t>
  </si>
  <si>
    <t>NP20170216162706079912</t>
  </si>
  <si>
    <t>331084813121</t>
  </si>
  <si>
    <t>NP20170216170005827132</t>
  </si>
  <si>
    <t>srs170207125056943</t>
  </si>
  <si>
    <t>NP20170216170035095498</t>
  </si>
  <si>
    <t>sjb170106181143997</t>
  </si>
  <si>
    <t>NP20170216163644071653</t>
  </si>
  <si>
    <t>doa170111221605881</t>
  </si>
  <si>
    <t>NP20170216165816696133</t>
  </si>
  <si>
    <t>doa170211064232441</t>
  </si>
  <si>
    <t>NI20170216163410461352</t>
  </si>
  <si>
    <t>srs170206120621214</t>
  </si>
  <si>
    <t>NP20170216165218044770</t>
  </si>
  <si>
    <t>331084442263</t>
  </si>
  <si>
    <t>NP20170216170034188148</t>
  </si>
  <si>
    <t>doa170216163408400</t>
  </si>
  <si>
    <t>NP20170216165843710445</t>
  </si>
  <si>
    <t>doa161216193351322</t>
  </si>
  <si>
    <t>NP20170216165743272628</t>
  </si>
  <si>
    <t>331077989368</t>
  </si>
  <si>
    <t>NP20170216170052768467</t>
  </si>
  <si>
    <t>qyp170123091232700</t>
  </si>
  <si>
    <t>NP20170216165541596017</t>
  </si>
  <si>
    <t>xpb170215081606049</t>
  </si>
  <si>
    <t>NP20170216165840146372</t>
  </si>
  <si>
    <t>xuy170106084814095</t>
  </si>
  <si>
    <t>NP20170216165826234836</t>
  </si>
  <si>
    <t>jcq170216165322707</t>
  </si>
  <si>
    <t>NP20170216165557368348</t>
  </si>
  <si>
    <t>330964100044</t>
  </si>
  <si>
    <t>NP20170216164124240621</t>
  </si>
  <si>
    <t>xep170206173542811</t>
  </si>
  <si>
    <t>NP20170216165704611243</t>
  </si>
  <si>
    <t>xep170129195437253</t>
  </si>
  <si>
    <t>NP20170216163528048747</t>
  </si>
  <si>
    <t>331073058393</t>
  </si>
  <si>
    <t>NP20170216164409682287</t>
  </si>
  <si>
    <t>ysh170216163324205</t>
  </si>
  <si>
    <t>NP20170216170111544824</t>
  </si>
  <si>
    <t>jnw170216164633847</t>
  </si>
  <si>
    <t>NP20170216165846781031</t>
  </si>
  <si>
    <t>yjp170216113434536</t>
  </si>
  <si>
    <t>NP20170216165824594538</t>
  </si>
  <si>
    <t>331084245957</t>
  </si>
  <si>
    <t>NP20170216165551218651</t>
  </si>
  <si>
    <t>xep170216163325210</t>
  </si>
  <si>
    <t>NP20170216170119323008</t>
  </si>
  <si>
    <t>doa170216163203822</t>
  </si>
  <si>
    <t>NC20170216170131043899</t>
  </si>
  <si>
    <t>cqh170213212041024</t>
  </si>
  <si>
    <t>NI20170216165808756890</t>
  </si>
  <si>
    <t>201701191944171362</t>
  </si>
  <si>
    <t>NP20170216162520319000</t>
  </si>
  <si>
    <t>xep170126125501460</t>
  </si>
  <si>
    <t>NP20170216170043081772</t>
  </si>
  <si>
    <t>xpb170215184545179</t>
  </si>
  <si>
    <t>NI20170216170102958223</t>
  </si>
  <si>
    <t>yyw170203171215216</t>
  </si>
  <si>
    <t>NI20170216165955879484</t>
  </si>
  <si>
    <t>bbw170216164744187</t>
  </si>
  <si>
    <t>NP20170216165916488688</t>
  </si>
  <si>
    <t>GD2017021616595259</t>
  </si>
  <si>
    <t>NP20170216170108036063</t>
  </si>
  <si>
    <t>czl161007095824989</t>
  </si>
  <si>
    <t>NP20170216170137370364</t>
  </si>
  <si>
    <t>xep170210231357672</t>
  </si>
  <si>
    <t>NP20170216165324486958</t>
  </si>
  <si>
    <t>yme160610204524480</t>
  </si>
  <si>
    <t>NP20170216164759519913</t>
  </si>
  <si>
    <t>331062298997</t>
  </si>
  <si>
    <t>NP20170216165851372493</t>
  </si>
  <si>
    <t>331084247951</t>
  </si>
  <si>
    <t>NP20170216165625860694</t>
  </si>
  <si>
    <t>nhq170205103758730</t>
  </si>
  <si>
    <t>NI20170216170138856230</t>
  </si>
  <si>
    <t>201701191956249681</t>
  </si>
  <si>
    <t>NP20170216165441557670</t>
  </si>
  <si>
    <t>xep170214141655490</t>
  </si>
  <si>
    <t>NP20170216170118819152</t>
  </si>
  <si>
    <t>ghc170204211604355</t>
  </si>
  <si>
    <t>NP20170216165810541983</t>
  </si>
  <si>
    <t>xep170124135120030</t>
  </si>
  <si>
    <t>NI20170216170202265049</t>
  </si>
  <si>
    <t>331084243952</t>
  </si>
  <si>
    <t>NP20170216170118784151</t>
  </si>
  <si>
    <t>ebb170214111442280</t>
  </si>
  <si>
    <t>NP20170216164413981826</t>
  </si>
  <si>
    <t>kmb170105115731017</t>
  </si>
  <si>
    <t>NP20170216170152767124</t>
  </si>
  <si>
    <t>331084745920</t>
  </si>
  <si>
    <t>NC20170216170215729376</t>
  </si>
  <si>
    <t>331082182536</t>
  </si>
  <si>
    <t>NP20170216155212901302</t>
  </si>
  <si>
    <t>czc161203081108877</t>
  </si>
  <si>
    <t>p_3_131</t>
  </si>
  <si>
    <t>NP20170216165735222550</t>
  </si>
  <si>
    <t>201701021458265070</t>
  </si>
  <si>
    <t>NP20170216165827030835</t>
  </si>
  <si>
    <t>xep170216162821773</t>
  </si>
  <si>
    <t>NP20170216170214124760</t>
  </si>
  <si>
    <t>xep170216164045279</t>
  </si>
  <si>
    <t>NP20170216170215040371</t>
  </si>
  <si>
    <t>331084898942</t>
  </si>
  <si>
    <t>NP20170216161135382421</t>
  </si>
  <si>
    <t>xky170213230408914</t>
  </si>
  <si>
    <t>NI20170216164952823382</t>
  </si>
  <si>
    <t>331083384715</t>
  </si>
  <si>
    <t>NP20170216165737523246</t>
  </si>
  <si>
    <t>jyk170216164729115</t>
  </si>
  <si>
    <t>NP20170216165533168518</t>
  </si>
  <si>
    <t>xep170207212943492</t>
  </si>
  <si>
    <t>NC20170216170236863580</t>
  </si>
  <si>
    <t>331083234723</t>
  </si>
  <si>
    <t>NP20170216162640711533</t>
  </si>
  <si>
    <t>hiy170114190857428</t>
  </si>
  <si>
    <t>NP20170216165819619121</t>
  </si>
  <si>
    <t>xep170216162452750</t>
  </si>
  <si>
    <t>NP20170216170225176287</t>
  </si>
  <si>
    <t>ghc170216164122459</t>
  </si>
  <si>
    <t>NP20170216170230642660</t>
  </si>
  <si>
    <t>331084317415</t>
  </si>
  <si>
    <t>NP20170216161644699604</t>
  </si>
  <si>
    <t>doa170119172503187</t>
  </si>
  <si>
    <t>NP20170216170211332300</t>
  </si>
  <si>
    <t>331049278296</t>
  </si>
  <si>
    <t>NI20170216165708007338</t>
  </si>
  <si>
    <t>xep170216162941147</t>
  </si>
  <si>
    <t>NP20170216165022483369</t>
  </si>
  <si>
    <t>xep170214151452163</t>
  </si>
  <si>
    <t>NP20170216170030072128</t>
  </si>
  <si>
    <t>331084422065</t>
  </si>
  <si>
    <t>NP20170216170211252641</t>
  </si>
  <si>
    <t>331084047878</t>
  </si>
  <si>
    <t>NP20170216160545454988</t>
  </si>
  <si>
    <t>pzf170216132736093</t>
  </si>
  <si>
    <t>NP20170216165536644627</t>
  </si>
  <si>
    <t>xep170111151110981</t>
  </si>
  <si>
    <t>NI20170216164316035595</t>
  </si>
  <si>
    <t>sub170216013447454</t>
  </si>
  <si>
    <t>NP20170216170238301474</t>
  </si>
  <si>
    <t>xep170126112835488</t>
  </si>
  <si>
    <t>NP20170216165641159540</t>
  </si>
  <si>
    <t>331084505467</t>
  </si>
  <si>
    <t>NP20170216170247270623</t>
  </si>
  <si>
    <t>331084292607</t>
  </si>
  <si>
    <t>NP20170216164141710060</t>
  </si>
  <si>
    <t>xuy170215131549718</t>
  </si>
  <si>
    <t>NC20170216165730890543</t>
  </si>
  <si>
    <t>331084639397</t>
  </si>
  <si>
    <t>NP20170216170210581154</t>
  </si>
  <si>
    <t>czc170216165219413</t>
  </si>
  <si>
    <t>NP20170216170154710211</t>
  </si>
  <si>
    <t>ysh170122144704411</t>
  </si>
  <si>
    <t>NP20170216165817479970</t>
  </si>
  <si>
    <t>sdc170125110423517</t>
  </si>
  <si>
    <t>NP20170216165939854267</t>
  </si>
  <si>
    <t>nhq170127085544596</t>
  </si>
  <si>
    <t>NP20170216161929177580</t>
  </si>
  <si>
    <t>xep170216004704650</t>
  </si>
  <si>
    <t>NP20170216170256919770</t>
  </si>
  <si>
    <t>tfq170212112117381</t>
  </si>
  <si>
    <t>NP20170216170024680119</t>
  </si>
  <si>
    <t>nhq170216165331740</t>
  </si>
  <si>
    <t>NP20170216165850646515</t>
  </si>
  <si>
    <t>331084044874</t>
  </si>
  <si>
    <t>NP20170216164808060794</t>
  </si>
  <si>
    <t>331038589329</t>
  </si>
  <si>
    <t>NP20170216165902475043</t>
  </si>
  <si>
    <t>srs170202163357937</t>
  </si>
  <si>
    <t>NP20170216163714219440</t>
  </si>
  <si>
    <t>cqh170108081008330</t>
  </si>
  <si>
    <t>NP20170216170109451006</t>
  </si>
  <si>
    <t>ylr170215130045387</t>
  </si>
  <si>
    <t>NP20170216170122921726</t>
  </si>
  <si>
    <t>yjp170216154836688</t>
  </si>
  <si>
    <t>NP20170216170301090122</t>
  </si>
  <si>
    <t>331078287743</t>
  </si>
  <si>
    <t>NI20170216161111708985</t>
  </si>
  <si>
    <t>331072753659</t>
  </si>
  <si>
    <t>NP20170216164444552442</t>
  </si>
  <si>
    <t>doa170215192518615</t>
  </si>
  <si>
    <t>NP20170216165218368988</t>
  </si>
  <si>
    <t>xep170212130939227</t>
  </si>
  <si>
    <t>NP20170216170310449938</t>
  </si>
  <si>
    <t>ppg170216004300334</t>
  </si>
  <si>
    <t>NP20170216165703563943</t>
  </si>
  <si>
    <t>331084524266</t>
  </si>
  <si>
    <t>NP20170216165523135757</t>
  </si>
  <si>
    <t>xep170215171704662</t>
  </si>
  <si>
    <t>NP20170216162003030925</t>
  </si>
  <si>
    <t>331075957677</t>
  </si>
  <si>
    <t>NP20170216170314047624</t>
  </si>
  <si>
    <t>xep170216165802924</t>
  </si>
  <si>
    <t>NP20170216161522683744</t>
  </si>
  <si>
    <t>xep170205150310654</t>
  </si>
  <si>
    <t>NI20170216164022555583</t>
  </si>
  <si>
    <t>jah170216163616990</t>
  </si>
  <si>
    <t>NP20170216165319357657</t>
  </si>
  <si>
    <t>ryz160606120139506</t>
  </si>
  <si>
    <t>NP20170216163354769332</t>
  </si>
  <si>
    <t>szv170216150716377</t>
  </si>
  <si>
    <t>NP20170216170205822225</t>
  </si>
  <si>
    <t>xpb170214124403868</t>
  </si>
  <si>
    <t>NP20170216170146755367</t>
  </si>
  <si>
    <t>xep170210234924482</t>
  </si>
  <si>
    <t>NI20170216170048979551</t>
  </si>
  <si>
    <t>331067766449</t>
  </si>
  <si>
    <t>NP20170216170104567250</t>
  </si>
  <si>
    <t>sme170121170717706</t>
  </si>
  <si>
    <t>NP20170216163708754009</t>
  </si>
  <si>
    <t>ghc170215231922247</t>
  </si>
  <si>
    <t>NP20170216160933773333</t>
  </si>
  <si>
    <t>klc170215161029976</t>
  </si>
  <si>
    <t>NP20170216170312169766</t>
  </si>
  <si>
    <t>331084800752</t>
  </si>
  <si>
    <t>NP20170216170303806719</t>
  </si>
  <si>
    <t>ghc170216164926638</t>
  </si>
  <si>
    <t>NP20170216164332612697</t>
  </si>
  <si>
    <t>hfp170215074323973</t>
  </si>
  <si>
    <t>NP20170216165258561916</t>
  </si>
  <si>
    <t>czl170216160115119</t>
  </si>
  <si>
    <t>NP20170216170341887275</t>
  </si>
  <si>
    <t>ghc170113171804531</t>
  </si>
  <si>
    <t>NP20170216170319228311</t>
  </si>
  <si>
    <t>srs170215222957984</t>
  </si>
  <si>
    <t>NP20170216163243115504</t>
  </si>
  <si>
    <t>xep170210172845919</t>
  </si>
  <si>
    <t>NP20170216165131039919</t>
  </si>
  <si>
    <t>331084107152</t>
  </si>
  <si>
    <t>NP20170216170333374531</t>
  </si>
  <si>
    <t>201611121342361879</t>
  </si>
  <si>
    <t>NP20170216164958758964</t>
  </si>
  <si>
    <t>hiy170214115856603</t>
  </si>
  <si>
    <t>NP20170216170325107029</t>
  </si>
  <si>
    <t>tys170216162415546</t>
  </si>
  <si>
    <t>NP20170216165233533047</t>
  </si>
  <si>
    <t>xep170216164956758</t>
  </si>
  <si>
    <t>NP20151208163955806386</t>
  </si>
  <si>
    <t>330648985452</t>
  </si>
  <si>
    <t>NC20151215002052448368</t>
  </si>
  <si>
    <t>qni151214050603498ea3ab</t>
  </si>
  <si>
    <t>NP20160211104142513974</t>
  </si>
  <si>
    <t>330660847569</t>
  </si>
  <si>
    <t>NP20160218163751552216</t>
  </si>
  <si>
    <t>hfg151229165431185</t>
  </si>
  <si>
    <t>NP20160227161326241987</t>
  </si>
  <si>
    <t>330728617287</t>
  </si>
  <si>
    <t>NP20160311231147591595</t>
  </si>
  <si>
    <t>trh160310130203228eb695</t>
  </si>
  <si>
    <t>NP20160313194651055885</t>
  </si>
  <si>
    <t>ydpww1511281006436c9</t>
  </si>
  <si>
    <t>NC20160306105338487464</t>
  </si>
  <si>
    <t>330736575365</t>
  </si>
  <si>
    <t>ap_3_007</t>
  </si>
  <si>
    <t>NP20170215161139247764</t>
  </si>
  <si>
    <t>GD2017021516117023</t>
  </si>
  <si>
    <t>NP20170215221601124064</t>
  </si>
  <si>
    <t>GD2017021522166406</t>
  </si>
  <si>
    <t>NP20170216073530130414</t>
  </si>
  <si>
    <t>pzf170216064257795</t>
  </si>
  <si>
    <t>NP20170216140517686704</t>
  </si>
  <si>
    <t>pzf170215213419213</t>
  </si>
  <si>
    <t>NP20170216155025507827</t>
  </si>
  <si>
    <t>GD2017021615502945</t>
  </si>
  <si>
    <t>NP20170216160845338765</t>
  </si>
  <si>
    <t>jah170120180318499</t>
  </si>
  <si>
    <t>NP20170216160846797746</t>
  </si>
  <si>
    <t>qyu170129114356003</t>
  </si>
  <si>
    <t>NP20160312100349359086</t>
  </si>
  <si>
    <t>fcq160312074846231</t>
  </si>
  <si>
    <t>NP20160301165227873252</t>
  </si>
  <si>
    <t>byx160223114413116</t>
  </si>
  <si>
    <t>NC20151130124518835874</t>
  </si>
  <si>
    <t>ydp151103233936093</t>
  </si>
  <si>
    <t>NP20151201154032847505</t>
  </si>
  <si>
    <t>15N3227890</t>
  </si>
  <si>
    <t>NP20151221100608341607</t>
  </si>
  <si>
    <t>wly151201161400710</t>
  </si>
  <si>
    <t>NP20151225174510482480</t>
  </si>
  <si>
    <t>qni151224103622127ea41b</t>
  </si>
  <si>
    <t>NP20160110092529817933</t>
  </si>
  <si>
    <t>201601071200253040</t>
  </si>
  <si>
    <t>NP20160110132143541190</t>
  </si>
  <si>
    <t>0043840692</t>
  </si>
  <si>
    <t>NP20160117161644929737</t>
  </si>
  <si>
    <t>ckt160117155503417</t>
  </si>
  <si>
    <t>NC20160123073751076634</t>
  </si>
  <si>
    <t>yse160122190115569</t>
  </si>
  <si>
    <t>NP20160203120818903139</t>
  </si>
  <si>
    <t>ynk160202124754223</t>
  </si>
  <si>
    <t>NP20160218132530313222</t>
  </si>
  <si>
    <t>330720065147</t>
  </si>
  <si>
    <t>NP20160220134713522972</t>
  </si>
  <si>
    <t>bta160120095602436</t>
  </si>
  <si>
    <t>NP20160223092210346808</t>
  </si>
  <si>
    <t>mhw160220220706750</t>
  </si>
  <si>
    <t>NP20160224144149855921</t>
  </si>
  <si>
    <t>tyf160224120729826</t>
  </si>
  <si>
    <t>NC20160224214145166842</t>
  </si>
  <si>
    <t>rhs160223120314072</t>
  </si>
  <si>
    <t>NP20160225182648523219</t>
  </si>
  <si>
    <t>zdh160225181358032</t>
  </si>
  <si>
    <t>NP20160228123637540952</t>
  </si>
  <si>
    <t>mhw160227202144956</t>
  </si>
  <si>
    <t>NP20160229080359693046</t>
  </si>
  <si>
    <t>mhw160122112753122</t>
  </si>
  <si>
    <t>NC20160301090130640628</t>
  </si>
  <si>
    <t>330731191747</t>
  </si>
  <si>
    <t>NP20160301090129819356</t>
  </si>
  <si>
    <t>cxf160126134327417</t>
  </si>
  <si>
    <t>NP20160301112023771930</t>
  </si>
  <si>
    <t>jki160117152759679</t>
  </si>
  <si>
    <t>NP20160301164355091271</t>
  </si>
  <si>
    <t>pga160120103216387</t>
  </si>
  <si>
    <t>NP20160301181918965874</t>
  </si>
  <si>
    <t>wyh160202152046908</t>
  </si>
  <si>
    <t>NP20160301225554006165</t>
  </si>
  <si>
    <t>xhp160227133932140</t>
  </si>
  <si>
    <t>NP20160302163030464685</t>
  </si>
  <si>
    <t>ysh160302143206310</t>
  </si>
  <si>
    <t>NP20160303162010499461</t>
  </si>
  <si>
    <t>7mp160215085558531</t>
  </si>
  <si>
    <t>NP20160306104705653399</t>
  </si>
  <si>
    <t>wly160303104326724</t>
  </si>
  <si>
    <t>NP20160306105435679644</t>
  </si>
  <si>
    <t>yzl160304204651935</t>
  </si>
  <si>
    <t>NP20160306113944882882</t>
  </si>
  <si>
    <t>xnz160305205302388e5b9e</t>
  </si>
  <si>
    <t>NP20160307133154389944</t>
  </si>
  <si>
    <t>pma160205135607383</t>
  </si>
  <si>
    <t>NP20160307154832207415</t>
  </si>
  <si>
    <t>fzz160126111130622</t>
  </si>
  <si>
    <t>NP20160307164003738247</t>
  </si>
  <si>
    <t>cyj160229203939943</t>
  </si>
  <si>
    <t>NP20160308104057232315</t>
  </si>
  <si>
    <t>ibi160224104117424</t>
  </si>
  <si>
    <t>NP20160308105849891923</t>
  </si>
  <si>
    <t>yyw160218181835070</t>
  </si>
  <si>
    <t>NP20160308120132984011</t>
  </si>
  <si>
    <t>yjp151230145605358</t>
  </si>
  <si>
    <t>NP20160308153754107430</t>
  </si>
  <si>
    <t>hdq160307235724876</t>
  </si>
  <si>
    <t>NP20160308191437115639</t>
  </si>
  <si>
    <t>xfg160302094809436</t>
  </si>
  <si>
    <t>NP20160309093127392858</t>
  </si>
  <si>
    <t>haf160223092722629</t>
  </si>
  <si>
    <t>NP20160309101255111433</t>
  </si>
  <si>
    <t>tde160123144951167</t>
  </si>
  <si>
    <t>NP20160309113408482451</t>
  </si>
  <si>
    <t>gef160205212739605</t>
  </si>
  <si>
    <t>NP20160309121037567590</t>
  </si>
  <si>
    <t>afo160301105407628</t>
  </si>
  <si>
    <t>NP20160309145709031576</t>
  </si>
  <si>
    <t>hag151218090518451</t>
  </si>
  <si>
    <t>NP20160309150650265215</t>
  </si>
  <si>
    <t>330725332103</t>
  </si>
  <si>
    <t>NP20160309164456888640</t>
  </si>
  <si>
    <t>xgx160122173234921</t>
  </si>
  <si>
    <t>NP20160309174439080445</t>
  </si>
  <si>
    <t>cxf160224171739548</t>
  </si>
  <si>
    <t>NP20160309204626924771</t>
  </si>
  <si>
    <t>gll160226093317743</t>
  </si>
  <si>
    <t>NP20160310113305225138</t>
  </si>
  <si>
    <t>kls160226144319405</t>
  </si>
  <si>
    <t>NP20160310112806767204</t>
  </si>
  <si>
    <t>qyp160301092610514</t>
  </si>
  <si>
    <t>NC20160310133355704982</t>
  </si>
  <si>
    <t>jjb160226164328687</t>
  </si>
  <si>
    <t>NP20160310135737428040</t>
  </si>
  <si>
    <t>ibi160310090349386</t>
  </si>
  <si>
    <t>NP20160310142938596416</t>
  </si>
  <si>
    <t>cxf160201222655188</t>
  </si>
  <si>
    <t>NP20160312095715365116</t>
  </si>
  <si>
    <t>xje160217201450932</t>
  </si>
  <si>
    <t>NP20160312115335667711</t>
  </si>
  <si>
    <t>qni160310205301207eb3cc</t>
  </si>
  <si>
    <t>ip_3_061</t>
  </si>
  <si>
    <t>NP20160313140831333335</t>
  </si>
  <si>
    <t>khl160226092654538</t>
  </si>
  <si>
    <t>NP20160313152619780849</t>
  </si>
  <si>
    <t>shk160304164130567</t>
  </si>
  <si>
    <t>NP20160313221755055953</t>
  </si>
  <si>
    <t>wyh160306155453807</t>
  </si>
  <si>
    <t>NP20161018141152014024</t>
  </si>
  <si>
    <t>lxa15041816272902278426</t>
  </si>
  <si>
    <t>NP20161021125816558004</t>
  </si>
  <si>
    <t>330964930957</t>
  </si>
  <si>
    <t>NP20161103175443855021</t>
  </si>
  <si>
    <t>330969782346</t>
  </si>
  <si>
    <t>NI20161124110311297335</t>
  </si>
  <si>
    <t>330997443011</t>
  </si>
  <si>
    <t>NI20161212101938877093</t>
  </si>
  <si>
    <t>xep161211154752343</t>
  </si>
  <si>
    <t>NI20161221104959424490</t>
  </si>
  <si>
    <t>jql161219184741838</t>
  </si>
  <si>
    <t>NP20161227105642323445</t>
  </si>
  <si>
    <t>doa161227105619467</t>
  </si>
  <si>
    <t>NP20161231161625873531</t>
  </si>
  <si>
    <t>sdc161231153130705</t>
  </si>
  <si>
    <t>NP20161231174927701202</t>
  </si>
  <si>
    <t>yyw161231151447193</t>
  </si>
  <si>
    <t>NP20170102103023704958</t>
  </si>
  <si>
    <t>xuy170102101637216</t>
  </si>
  <si>
    <t>NP20170104191521075664</t>
  </si>
  <si>
    <t>nhq170104190745868</t>
  </si>
  <si>
    <t>NP20170107202514825698</t>
  </si>
  <si>
    <t>doa170105134539283</t>
  </si>
  <si>
    <t>NC20170107212233002060</t>
  </si>
  <si>
    <t>yyw170104064106683</t>
  </si>
  <si>
    <t>NP20170108074952108388</t>
  </si>
  <si>
    <t>zgo170108074457499</t>
  </si>
  <si>
    <t>NP20170109154809895588</t>
  </si>
  <si>
    <t>xep170105121300989</t>
  </si>
  <si>
    <t>NP20170109205806367475</t>
  </si>
  <si>
    <t>xep170106170654448</t>
  </si>
  <si>
    <t>NP20170110130406762220</t>
  </si>
  <si>
    <t>xfz161229125857164</t>
  </si>
  <si>
    <t>NP20170110165055523117</t>
  </si>
  <si>
    <t>fna170110164351441</t>
  </si>
  <si>
    <t>NP20170111125919591107</t>
  </si>
  <si>
    <t>jtv170110081118013ec477</t>
  </si>
  <si>
    <t>NI20170111144059798124</t>
  </si>
  <si>
    <t>ylr161227170837698</t>
  </si>
  <si>
    <t>NI20170111150300569330</t>
  </si>
  <si>
    <t>xep170110191535547</t>
  </si>
  <si>
    <t>NP20170115152251372596</t>
  </si>
  <si>
    <t>doa161227162101849</t>
  </si>
  <si>
    <t>NP20170116190730813602</t>
  </si>
  <si>
    <t>hmk170116185234272</t>
  </si>
  <si>
    <t>NP20170117095519120739</t>
  </si>
  <si>
    <t>hiy161229224209293</t>
  </si>
  <si>
    <t>NP20170117125313143179</t>
  </si>
  <si>
    <t>qya170117122153927</t>
  </si>
  <si>
    <t>NP20170119145939244756</t>
  </si>
  <si>
    <t>330944839650</t>
  </si>
  <si>
    <t>NP20170119155152701374</t>
  </si>
  <si>
    <t>hiy170118165333499</t>
  </si>
  <si>
    <t>NI20170119190321045789</t>
  </si>
  <si>
    <t>scv161228145836008</t>
  </si>
  <si>
    <t>NP20170120102743080343</t>
  </si>
  <si>
    <t>cxf161226005214306</t>
  </si>
  <si>
    <t>NP20170120103937424509</t>
  </si>
  <si>
    <t>331055030356</t>
  </si>
  <si>
    <t>NP20170121161851328037</t>
  </si>
  <si>
    <t>331058291132</t>
  </si>
  <si>
    <t>NP20170121201625576922</t>
  </si>
  <si>
    <t>ghc170110194152266</t>
  </si>
  <si>
    <t>NP20170123101104361101</t>
  </si>
  <si>
    <t>331029581904</t>
  </si>
  <si>
    <t>NP20170126115827348382</t>
  </si>
  <si>
    <t>rhs170120105739786</t>
  </si>
  <si>
    <t>NP20170204095028796453</t>
  </si>
  <si>
    <t>331018860807</t>
  </si>
  <si>
    <t>NP20170204100235240443</t>
  </si>
  <si>
    <t>mxc170107140028587</t>
  </si>
  <si>
    <t>NP20170204180352636031</t>
  </si>
  <si>
    <t>cua161216125124845</t>
  </si>
  <si>
    <t>NP20170205105109690262</t>
  </si>
  <si>
    <t>xky161229151314582</t>
  </si>
  <si>
    <t>NP20170205154545431421</t>
  </si>
  <si>
    <t>czc170205130158419</t>
  </si>
  <si>
    <t>NP20170206103221842778</t>
  </si>
  <si>
    <t>nhq170204081024820</t>
  </si>
  <si>
    <t>NP20170206113703725054</t>
  </si>
  <si>
    <t>yyw150220213919830</t>
  </si>
  <si>
    <t>NP20170206113735301025</t>
  </si>
  <si>
    <t>mgo150323104730312</t>
  </si>
  <si>
    <t>NP20170206122137265450</t>
  </si>
  <si>
    <t>kom161224202029626</t>
  </si>
  <si>
    <t>NP20170206215638573489</t>
  </si>
  <si>
    <t>xep170206215305522</t>
  </si>
  <si>
    <t>NP20170206215629000785</t>
  </si>
  <si>
    <t>hiy170111215149679</t>
  </si>
  <si>
    <t>NP20170207100725537636</t>
  </si>
  <si>
    <t>51161223601636</t>
  </si>
  <si>
    <t>NP20170207112116211632</t>
  </si>
  <si>
    <t>knd170119194206461</t>
  </si>
  <si>
    <t>NP20170208095445057317</t>
  </si>
  <si>
    <t>xep170117180403867</t>
  </si>
  <si>
    <t>NP20170208112253716091</t>
  </si>
  <si>
    <t>xep170104104341535</t>
  </si>
  <si>
    <t>NP20170208183339863571</t>
  </si>
  <si>
    <t>xep170205103439813</t>
  </si>
  <si>
    <t>NP20170209092016643020</t>
  </si>
  <si>
    <t>hiy161220225154232</t>
  </si>
  <si>
    <t>NP20170209130111804747</t>
  </si>
  <si>
    <t>doa161123234533688</t>
  </si>
  <si>
    <t>NP20170209181356591103</t>
  </si>
  <si>
    <t>czc170108090004910</t>
  </si>
  <si>
    <t>NP20170210074910615549</t>
  </si>
  <si>
    <t>xep170206120626237</t>
  </si>
  <si>
    <t>NP20170210104025793508</t>
  </si>
  <si>
    <t>xep170210095959892</t>
  </si>
  <si>
    <t>NI20170211094032285340</t>
  </si>
  <si>
    <t>scv170202190918494</t>
  </si>
  <si>
    <t>NP20170211115720007402</t>
  </si>
  <si>
    <t>sme170118162930660</t>
  </si>
  <si>
    <t>NP20170211152321220326</t>
  </si>
  <si>
    <t>xep170109101001398</t>
  </si>
  <si>
    <t>NP20170212140634396148</t>
  </si>
  <si>
    <t>hiy170103083233366</t>
  </si>
  <si>
    <t>NP20170212211523463517</t>
  </si>
  <si>
    <t>wxw170130095116767</t>
  </si>
  <si>
    <t>NP20170213100718975616</t>
  </si>
  <si>
    <t>aak170122174622547</t>
  </si>
  <si>
    <t>NP20170213102210700069</t>
  </si>
  <si>
    <t>sub170130000931018</t>
  </si>
  <si>
    <t>NP20170213103556394750</t>
  </si>
  <si>
    <t>pzf170107092510452</t>
  </si>
  <si>
    <t>NP20170213151311530394</t>
  </si>
  <si>
    <t>hiy170107202732185</t>
  </si>
  <si>
    <t>NP20170214062159488884</t>
  </si>
  <si>
    <t>xep170210083705231</t>
  </si>
  <si>
    <t>NP20170214080936624570</t>
  </si>
  <si>
    <t>cqh170119123244988</t>
  </si>
  <si>
    <t>NP20170214082307123678</t>
  </si>
  <si>
    <t>hiy170124225146997</t>
  </si>
  <si>
    <t>NP20170214095420432533</t>
  </si>
  <si>
    <t>tjf170204224918482</t>
  </si>
  <si>
    <t>NI20170214114528133166</t>
  </si>
  <si>
    <t>ghc161206170944640</t>
  </si>
  <si>
    <t>NP20170214145717925574</t>
  </si>
  <si>
    <t>ghc170203143543640</t>
  </si>
  <si>
    <t>NP20170214153253740692</t>
  </si>
  <si>
    <t>sub170126230714091</t>
  </si>
  <si>
    <t>NP20170214180215106285</t>
  </si>
  <si>
    <t>doa161213204629659</t>
  </si>
  <si>
    <t>NP20170215103517955798</t>
  </si>
  <si>
    <t>ghc170204175147480</t>
  </si>
  <si>
    <t>NP20170215115748806524</t>
  </si>
  <si>
    <t>doa161230113302820</t>
  </si>
  <si>
    <t>NP20170215145618796906</t>
  </si>
  <si>
    <t>fna170126173432235</t>
  </si>
  <si>
    <t>NP20170215154808122765</t>
  </si>
  <si>
    <t>xep170210083226625</t>
  </si>
  <si>
    <t>NP20170215193043652545</t>
  </si>
  <si>
    <t>xep170208182228810</t>
  </si>
  <si>
    <t>NI20170215210252203733</t>
  </si>
  <si>
    <t>xep161209095852904</t>
  </si>
  <si>
    <t>NP20170216083739792501</t>
  </si>
  <si>
    <t>xep170102142148678</t>
  </si>
  <si>
    <t>NP20170216100922495166</t>
  </si>
  <si>
    <t>ghc170209213935855</t>
  </si>
  <si>
    <t>NP20170216100900896491</t>
  </si>
  <si>
    <t>kom170109184924582</t>
  </si>
  <si>
    <t>NP20170216103539841656</t>
  </si>
  <si>
    <t>doa170215145539622</t>
  </si>
  <si>
    <t>NP20170216101207215044</t>
  </si>
  <si>
    <t>pzf170211205949084</t>
  </si>
  <si>
    <t>NP20170216104230149658</t>
  </si>
  <si>
    <t>yck161207104632024</t>
  </si>
  <si>
    <t>NP20170216111114581911</t>
  </si>
  <si>
    <t>201702160837007C345</t>
  </si>
  <si>
    <t>NP20170216125658080632</t>
  </si>
  <si>
    <t>doa170206115414462</t>
  </si>
  <si>
    <t>NP20170216134219761346</t>
  </si>
  <si>
    <t>scv170210184933558</t>
  </si>
  <si>
    <t>NP20170216135141799507</t>
  </si>
  <si>
    <t>nhq170112180725760</t>
  </si>
  <si>
    <t>NP20170216140215508414</t>
  </si>
  <si>
    <t>pgl170212203833875</t>
  </si>
  <si>
    <t>NP20170216153610516319</t>
  </si>
  <si>
    <t>ysh170215144727508</t>
  </si>
  <si>
    <t>NP20170216154058816516</t>
  </si>
  <si>
    <t>xep161217110945424</t>
  </si>
  <si>
    <t>NP20170216154706104094</t>
  </si>
  <si>
    <t>xep170216142519741</t>
  </si>
  <si>
    <t>NP20170216152430527404</t>
  </si>
  <si>
    <t>qyp170109090347316</t>
  </si>
  <si>
    <t>NP20170216155115272301</t>
  </si>
  <si>
    <t>doa170213180053218</t>
  </si>
  <si>
    <t>NP20170216160156725360</t>
  </si>
  <si>
    <t>xep170216155954287</t>
  </si>
  <si>
    <t>NP20170216161740081400</t>
  </si>
  <si>
    <t>pzf170119034418368</t>
  </si>
  <si>
    <t>NP20170216161125466686</t>
  </si>
  <si>
    <t>hiy170109113913542</t>
  </si>
  <si>
    <t>NP20170216164347192781</t>
  </si>
  <si>
    <t>sub170119090732405</t>
  </si>
  <si>
    <t>NI20170216161252989578</t>
  </si>
  <si>
    <t>331036389710</t>
  </si>
  <si>
    <t>NP20170216162331364865</t>
  </si>
  <si>
    <t>330997145305</t>
  </si>
  <si>
    <t>NP20170216165731724380</t>
  </si>
  <si>
    <t>xep170213200003044</t>
  </si>
  <si>
    <t>NP20170216165249045088</t>
  </si>
  <si>
    <t>331034578284</t>
  </si>
  <si>
    <t>NP20170216165300229086</t>
  </si>
  <si>
    <t>ghc170111183457404</t>
  </si>
  <si>
    <t>NP20170216164627838005</t>
  </si>
  <si>
    <t>ghc170109212431486</t>
  </si>
  <si>
    <t>NP20170216160343900154</t>
  </si>
  <si>
    <t>xep161220165437317</t>
  </si>
  <si>
    <t>NP20170216164925696582</t>
  </si>
  <si>
    <t>xep170216155955371</t>
  </si>
  <si>
    <t>NP20160219223642445641</t>
  </si>
  <si>
    <t>330718515732</t>
  </si>
  <si>
    <t>NC20160226215637242947</t>
  </si>
  <si>
    <t>330716074099</t>
  </si>
  <si>
    <t>NC20160309154417976202</t>
  </si>
  <si>
    <t>qni160307151419370ea7ac</t>
  </si>
  <si>
    <t>NP20160310153040032189</t>
  </si>
  <si>
    <t>30220160126001162479</t>
  </si>
  <si>
    <t>NO20160313192859548032</t>
  </si>
  <si>
    <t>zvo160114122416272eb4ad</t>
  </si>
  <si>
    <t>NP20170118105959359681</t>
  </si>
  <si>
    <t>330900486098</t>
  </si>
  <si>
    <t>NP20170204103208317714</t>
  </si>
  <si>
    <t>331035612844</t>
  </si>
  <si>
    <t>NP20170206093932872175</t>
  </si>
  <si>
    <t>331074046298</t>
  </si>
  <si>
    <t>NP20170214163331207049</t>
  </si>
  <si>
    <t>330997653254</t>
  </si>
  <si>
    <t>NP20170215093248654907</t>
  </si>
  <si>
    <t>331082598483</t>
  </si>
  <si>
    <t>NI20170216140927048159</t>
  </si>
  <si>
    <t>xep170215204220992</t>
  </si>
  <si>
    <t>NI20170216144022293462</t>
  </si>
  <si>
    <t>xep170214162916400</t>
  </si>
  <si>
    <t>NP20151225211120833887</t>
  </si>
  <si>
    <t>cxf151225203417602</t>
  </si>
  <si>
    <t>NP20160226213408482340</t>
  </si>
  <si>
    <t>qni160130043341467e925a</t>
  </si>
  <si>
    <t>NP20160228130314852975</t>
  </si>
  <si>
    <t>hua160227095313667</t>
  </si>
  <si>
    <t>NP20160229191130830060</t>
  </si>
  <si>
    <t>fce160225140556382</t>
  </si>
  <si>
    <t>NP20160304160918178072</t>
  </si>
  <si>
    <t>jcj160304123143637</t>
  </si>
  <si>
    <t>NP20160304161902217297</t>
  </si>
  <si>
    <t>fye160302193512168</t>
  </si>
  <si>
    <t>NP20160305122551597055</t>
  </si>
  <si>
    <t>yyw160303131842940</t>
  </si>
  <si>
    <t>NC20160305213717100368</t>
  </si>
  <si>
    <t>yvp160305113020714</t>
  </si>
  <si>
    <t>NP20160306094053001179</t>
  </si>
  <si>
    <t>qni1603051851585249800f</t>
  </si>
  <si>
    <t>NP20160307103323243588</t>
  </si>
  <si>
    <t>klf160218183503412</t>
  </si>
  <si>
    <t>NP20160307172642363129</t>
  </si>
  <si>
    <t>mfs160307135830089</t>
  </si>
  <si>
    <t>NP20160308025728753523</t>
  </si>
  <si>
    <t>tkw160307164729583</t>
  </si>
  <si>
    <t>NP20160308085337580693</t>
  </si>
  <si>
    <t>hfp160306221841853</t>
  </si>
  <si>
    <t>NP20160308091220793115</t>
  </si>
  <si>
    <t>cxf160301210412671</t>
  </si>
  <si>
    <t>NP20160308142837320219</t>
  </si>
  <si>
    <t>nxw160125115133339</t>
  </si>
  <si>
    <t>NC20160308190152464305</t>
  </si>
  <si>
    <t>yht160308112108966</t>
  </si>
  <si>
    <t>NP20160309103724433356</t>
  </si>
  <si>
    <t>zas160308223943509</t>
  </si>
  <si>
    <t>NC20160309121613352576</t>
  </si>
  <si>
    <t>tlh160301102928718</t>
  </si>
  <si>
    <t>NC20160309155635247286</t>
  </si>
  <si>
    <t>cxf160304021706030</t>
  </si>
  <si>
    <t>NP20160309170254612928</t>
  </si>
  <si>
    <t>hlx160201113304786</t>
  </si>
  <si>
    <t>NP20160309172901901997</t>
  </si>
  <si>
    <t>tcj160309101830303</t>
  </si>
  <si>
    <t>NP20160309222504159947</t>
  </si>
  <si>
    <t>xyx160127164125433</t>
  </si>
  <si>
    <t>NP20160309222353599020</t>
  </si>
  <si>
    <t>jys160309214431030</t>
  </si>
  <si>
    <t>NC20160310101351656098</t>
  </si>
  <si>
    <t>bta160309141407105</t>
  </si>
  <si>
    <t>NP20160310104224856845</t>
  </si>
  <si>
    <t>szs160309151101745</t>
  </si>
  <si>
    <t>NP20160310132526022978</t>
  </si>
  <si>
    <t>xap160310130236303</t>
  </si>
  <si>
    <t>NP20160310195353693763</t>
  </si>
  <si>
    <t>cfs160216122754384</t>
  </si>
  <si>
    <t>NC20160311083146636427</t>
  </si>
  <si>
    <t>ybn160307180142063</t>
  </si>
  <si>
    <t>NP20160311094534088369</t>
  </si>
  <si>
    <t>kly160310192529427</t>
  </si>
  <si>
    <t>NP20160311114410843864</t>
  </si>
  <si>
    <t>dfx160310191502051</t>
  </si>
  <si>
    <t>NP20160311124746974632</t>
  </si>
  <si>
    <t>kls151224230946349</t>
  </si>
  <si>
    <t>NP20160311141144560206</t>
  </si>
  <si>
    <t>gdl160310075849052</t>
  </si>
  <si>
    <t>NP20160311142051520850</t>
  </si>
  <si>
    <t>dzs160311125030692</t>
  </si>
  <si>
    <t>NP20160311153136598112</t>
  </si>
  <si>
    <t>ibi160219121928606</t>
  </si>
  <si>
    <t>NP20160311162400652168</t>
  </si>
  <si>
    <t>yxq160306133223767</t>
  </si>
  <si>
    <t>NP20160311173604742788</t>
  </si>
  <si>
    <t>jdl160310183129661</t>
  </si>
  <si>
    <t>NP20160311204222627950</t>
  </si>
  <si>
    <t>hua160309060359767</t>
  </si>
  <si>
    <t>NP20160311205926138952</t>
  </si>
  <si>
    <t>xxd151010204202364e92a9</t>
  </si>
  <si>
    <t>NP20160311211549919646</t>
  </si>
  <si>
    <t>yri160311185926091</t>
  </si>
  <si>
    <t>NP20160311221340570239</t>
  </si>
  <si>
    <t>ltg160311144639552</t>
  </si>
  <si>
    <t>NP20160312093856400705</t>
  </si>
  <si>
    <t>dfx160312091641886</t>
  </si>
  <si>
    <t>NP20160312114116971573</t>
  </si>
  <si>
    <t>dzs160309231530788</t>
  </si>
  <si>
    <t>NC20160312122402170078</t>
  </si>
  <si>
    <t>hfx160312115318923</t>
  </si>
  <si>
    <t>NP20160312142800390984</t>
  </si>
  <si>
    <t>xmx160311142947805</t>
  </si>
  <si>
    <t>NP20160312151707217904</t>
  </si>
  <si>
    <t>ibi160310140118837</t>
  </si>
  <si>
    <t>NP20160312190335114019</t>
  </si>
  <si>
    <t>xqq160312110500640e8534</t>
  </si>
  <si>
    <t>NP20160312213314325160</t>
  </si>
  <si>
    <t>cxf160120075214227</t>
  </si>
  <si>
    <t>NP20160312215417805276</t>
  </si>
  <si>
    <t>hmy160311194004914e80fe</t>
  </si>
  <si>
    <t>NP20160313083731060214</t>
  </si>
  <si>
    <t>jwe160312125148769</t>
  </si>
  <si>
    <t>NP20160313093526757292</t>
  </si>
  <si>
    <t>whl160312221410298e49b6</t>
  </si>
  <si>
    <t>NP20160313110906965876</t>
  </si>
  <si>
    <t>lxy160310204231225</t>
  </si>
  <si>
    <t>NP20160313121700420917</t>
  </si>
  <si>
    <t>ltg160218133625298</t>
  </si>
  <si>
    <t>NP20160313123527331800</t>
  </si>
  <si>
    <t>hra160313111635261ebbbe</t>
  </si>
  <si>
    <t>NP20160313140503679534</t>
  </si>
  <si>
    <t>xuh160312215109201</t>
  </si>
  <si>
    <t>NP20160313170222030958</t>
  </si>
  <si>
    <t>byx160313122218074</t>
  </si>
  <si>
    <t>NP20160313184023228022</t>
  </si>
  <si>
    <t>mfs160313125125261</t>
  </si>
  <si>
    <t>NP20160313185041078922</t>
  </si>
  <si>
    <t>lta160312141308631e568d</t>
  </si>
  <si>
    <t>NP20160313185853249975</t>
  </si>
  <si>
    <t>qdj160313183331092</t>
  </si>
  <si>
    <t>NP20160313194604980944</t>
  </si>
  <si>
    <t>jtg160313193721767</t>
  </si>
  <si>
    <t>NP20160313195032712379</t>
  </si>
  <si>
    <t>hdn160312213937380</t>
  </si>
  <si>
    <t>NP20160313210313555133</t>
  </si>
  <si>
    <t>tfx160313172827276</t>
  </si>
  <si>
    <t>NP20160313215051011772</t>
  </si>
  <si>
    <t>yze160313133208754</t>
  </si>
  <si>
    <t>NP20160313221017635622</t>
  </si>
  <si>
    <t>fet160312224618647</t>
  </si>
  <si>
    <t>NP20160313221452303859</t>
  </si>
  <si>
    <t>yro160313184826672</t>
  </si>
  <si>
    <t>NP20160313222056802381</t>
  </si>
  <si>
    <t>lxf160313220139746</t>
  </si>
  <si>
    <t>NP20160313224130958766</t>
  </si>
  <si>
    <t>ttz160312091904207</t>
  </si>
  <si>
    <t>NP20170104105500140952</t>
  </si>
  <si>
    <t>xep161226154154134</t>
  </si>
  <si>
    <t>NP20170119154513214027</t>
  </si>
  <si>
    <t>331056295561</t>
  </si>
  <si>
    <t>NC20170212094328587305</t>
  </si>
  <si>
    <t>xep170211223712662</t>
  </si>
  <si>
    <t>NP20170216000943541177</t>
  </si>
  <si>
    <t>xep170215235420870</t>
  </si>
  <si>
    <t>NI20170216142802759254</t>
  </si>
  <si>
    <t>ghc170214174902309</t>
  </si>
  <si>
    <t>NP20160311170636888309</t>
  </si>
  <si>
    <t>xdr160311002418018</t>
  </si>
  <si>
    <t>NP20160313170507511417</t>
  </si>
  <si>
    <t>330744400007</t>
  </si>
  <si>
    <t>NP20160313211719610769</t>
  </si>
  <si>
    <t>xdr160311233641609</t>
  </si>
  <si>
    <t>NP20160713233412130693</t>
  </si>
  <si>
    <t>0052777705</t>
  </si>
  <si>
    <t>fp_3_023</t>
  </si>
  <si>
    <t>NI20161206115440745110</t>
  </si>
  <si>
    <t>331010651815</t>
  </si>
  <si>
    <t>NI20170114220527212372</t>
  </si>
  <si>
    <t>hfp170114112941742</t>
  </si>
  <si>
    <t>NO20170123192643223835</t>
  </si>
  <si>
    <t>xnz170122174800623eb1c2</t>
  </si>
  <si>
    <t>ip_3_017</t>
  </si>
  <si>
    <t>NP20170206083811361716</t>
  </si>
  <si>
    <t>yzl170205224049915</t>
  </si>
  <si>
    <t>p_3_117</t>
  </si>
  <si>
    <t>NP20170211204846949990</t>
  </si>
  <si>
    <t>fna170204214031523</t>
  </si>
  <si>
    <t>NI20170213162028410682</t>
  </si>
  <si>
    <t>hxn170213161251070</t>
  </si>
  <si>
    <t>NP20170213212601913106</t>
  </si>
  <si>
    <t>lah170210135113886</t>
  </si>
  <si>
    <t>NP20170214130757096316</t>
  </si>
  <si>
    <t>331078420963</t>
  </si>
  <si>
    <t>NP20170214175712915274</t>
  </si>
  <si>
    <t>xeb161027230338195e91c9</t>
  </si>
  <si>
    <t>NP20170214192202372958</t>
  </si>
  <si>
    <t>fna170211100048078</t>
  </si>
  <si>
    <t>NP20170215002402320574</t>
  </si>
  <si>
    <t>scv170211120919956</t>
  </si>
  <si>
    <t>NT20170215053003942713</t>
  </si>
  <si>
    <t>hkf170214172802352</t>
  </si>
  <si>
    <t>NP20170215081803115360</t>
  </si>
  <si>
    <t>doa170102174429906</t>
  </si>
  <si>
    <t>NP20170215095403238948</t>
  </si>
  <si>
    <t>tjf170208094138394</t>
  </si>
  <si>
    <t>NP20170215104803608400</t>
  </si>
  <si>
    <t>xep170215103550566</t>
  </si>
  <si>
    <t>NP20170216081603906334</t>
  </si>
  <si>
    <t>doa170204100509821</t>
  </si>
  <si>
    <t>NP20170216104601536558</t>
  </si>
  <si>
    <t>hdm170214145840351</t>
  </si>
  <si>
    <t>NT20170216111003272196</t>
  </si>
  <si>
    <t>kly170216093018753</t>
  </si>
  <si>
    <t>NP20170216114401744918</t>
  </si>
  <si>
    <t>fna170204141508787</t>
  </si>
  <si>
    <t>NI20170216134016393288</t>
  </si>
  <si>
    <t>xep170206140732499</t>
  </si>
  <si>
    <t>NP20170216135802061869</t>
  </si>
  <si>
    <t>hiy170206223912167</t>
  </si>
  <si>
    <t>NP20170216134201028653</t>
  </si>
  <si>
    <t>bbw161216153135152</t>
  </si>
  <si>
    <t>NP20170216144902433949</t>
  </si>
  <si>
    <t>201702161342273248</t>
  </si>
  <si>
    <t>NP20170216144808075230</t>
  </si>
  <si>
    <t>srs170216134225439</t>
  </si>
  <si>
    <t>NP20170216145601875742</t>
  </si>
  <si>
    <t>tjf170210235813562</t>
  </si>
  <si>
    <t>NP20170216145602978939</t>
  </si>
  <si>
    <t>sub170215210051677</t>
  </si>
  <si>
    <t>NP20170216143402967165</t>
  </si>
  <si>
    <t>tjf170215153219915</t>
  </si>
  <si>
    <t>NT20170216155005949383</t>
  </si>
  <si>
    <t>qid170216135514103</t>
  </si>
  <si>
    <t>NP20170216155601995323</t>
  </si>
  <si>
    <t>xuy170131205017543</t>
  </si>
  <si>
    <t>NP20170216160005915598</t>
  </si>
  <si>
    <t>pzf170211172041692</t>
  </si>
  <si>
    <t>NP20170216151512245115</t>
  </si>
  <si>
    <t>xiy170216141256106</t>
  </si>
  <si>
    <t>NT20170216153003346023</t>
  </si>
  <si>
    <t>xep170216142905875</t>
  </si>
  <si>
    <t>NO20170216160409317300</t>
  </si>
  <si>
    <t>xuy170216143338101</t>
  </si>
  <si>
    <t>NP20170216163637378539</t>
  </si>
  <si>
    <t>201702161557266925</t>
  </si>
  <si>
    <t>fp_3_049</t>
  </si>
  <si>
    <t>NP20170216164201949607</t>
  </si>
  <si>
    <t>sdc170210203936453</t>
  </si>
  <si>
    <t>NP20170216163447473242</t>
  </si>
  <si>
    <t>srs170216155719109</t>
  </si>
  <si>
    <t>NP20170216165323569865</t>
  </si>
  <si>
    <t>C1702160064611</t>
  </si>
  <si>
    <t>NP20170216165241943612</t>
  </si>
  <si>
    <t>nhq170216154926930</t>
  </si>
  <si>
    <t>NI20170216162644203975</t>
  </si>
  <si>
    <t>xuy170216155536635</t>
  </si>
  <si>
    <t>NP20150716103904828705</t>
  </si>
  <si>
    <t>wxl150712132432445</t>
  </si>
  <si>
    <t>NP20150922161908088187</t>
  </si>
  <si>
    <t>nei150922124729465</t>
  </si>
  <si>
    <t>NP20160221225712091396</t>
  </si>
  <si>
    <t>cfs160219124843879</t>
  </si>
  <si>
    <t>NP20160311081619459682</t>
  </si>
  <si>
    <t>wan160309131803749</t>
  </si>
  <si>
    <t>NC20160313143424879517</t>
  </si>
  <si>
    <t>afk160229134815509</t>
  </si>
  <si>
    <t>NP20160313145842077810</t>
  </si>
  <si>
    <t>qni160127014841757e413b</t>
  </si>
  <si>
    <t>ip_3_083</t>
  </si>
  <si>
    <t>NP20160313225608374734</t>
  </si>
  <si>
    <t>wxs160306190259963</t>
  </si>
  <si>
    <t>NP20161116100254600263</t>
  </si>
  <si>
    <t>xep161116093904988</t>
  </si>
  <si>
    <t>NP20170216162627603725</t>
  </si>
  <si>
    <t>GD2017021616262023</t>
  </si>
  <si>
    <t>NP20170206132753973408</t>
  </si>
  <si>
    <t>331068333303</t>
  </si>
  <si>
    <t>NP20170214113254834778</t>
  </si>
  <si>
    <t>331034418081</t>
  </si>
  <si>
    <t>NP20160309230705282090</t>
  </si>
  <si>
    <t>kuaip160309215808166</t>
  </si>
  <si>
    <t>tp_3_055</t>
  </si>
  <si>
    <t>NP20160313104239307853</t>
  </si>
  <si>
    <t>mcslw160213100846dd8</t>
  </si>
  <si>
    <t>NP20170214155706509529</t>
  </si>
  <si>
    <t>331080648872</t>
  </si>
  <si>
    <t>NP20170216140800961897</t>
  </si>
  <si>
    <t>331008741838</t>
  </si>
  <si>
    <t>NP20170216170301076420</t>
  </si>
  <si>
    <t>doa170216132206485</t>
  </si>
  <si>
    <t>NP20170123092507556162</t>
  </si>
  <si>
    <t>331047831985</t>
  </si>
  <si>
    <t>NP20170203112557536410</t>
  </si>
  <si>
    <t>331067989418</t>
  </si>
  <si>
    <t>NP20170212222035905428</t>
  </si>
  <si>
    <t>331061306686</t>
  </si>
  <si>
    <t>NP20170214115544797484</t>
  </si>
  <si>
    <t>xep170208104245571</t>
  </si>
  <si>
    <t>NI20170216080942168380</t>
  </si>
  <si>
    <t>xxk161221140142717</t>
  </si>
  <si>
    <t>NI20170216165544534502</t>
  </si>
  <si>
    <t>ghc170201200212560</t>
  </si>
  <si>
    <t>NP20160709095334623333</t>
  </si>
  <si>
    <t>20160709091947TF288</t>
  </si>
  <si>
    <t>NC20161119082946205429</t>
  </si>
  <si>
    <t>330994923526</t>
  </si>
  <si>
    <t>NI20161205194513578182</t>
  </si>
  <si>
    <t>201612021535105728</t>
  </si>
  <si>
    <t>NP20161223151340525912</t>
  </si>
  <si>
    <t>201612221403263K163</t>
  </si>
  <si>
    <t>NP20170207210829316677</t>
  </si>
  <si>
    <t>20170206175721TF196</t>
  </si>
  <si>
    <t>NP20170214083950844613</t>
  </si>
  <si>
    <t>tjf170129165320529</t>
  </si>
  <si>
    <t>NP20170215082112071561</t>
  </si>
  <si>
    <t>ghc170213211039540</t>
  </si>
  <si>
    <t>NP20170215164703370718</t>
  </si>
  <si>
    <t>331083841108</t>
  </si>
  <si>
    <t>NP20170216154005385781</t>
  </si>
  <si>
    <t>20170216011659TF209</t>
  </si>
  <si>
    <t>NP20170216160032583449</t>
  </si>
  <si>
    <t>20170207085841TF396</t>
  </si>
  <si>
    <t>NP20170216162752802579</t>
  </si>
  <si>
    <t>20170215104532TF765</t>
  </si>
  <si>
    <t>NP20170216160451475719</t>
  </si>
  <si>
    <t>51161227018892</t>
  </si>
  <si>
    <t>NC20170215190851231147</t>
  </si>
  <si>
    <t>331083205274</t>
  </si>
  <si>
    <t>NP20170216145709066705</t>
  </si>
  <si>
    <t>331078069651</t>
  </si>
  <si>
    <t>NI20170216154315994321</t>
  </si>
  <si>
    <t>331084566469</t>
  </si>
  <si>
    <t>NI20170216163940448889</t>
  </si>
  <si>
    <t>331084107617</t>
  </si>
  <si>
    <t>NI20170216165825614874</t>
  </si>
  <si>
    <t>331082699704</t>
  </si>
  <si>
    <t>周末与否</t>
    <phoneticPr fontId="1" type="noConversion"/>
  </si>
  <si>
    <t>时间差</t>
    <phoneticPr fontId="1" type="noConversion"/>
  </si>
  <si>
    <t>门派</t>
    <phoneticPr fontId="4" type="noConversion"/>
  </si>
  <si>
    <t>姓名</t>
    <phoneticPr fontId="4" type="noConversion"/>
  </si>
  <si>
    <t>武力值</t>
    <phoneticPr fontId="4" type="noConversion"/>
  </si>
  <si>
    <t>智力值</t>
    <phoneticPr fontId="4" type="noConversion"/>
  </si>
  <si>
    <t>全真教</t>
    <phoneticPr fontId="4" type="noConversion"/>
  </si>
  <si>
    <t>王重阳</t>
    <phoneticPr fontId="4" type="noConversion"/>
  </si>
  <si>
    <t>90以上</t>
    <phoneticPr fontId="4" type="noConversion"/>
  </si>
  <si>
    <t>绝世高手</t>
    <phoneticPr fontId="4" type="noConversion"/>
  </si>
  <si>
    <t>丘处机</t>
    <phoneticPr fontId="4" type="noConversion"/>
  </si>
  <si>
    <t>80-90</t>
    <phoneticPr fontId="4" type="noConversion"/>
  </si>
  <si>
    <t>一流高手</t>
    <phoneticPr fontId="4" type="noConversion"/>
  </si>
  <si>
    <t>丐帮</t>
    <phoneticPr fontId="4" type="noConversion"/>
  </si>
  <si>
    <t>马钰</t>
    <phoneticPr fontId="4" type="noConversion"/>
  </si>
  <si>
    <t>70-80</t>
    <phoneticPr fontId="4" type="noConversion"/>
  </si>
  <si>
    <t>二流高手</t>
    <phoneticPr fontId="4" type="noConversion"/>
  </si>
  <si>
    <t>白驼山</t>
    <phoneticPr fontId="4" type="noConversion"/>
  </si>
  <si>
    <t>王处一</t>
    <phoneticPr fontId="4" type="noConversion"/>
  </si>
  <si>
    <t>60-70</t>
    <phoneticPr fontId="4" type="noConversion"/>
  </si>
  <si>
    <t>三流高手</t>
    <phoneticPr fontId="4" type="noConversion"/>
  </si>
  <si>
    <t>桃花岛</t>
    <phoneticPr fontId="4" type="noConversion"/>
  </si>
  <si>
    <t>郝大通</t>
    <phoneticPr fontId="4" type="noConversion"/>
  </si>
  <si>
    <t>60以下</t>
    <phoneticPr fontId="4" type="noConversion"/>
  </si>
  <si>
    <t>不入流</t>
    <phoneticPr fontId="4" type="noConversion"/>
  </si>
  <si>
    <t>大理段氏</t>
    <phoneticPr fontId="4" type="noConversion"/>
  </si>
  <si>
    <t>孙不二</t>
    <phoneticPr fontId="4" type="noConversion"/>
  </si>
  <si>
    <t>其他</t>
    <phoneticPr fontId="4" type="noConversion"/>
  </si>
  <si>
    <t>谭处端</t>
    <phoneticPr fontId="4" type="noConversion"/>
  </si>
  <si>
    <t>刘处玄</t>
    <phoneticPr fontId="4" type="noConversion"/>
  </si>
  <si>
    <t>周伯通</t>
    <phoneticPr fontId="4" type="noConversion"/>
  </si>
  <si>
    <t>洪七公</t>
    <phoneticPr fontId="4" type="noConversion"/>
  </si>
  <si>
    <t>鲁有脚</t>
    <phoneticPr fontId="4" type="noConversion"/>
  </si>
  <si>
    <t>黄蓉</t>
    <phoneticPr fontId="4" type="noConversion"/>
  </si>
  <si>
    <t>黎生</t>
    <phoneticPr fontId="4" type="noConversion"/>
  </si>
  <si>
    <t>欧阳锋</t>
    <phoneticPr fontId="4" type="noConversion"/>
  </si>
  <si>
    <t>欧阳克</t>
    <phoneticPr fontId="4" type="noConversion"/>
  </si>
  <si>
    <t>黄药师</t>
    <phoneticPr fontId="4" type="noConversion"/>
  </si>
  <si>
    <t>梅超风</t>
    <phoneticPr fontId="4" type="noConversion"/>
  </si>
  <si>
    <t>陈玄风</t>
    <phoneticPr fontId="4" type="noConversion"/>
  </si>
  <si>
    <t>曲灵风</t>
    <phoneticPr fontId="4" type="noConversion"/>
  </si>
  <si>
    <t>陆乘风</t>
    <phoneticPr fontId="4" type="noConversion"/>
  </si>
  <si>
    <t>一灯</t>
    <phoneticPr fontId="4" type="noConversion"/>
  </si>
  <si>
    <t>段誉</t>
    <phoneticPr fontId="4" type="noConversion"/>
  </si>
  <si>
    <t>武三通</t>
    <phoneticPr fontId="4" type="noConversion"/>
  </si>
  <si>
    <t>泗水鱼隐</t>
    <phoneticPr fontId="4" type="noConversion"/>
  </si>
  <si>
    <t>朱子柳</t>
    <phoneticPr fontId="4" type="noConversion"/>
  </si>
  <si>
    <t>樵夫</t>
    <phoneticPr fontId="4" type="noConversion"/>
  </si>
  <si>
    <t>郭靖</t>
    <phoneticPr fontId="4" type="noConversion"/>
  </si>
  <si>
    <t>裘千仞</t>
    <phoneticPr fontId="4" type="noConversion"/>
  </si>
  <si>
    <t>柯镇恶</t>
    <phoneticPr fontId="4" type="noConversion"/>
  </si>
  <si>
    <t>朱聪</t>
    <phoneticPr fontId="4" type="noConversion"/>
  </si>
  <si>
    <t>韩小莹</t>
    <phoneticPr fontId="4" type="noConversion"/>
  </si>
  <si>
    <t>张阿生</t>
    <phoneticPr fontId="4" type="noConversion"/>
  </si>
  <si>
    <t>南希仁</t>
    <phoneticPr fontId="4" type="noConversion"/>
  </si>
  <si>
    <t>评级</t>
    <phoneticPr fontId="1" type="noConversion"/>
  </si>
  <si>
    <t>日期</t>
    <phoneticPr fontId="4" type="noConversion"/>
  </si>
  <si>
    <t>订单量</t>
    <phoneticPr fontId="4" type="noConversion"/>
  </si>
  <si>
    <t>百分比</t>
    <phoneticPr fontId="4" type="noConversion"/>
  </si>
  <si>
    <t>复合饼图</t>
    <phoneticPr fontId="4" type="noConversion"/>
  </si>
  <si>
    <t>ADR</t>
    <phoneticPr fontId="4" type="noConversion"/>
  </si>
  <si>
    <t>IOS</t>
    <phoneticPr fontId="4" type="noConversion"/>
  </si>
  <si>
    <t>少年</t>
    <phoneticPr fontId="4" type="noConversion"/>
  </si>
  <si>
    <t>青年</t>
    <phoneticPr fontId="4" type="noConversion"/>
  </si>
  <si>
    <t>中年</t>
    <phoneticPr fontId="4" type="noConversion"/>
  </si>
  <si>
    <t>老年</t>
    <phoneticPr fontId="4" type="noConversion"/>
  </si>
  <si>
    <t>瀑布图</t>
    <phoneticPr fontId="4" type="noConversion"/>
  </si>
  <si>
    <t>总成本</t>
    <phoneticPr fontId="4" type="noConversion"/>
  </si>
  <si>
    <t>固定成本</t>
    <phoneticPr fontId="4" type="noConversion"/>
  </si>
  <si>
    <t>人力成本</t>
    <phoneticPr fontId="4" type="noConversion"/>
  </si>
  <si>
    <t>物料成本</t>
    <phoneticPr fontId="4" type="noConversion"/>
  </si>
  <si>
    <t>漏斗图</t>
    <phoneticPr fontId="4" type="noConversion"/>
  </si>
  <si>
    <t>环节</t>
    <phoneticPr fontId="4" type="noConversion"/>
  </si>
  <si>
    <t>空白列</t>
    <phoneticPr fontId="4" type="noConversion"/>
  </si>
  <si>
    <t>数据列</t>
    <phoneticPr fontId="4" type="noConversion"/>
  </si>
  <si>
    <t>浏览</t>
    <phoneticPr fontId="4" type="noConversion"/>
  </si>
  <si>
    <t>搜索</t>
    <phoneticPr fontId="4" type="noConversion"/>
  </si>
  <si>
    <t>预定</t>
    <phoneticPr fontId="4" type="noConversion"/>
  </si>
  <si>
    <t>支付</t>
    <phoneticPr fontId="4" type="noConversion"/>
  </si>
  <si>
    <t>查收</t>
    <phoneticPr fontId="4" type="noConversion"/>
  </si>
  <si>
    <t>满意度评价分布</t>
    <phoneticPr fontId="4" type="noConversion"/>
  </si>
  <si>
    <t>ct</t>
    <phoneticPr fontId="4" type="noConversion"/>
  </si>
  <si>
    <t>非常满意</t>
    <phoneticPr fontId="4" type="noConversion"/>
  </si>
  <si>
    <t>比较满意</t>
    <phoneticPr fontId="4" type="noConversion"/>
  </si>
  <si>
    <t>一般</t>
    <phoneticPr fontId="4" type="noConversion"/>
  </si>
  <si>
    <t>比较不满意</t>
    <phoneticPr fontId="4" type="noConversion"/>
  </si>
  <si>
    <t>非常不满意</t>
    <phoneticPr fontId="4" type="noConversion"/>
  </si>
  <si>
    <t>武力评级（IF)</t>
    <phoneticPr fontId="4" type="noConversion"/>
  </si>
  <si>
    <t>武力评级(LOOKUP)</t>
    <phoneticPr fontId="4" type="noConversion"/>
  </si>
  <si>
    <t>武力评级（VLOOKUP)</t>
    <phoneticPr fontId="1" type="noConversion"/>
  </si>
  <si>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</si>
  <si>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</si>
  <si>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</si>
  <si>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</si>
  <si>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</si>
  <si>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总分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</si>
  <si>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</si>
  <si>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</si>
  <si>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</si>
  <si>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 xml:space="preserve">查找值 </t>
    <phoneticPr fontId="1" type="noConversion"/>
  </si>
  <si>
    <t>查找结果</t>
    <phoneticPr fontId="1" type="noConversion"/>
  </si>
  <si>
    <t>问题</t>
    <phoneticPr fontId="1" type="noConversion"/>
  </si>
  <si>
    <t>张三的英语成绩</t>
    <phoneticPr fontId="1" type="noConversion"/>
  </si>
  <si>
    <t>总分是329的同学</t>
    <phoneticPr fontId="1" type="noConversion"/>
  </si>
  <si>
    <t>第三行第二列</t>
    <phoneticPr fontId="1" type="noConversion"/>
  </si>
  <si>
    <t>按列纵向查找</t>
    <phoneticPr fontId="1" type="noConversion"/>
  </si>
  <si>
    <t>按行横向查找</t>
    <phoneticPr fontId="1" type="noConversion"/>
  </si>
  <si>
    <t>适用场景</t>
    <phoneticPr fontId="1" type="noConversion"/>
  </si>
  <si>
    <t>要求查找值不在查找区域的第一行/列</t>
    <phoneticPr fontId="1" type="noConversion"/>
  </si>
  <si>
    <t>查找94分的学科</t>
    <phoneticPr fontId="1" type="noConversion"/>
  </si>
  <si>
    <t>=SUM(A3:A3）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</si>
</sst>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yyyy\-mm\-dd"/>
    <numFmt numFmtId="178" formatCode="0.0%"/>
    <numFmt numFmtId="179" formatCode="0_ "/>
  </numFmts>
  <fonts count="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SimSun"/>
      <charset val="134"/>
    </font>
    <font>
      <sz val="16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76" fontId="2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2" fillId="0" borderId="0" xfId="1">
      <alignment vertical="center"/>
    </xf>
    <xf numFmtId="0" fontId="0" fillId="0" borderId="0" xfId="0" applyAlignment="1"/>
    <xf numFmtId="176" fontId="3" fillId="0" borderId="0" xfId="1" applyFont="1">
      <alignment vertical="center"/>
    </xf>
    <xf numFmtId="14" fontId="2" fillId="0" borderId="0" xfId="1" applyNumberFormat="1">
      <alignment vertical="center"/>
    </xf>
    <xf numFmtId="14" fontId="0" fillId="0" borderId="0" xfId="0" applyNumberFormat="1" applyAlignment="1"/>
    <xf numFmtId="0" fontId="3" fillId="0" borderId="0" xfId="0" applyFont="1" applyAlignment="1"/>
    <xf numFmtId="176" fontId="3" fillId="0" borderId="0" xfId="0" applyNumberFormat="1" applyFont="1">
      <alignment vertical="center"/>
    </xf>
    <xf numFmtId="176" fontId="0" fillId="0" borderId="0" xfId="0" applyNumberFormat="1" applyAlignment="1"/>
    <xf numFmtId="0" fontId="5" fillId="0" borderId="1" xfId="0" applyFont="1" applyBorder="1" applyAlignment="1">
      <alignment vertical="center" wrapText="1"/>
    </xf>
    <xf numFmtId="177" fontId="5" fillId="0" borderId="1" xfId="0" applyNumberFormat="1" applyFont="1" applyBorder="1" applyAlignment="1">
      <alignment vertical="center" wrapText="1"/>
    </xf>
    <xf numFmtId="0" fontId="6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7" fillId="0" borderId="0" xfId="0" applyNumberFormat="1" applyFont="1" applyAlignment="1"/>
    <xf numFmtId="20" fontId="0" fillId="0" borderId="0" xfId="0" applyNumberFormat="1" applyAlignment="1"/>
    <xf numFmtId="178" fontId="0" fillId="0" borderId="0" xfId="0" applyNumberFormat="1" applyAlignment="1"/>
    <xf numFmtId="58" fontId="0" fillId="0" borderId="0" xfId="0" applyNumberFormat="1" applyAlignment="1"/>
    <xf numFmtId="179" fontId="0" fillId="0" borderId="0" xfId="0" applyNumberFormat="1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2" borderId="0" xfId="0" applyFill="1">
      <alignment vertical="center"/>
    </xf>
  </cellXfs>
  <cellStyles count="2">
    <cellStyle name="常规" xfId="0" builtinId="0"/>
    <cellStyle name="常规 2" xfId="1" xr:uid="{670C039B-AD6B-406C-919E-EE9551FC9FE6}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numFmt numFmtId="176" formatCode="0.00_ 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</dxf>
    <dxf>
      <numFmt numFmtId="19" formatCode="yyyy/m/d"/>
      <alignment horizontal="general" vertical="bottom" textRotation="0" wrapText="0" indent="0" justifyLastLine="0" shrinkToFit="0" readingOrder="0"/>
    </dxf>
    <dxf>
      <numFmt numFmtId="19" formatCode="yyyy/m/d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0996972242230006"/>
          <c:y val="0.19834506062807444"/>
          <c:w val="0.67462484427166058"/>
          <c:h val="0.5427270011453541"/>
        </c:manualLayout>
      </c:layout>
      <c:lineChart>
        <c:grouping val="standard"/>
        <c:varyColors val="0"/>
        <c:ser>
          <c:idx val="0"/>
          <c:order val="0"/>
          <c:tx>
            <c:strRef>
              <c:f>'[1]案例3、7'!$A$2</c:f>
              <c:strCache>
                <c:ptCount val="1"/>
                <c:pt idx="0">
                  <c:v>机票总量</c:v>
                </c:pt>
              </c:strCache>
            </c:strRef>
          </c:tx>
          <c:trendline>
            <c:trendlineType val="linear"/>
            <c:dispRSqr val="1"/>
            <c:dispEq val="1"/>
            <c:trendlineLbl>
              <c:layout>
                <c:manualLayout>
                  <c:x val="1.9295943672678388E-2"/>
                  <c:y val="-0.27830121601555652"/>
                </c:manualLayout>
              </c:layout>
              <c:numFmt formatCode="General" sourceLinked="0"/>
            </c:trendlineLbl>
          </c:trendline>
          <c:cat>
            <c:strRef>
              <c:f>'[1]案例3、7'!$B$1:$AO$1</c:f>
              <c:strCache>
                <c:ptCount val="40"/>
                <c:pt idx="0">
                  <c:v>2015-04-01</c:v>
                </c:pt>
                <c:pt idx="1">
                  <c:v>2015-04-02</c:v>
                </c:pt>
                <c:pt idx="2">
                  <c:v>2015-04-03</c:v>
                </c:pt>
                <c:pt idx="3">
                  <c:v>2015-04-04</c:v>
                </c:pt>
                <c:pt idx="4">
                  <c:v>2015-04-05</c:v>
                </c:pt>
                <c:pt idx="5">
                  <c:v>2015-04-06</c:v>
                </c:pt>
                <c:pt idx="6">
                  <c:v>2015-04-07</c:v>
                </c:pt>
                <c:pt idx="7">
                  <c:v>2015-04-08</c:v>
                </c:pt>
                <c:pt idx="8">
                  <c:v>2015-04-09</c:v>
                </c:pt>
                <c:pt idx="9">
                  <c:v>2015-04-10</c:v>
                </c:pt>
                <c:pt idx="10">
                  <c:v>2015-04-11</c:v>
                </c:pt>
                <c:pt idx="11">
                  <c:v>2015-04-12</c:v>
                </c:pt>
                <c:pt idx="12">
                  <c:v>2015-04-13</c:v>
                </c:pt>
                <c:pt idx="13">
                  <c:v>2015-04-14</c:v>
                </c:pt>
                <c:pt idx="14">
                  <c:v>2015-04-15</c:v>
                </c:pt>
                <c:pt idx="15">
                  <c:v>2015-04-16</c:v>
                </c:pt>
                <c:pt idx="16">
                  <c:v>2015-04-17</c:v>
                </c:pt>
                <c:pt idx="17">
                  <c:v>2015-04-18</c:v>
                </c:pt>
                <c:pt idx="18">
                  <c:v>2015-04-19</c:v>
                </c:pt>
                <c:pt idx="19">
                  <c:v>2015-04-20</c:v>
                </c:pt>
                <c:pt idx="20">
                  <c:v>2015-04-21</c:v>
                </c:pt>
                <c:pt idx="21">
                  <c:v>2015-04-22</c:v>
                </c:pt>
                <c:pt idx="22">
                  <c:v>2015-04-23</c:v>
                </c:pt>
                <c:pt idx="23">
                  <c:v>2015-04-24</c:v>
                </c:pt>
                <c:pt idx="24">
                  <c:v>2015-04-25</c:v>
                </c:pt>
                <c:pt idx="25">
                  <c:v>2015-04-26</c:v>
                </c:pt>
                <c:pt idx="26">
                  <c:v>2015-04-27</c:v>
                </c:pt>
                <c:pt idx="27">
                  <c:v>2015-04-28</c:v>
                </c:pt>
                <c:pt idx="28">
                  <c:v>2015-04-29</c:v>
                </c:pt>
                <c:pt idx="29">
                  <c:v>2015-04-30</c:v>
                </c:pt>
                <c:pt idx="30">
                  <c:v>2015-05-01</c:v>
                </c:pt>
                <c:pt idx="31">
                  <c:v>2015-05-02</c:v>
                </c:pt>
                <c:pt idx="32">
                  <c:v>2015-05-03</c:v>
                </c:pt>
                <c:pt idx="33">
                  <c:v>2015-05-04</c:v>
                </c:pt>
                <c:pt idx="34">
                  <c:v>2015-05-05</c:v>
                </c:pt>
                <c:pt idx="35">
                  <c:v>2015-05-06</c:v>
                </c:pt>
                <c:pt idx="36">
                  <c:v>2015-05-07</c:v>
                </c:pt>
                <c:pt idx="37">
                  <c:v>2015-05-08</c:v>
                </c:pt>
                <c:pt idx="38">
                  <c:v>2015-05-09</c:v>
                </c:pt>
                <c:pt idx="39">
                  <c:v>2015-05-10</c:v>
                </c:pt>
              </c:strCache>
            </c:strRef>
          </c:cat>
          <c:val>
            <c:numRef>
              <c:f>'[1]案例3、7'!$B$2:$AO$2</c:f>
              <c:numCache>
                <c:formatCode>General</c:formatCode>
                <c:ptCount val="40"/>
                <c:pt idx="0">
                  <c:v>23824</c:v>
                </c:pt>
                <c:pt idx="1">
                  <c:v>25195</c:v>
                </c:pt>
                <c:pt idx="2">
                  <c:v>27478</c:v>
                </c:pt>
                <c:pt idx="3">
                  <c:v>12391</c:v>
                </c:pt>
                <c:pt idx="4">
                  <c:v>12491</c:v>
                </c:pt>
                <c:pt idx="5">
                  <c:v>14589</c:v>
                </c:pt>
                <c:pt idx="6">
                  <c:v>19273</c:v>
                </c:pt>
                <c:pt idx="7">
                  <c:v>19864</c:v>
                </c:pt>
                <c:pt idx="8">
                  <c:v>18955</c:v>
                </c:pt>
                <c:pt idx="9">
                  <c:v>18256</c:v>
                </c:pt>
                <c:pt idx="10">
                  <c:v>14216</c:v>
                </c:pt>
                <c:pt idx="11">
                  <c:v>14124</c:v>
                </c:pt>
                <c:pt idx="12">
                  <c:v>18151</c:v>
                </c:pt>
                <c:pt idx="13">
                  <c:v>17179</c:v>
                </c:pt>
                <c:pt idx="14">
                  <c:v>18313</c:v>
                </c:pt>
                <c:pt idx="15">
                  <c:v>18270</c:v>
                </c:pt>
                <c:pt idx="16">
                  <c:v>18548</c:v>
                </c:pt>
                <c:pt idx="17">
                  <c:v>13646</c:v>
                </c:pt>
                <c:pt idx="18">
                  <c:v>13140</c:v>
                </c:pt>
                <c:pt idx="19">
                  <c:v>22102</c:v>
                </c:pt>
                <c:pt idx="20">
                  <c:v>22777</c:v>
                </c:pt>
                <c:pt idx="21">
                  <c:v>21159</c:v>
                </c:pt>
                <c:pt idx="22">
                  <c:v>18931</c:v>
                </c:pt>
                <c:pt idx="23">
                  <c:v>18908</c:v>
                </c:pt>
                <c:pt idx="24">
                  <c:v>14529</c:v>
                </c:pt>
                <c:pt idx="25">
                  <c:v>13541</c:v>
                </c:pt>
                <c:pt idx="26">
                  <c:v>21222</c:v>
                </c:pt>
                <c:pt idx="27">
                  <c:v>21631</c:v>
                </c:pt>
                <c:pt idx="28">
                  <c:v>22692</c:v>
                </c:pt>
                <c:pt idx="29">
                  <c:v>20567</c:v>
                </c:pt>
                <c:pt idx="30">
                  <c:v>13617</c:v>
                </c:pt>
                <c:pt idx="31">
                  <c:v>12505</c:v>
                </c:pt>
                <c:pt idx="32">
                  <c:v>13430</c:v>
                </c:pt>
                <c:pt idx="33">
                  <c:v>19848</c:v>
                </c:pt>
                <c:pt idx="34">
                  <c:v>20018</c:v>
                </c:pt>
                <c:pt idx="35">
                  <c:v>18718</c:v>
                </c:pt>
                <c:pt idx="36">
                  <c:v>21622</c:v>
                </c:pt>
                <c:pt idx="37">
                  <c:v>22103</c:v>
                </c:pt>
                <c:pt idx="38">
                  <c:v>18471</c:v>
                </c:pt>
                <c:pt idx="39">
                  <c:v>14640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09-4D66-BA2E-05101375A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442944"/>
        <c:axId val="345457024"/>
      </c:lineChart>
      <c:catAx>
        <c:axId val="345442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45457024"/>
        <c:crosses val="autoZero"/>
        <c:auto val="1"/>
        <c:lblAlgn val="ctr"/>
        <c:lblOffset val="100"/>
        <c:noMultiLvlLbl val="0"/>
      </c:catAx>
      <c:valAx>
        <c:axId val="345457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5442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[2]部分图形!$B$1</c:f>
              <c:strCache>
                <c:ptCount val="1"/>
                <c:pt idx="0">
                  <c:v>订单量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>
                    <a:latin typeface="微软雅黑" panose="020B0503020204020204" pitchFamily="34" charset="-122"/>
                    <a:ea typeface="微软雅黑" panose="020B0503020204020204" pitchFamily="34" charset="-122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[2]部分图形!$A$2:$A$21</c:f>
              <c:numCache>
                <c:formatCode>General</c:formatCode>
                <c:ptCount val="20"/>
                <c:pt idx="0">
                  <c:v>42767</c:v>
                </c:pt>
                <c:pt idx="1">
                  <c:v>42768</c:v>
                </c:pt>
                <c:pt idx="2">
                  <c:v>42769</c:v>
                </c:pt>
                <c:pt idx="3">
                  <c:v>42770</c:v>
                </c:pt>
                <c:pt idx="4">
                  <c:v>42771</c:v>
                </c:pt>
                <c:pt idx="5">
                  <c:v>42772</c:v>
                </c:pt>
                <c:pt idx="6">
                  <c:v>42773</c:v>
                </c:pt>
                <c:pt idx="7">
                  <c:v>42774</c:v>
                </c:pt>
                <c:pt idx="8">
                  <c:v>42775</c:v>
                </c:pt>
                <c:pt idx="9">
                  <c:v>42776</c:v>
                </c:pt>
                <c:pt idx="10">
                  <c:v>42777</c:v>
                </c:pt>
                <c:pt idx="11">
                  <c:v>42778</c:v>
                </c:pt>
                <c:pt idx="12">
                  <c:v>42779</c:v>
                </c:pt>
                <c:pt idx="13">
                  <c:v>42780</c:v>
                </c:pt>
                <c:pt idx="14">
                  <c:v>42781</c:v>
                </c:pt>
                <c:pt idx="15">
                  <c:v>42782</c:v>
                </c:pt>
                <c:pt idx="16">
                  <c:v>42783</c:v>
                </c:pt>
                <c:pt idx="17">
                  <c:v>42784</c:v>
                </c:pt>
                <c:pt idx="18">
                  <c:v>42785</c:v>
                </c:pt>
                <c:pt idx="19">
                  <c:v>42786</c:v>
                </c:pt>
              </c:numCache>
            </c:numRef>
          </c:cat>
          <c:val>
            <c:numRef>
              <c:f>[2]部分图形!$B$2:$B$21</c:f>
              <c:numCache>
                <c:formatCode>General</c:formatCode>
                <c:ptCount val="20"/>
                <c:pt idx="0">
                  <c:v>20760</c:v>
                </c:pt>
                <c:pt idx="1">
                  <c:v>22858</c:v>
                </c:pt>
                <c:pt idx="2">
                  <c:v>20805</c:v>
                </c:pt>
                <c:pt idx="3">
                  <c:v>22233</c:v>
                </c:pt>
                <c:pt idx="4">
                  <c:v>21198</c:v>
                </c:pt>
                <c:pt idx="5">
                  <c:v>23120</c:v>
                </c:pt>
                <c:pt idx="6">
                  <c:v>20333</c:v>
                </c:pt>
                <c:pt idx="7">
                  <c:v>21516</c:v>
                </c:pt>
                <c:pt idx="8">
                  <c:v>23353</c:v>
                </c:pt>
                <c:pt idx="9">
                  <c:v>24512</c:v>
                </c:pt>
                <c:pt idx="10">
                  <c:v>20154</c:v>
                </c:pt>
                <c:pt idx="11">
                  <c:v>20767</c:v>
                </c:pt>
                <c:pt idx="12">
                  <c:v>20401</c:v>
                </c:pt>
                <c:pt idx="13">
                  <c:v>22686</c:v>
                </c:pt>
                <c:pt idx="14">
                  <c:v>20973</c:v>
                </c:pt>
                <c:pt idx="15">
                  <c:v>24794</c:v>
                </c:pt>
                <c:pt idx="16">
                  <c:v>21010</c:v>
                </c:pt>
                <c:pt idx="17">
                  <c:v>24206</c:v>
                </c:pt>
                <c:pt idx="18">
                  <c:v>23309</c:v>
                </c:pt>
                <c:pt idx="19">
                  <c:v>23262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0-42DE-8E31-1DA277F17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357519744"/>
        <c:axId val="358019072"/>
      </c:barChart>
      <c:lineChart>
        <c:grouping val="standard"/>
        <c:varyColors val="0"/>
        <c:ser>
          <c:idx val="1"/>
          <c:order val="1"/>
          <c:tx>
            <c:strRef>
              <c:f>[2]部分图形!$C$1</c:f>
              <c:strCache>
                <c:ptCount val="1"/>
                <c:pt idx="0">
                  <c:v>百分比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circle"/>
            <c:size val="7"/>
            <c:spPr>
              <a:solidFill>
                <a:schemeClr val="bg1"/>
              </a:solidFill>
              <a:ln>
                <a:solidFill>
                  <a:srgbClr val="FFC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[2]部分图形!$A$2:$A$21</c:f>
              <c:numCache>
                <c:formatCode>General</c:formatCode>
                <c:ptCount val="20"/>
                <c:pt idx="0">
                  <c:v>42767</c:v>
                </c:pt>
                <c:pt idx="1">
                  <c:v>42768</c:v>
                </c:pt>
                <c:pt idx="2">
                  <c:v>42769</c:v>
                </c:pt>
                <c:pt idx="3">
                  <c:v>42770</c:v>
                </c:pt>
                <c:pt idx="4">
                  <c:v>42771</c:v>
                </c:pt>
                <c:pt idx="5">
                  <c:v>42772</c:v>
                </c:pt>
                <c:pt idx="6">
                  <c:v>42773</c:v>
                </c:pt>
                <c:pt idx="7">
                  <c:v>42774</c:v>
                </c:pt>
                <c:pt idx="8">
                  <c:v>42775</c:v>
                </c:pt>
                <c:pt idx="9">
                  <c:v>42776</c:v>
                </c:pt>
                <c:pt idx="10">
                  <c:v>42777</c:v>
                </c:pt>
                <c:pt idx="11">
                  <c:v>42778</c:v>
                </c:pt>
                <c:pt idx="12">
                  <c:v>42779</c:v>
                </c:pt>
                <c:pt idx="13">
                  <c:v>42780</c:v>
                </c:pt>
                <c:pt idx="14">
                  <c:v>42781</c:v>
                </c:pt>
                <c:pt idx="15">
                  <c:v>42782</c:v>
                </c:pt>
                <c:pt idx="16">
                  <c:v>42783</c:v>
                </c:pt>
                <c:pt idx="17">
                  <c:v>42784</c:v>
                </c:pt>
                <c:pt idx="18">
                  <c:v>42785</c:v>
                </c:pt>
                <c:pt idx="19">
                  <c:v>42786</c:v>
                </c:pt>
              </c:numCache>
            </c:numRef>
          </c:cat>
          <c:val>
            <c:numRef>
              <c:f>[2]部分图形!$C$2:$C$21</c:f>
              <c:numCache>
                <c:formatCode>General</c:formatCode>
                <c:ptCount val="20"/>
                <c:pt idx="1">
                  <c:v>0.10105973025048169</c:v>
                </c:pt>
                <c:pt idx="2">
                  <c:v>-8.9815381923177881E-2</c:v>
                </c:pt>
                <c:pt idx="3">
                  <c:v>6.8637346791636619E-2</c:v>
                </c:pt>
                <c:pt idx="4">
                  <c:v>-4.6552422075293483E-2</c:v>
                </c:pt>
                <c:pt idx="5">
                  <c:v>9.0668931031229361E-2</c:v>
                </c:pt>
                <c:pt idx="6">
                  <c:v>-0.12054498269896194</c:v>
                </c:pt>
                <c:pt idx="7">
                  <c:v>5.8181281660355084E-2</c:v>
                </c:pt>
                <c:pt idx="8">
                  <c:v>8.537832310838446E-2</c:v>
                </c:pt>
                <c:pt idx="9">
                  <c:v>4.9629597910332716E-2</c:v>
                </c:pt>
                <c:pt idx="10">
                  <c:v>-0.17779046997389034</c:v>
                </c:pt>
                <c:pt idx="11">
                  <c:v>3.041579835268433E-2</c:v>
                </c:pt>
                <c:pt idx="12">
                  <c:v>-1.7624115182741849E-2</c:v>
                </c:pt>
                <c:pt idx="13">
                  <c:v>0.11200431351404343</c:v>
                </c:pt>
                <c:pt idx="14">
                  <c:v>-7.5509124570219521E-2</c:v>
                </c:pt>
                <c:pt idx="15">
                  <c:v>0.18218662089352977</c:v>
                </c:pt>
                <c:pt idx="16">
                  <c:v>-0.1526175687666371</c:v>
                </c:pt>
                <c:pt idx="17">
                  <c:v>0.15211803902903379</c:v>
                </c:pt>
                <c:pt idx="18">
                  <c:v>-3.705692803437164E-2</c:v>
                </c:pt>
                <c:pt idx="19">
                  <c:v>-2.0163885194560043E-3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40-42DE-8E31-1DA277F17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209024"/>
        <c:axId val="358022144"/>
      </c:lineChart>
      <c:catAx>
        <c:axId val="35751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endParaRPr lang="zh-CN"/>
          </a:p>
        </c:txPr>
        <c:crossAx val="358019072"/>
        <c:crosses val="autoZero"/>
        <c:auto val="1"/>
        <c:lblAlgn val="ctr"/>
        <c:lblOffset val="100"/>
        <c:noMultiLvlLbl val="0"/>
      </c:catAx>
      <c:valAx>
        <c:axId val="358019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57519744"/>
        <c:crosses val="autoZero"/>
        <c:crossBetween val="between"/>
      </c:valAx>
      <c:valAx>
        <c:axId val="35802214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crossAx val="358209024"/>
        <c:crosses val="max"/>
        <c:crossBetween val="between"/>
      </c:valAx>
      <c:catAx>
        <c:axId val="358209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802214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97D8-4476-B0A6-95D9B4335D60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97D8-4476-B0A6-95D9B4335D60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97D8-4476-B0A6-95D9B4335D60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97D8-4476-B0A6-95D9B4335D60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7D8-4476-B0A6-95D9B4335D60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B-97D8-4476-B0A6-95D9B4335D60}"/>
              </c:ext>
            </c:extLst>
          </c:dPt>
          <c:dLbls>
            <c:dLbl>
              <c:idx val="5"/>
              <c:tx>
                <c:rich>
                  <a:bodyPr/>
                  <a:lstStyle/>
                  <a:p>
                    <a:r>
                      <a:rPr lang="en-US" altLang="zh-CN">
                        <a:latin typeface="微软雅黑" panose="020B0503020204020204" pitchFamily="34" charset="-122"/>
                        <a:ea typeface="微软雅黑" panose="020B0503020204020204" pitchFamily="34" charset="-122"/>
                      </a:rPr>
                      <a:t>IOS
30.5%</a:t>
                    </a:r>
                    <a:endParaRPr lang="en-US" altLang="zh-CN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7D8-4476-B0A6-95D9B4335D6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latin typeface="微软雅黑" panose="020B0503020204020204" pitchFamily="34" charset="-122"/>
                    <a:ea typeface="微软雅黑" panose="020B0503020204020204" pitchFamily="34" charset="-122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([2]部分图形!$A$27,[2]部分图形!$A$29:$A$32)</c:f>
            </c:multiLvlStrRef>
          </c:cat>
          <c:val>
            <c:numRef>
              <c:f>([2]部分图形!$B$27,[2]部分图形!$B$29:$B$32)</c:f>
              <c:numCache>
                <c:formatCode>General</c:formatCode>
                <c:ptCount val="5"/>
                <c:pt idx="0">
                  <c:v>83223</c:v>
                </c:pt>
                <c:pt idx="1">
                  <c:v>15668</c:v>
                </c:pt>
                <c:pt idx="2">
                  <c:v>9889</c:v>
                </c:pt>
                <c:pt idx="3">
                  <c:v>7688</c:v>
                </c:pt>
                <c:pt idx="4">
                  <c:v>3232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D8-4476-B0A6-95D9B4335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4"/>
        <c:secondPieSize val="75"/>
        <c:serLines>
          <c:spPr>
            <a:ln>
              <a:solidFill>
                <a:schemeClr val="bg1">
                  <a:lumMod val="50000"/>
                </a:schemeClr>
              </a:solidFill>
              <a:prstDash val="dash"/>
            </a:ln>
          </c:spPr>
        </c:serLines>
      </c:of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bg1">
                <a:alpha val="0"/>
              </a:schemeClr>
            </a:solidFill>
          </c:spPr>
          <c:invertIfNegative val="0"/>
          <c:cat>
            <c:strRef>
              <c:f>[2]部分图形!$A$36:$A$39</c:f>
              <c:strCache>
                <c:ptCount val="4"/>
                <c:pt idx="0">
                  <c:v>总成本</c:v>
                </c:pt>
                <c:pt idx="1">
                  <c:v>固定成本</c:v>
                </c:pt>
                <c:pt idx="2">
                  <c:v>人力成本</c:v>
                </c:pt>
                <c:pt idx="3">
                  <c:v>物料成本</c:v>
                </c:pt>
              </c:strCache>
            </c:strRef>
          </c:cat>
          <c:val>
            <c:numRef>
              <c:f>[2]部分图形!$B$36:$B$39</c:f>
              <c:numCache>
                <c:formatCode>General</c:formatCode>
                <c:ptCount val="4"/>
                <c:pt idx="0">
                  <c:v>0</c:v>
                </c:pt>
                <c:pt idx="1">
                  <c:v>9780</c:v>
                </c:pt>
                <c:pt idx="2">
                  <c:v>4460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7-4DEE-8C1A-51890945F078}"/>
            </c:ext>
          </c:extLst>
        </c:ser>
        <c:ser>
          <c:idx val="1"/>
          <c:order val="1"/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[2]部分图形!$A$36:$A$39</c:f>
              <c:strCache>
                <c:ptCount val="4"/>
                <c:pt idx="0">
                  <c:v>总成本</c:v>
                </c:pt>
                <c:pt idx="1">
                  <c:v>固定成本</c:v>
                </c:pt>
                <c:pt idx="2">
                  <c:v>人力成本</c:v>
                </c:pt>
                <c:pt idx="3">
                  <c:v>物料成本</c:v>
                </c:pt>
              </c:strCache>
            </c:strRef>
          </c:cat>
          <c:val>
            <c:numRef>
              <c:f>[2]部分图形!$C$36:$C$39</c:f>
              <c:numCache>
                <c:formatCode>General</c:formatCode>
                <c:ptCount val="4"/>
                <c:pt idx="0">
                  <c:v>12980</c:v>
                </c:pt>
                <c:pt idx="1">
                  <c:v>3200</c:v>
                </c:pt>
                <c:pt idx="2">
                  <c:v>5320</c:v>
                </c:pt>
                <c:pt idx="3">
                  <c:v>4460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7-4DEE-8C1A-51890945F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64999808"/>
        <c:axId val="65001344"/>
      </c:barChart>
      <c:catAx>
        <c:axId val="64999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endParaRPr lang="zh-CN"/>
          </a:p>
        </c:txPr>
        <c:crossAx val="65001344"/>
        <c:crosses val="autoZero"/>
        <c:auto val="1"/>
        <c:lblAlgn val="ctr"/>
        <c:lblOffset val="100"/>
        <c:noMultiLvlLbl val="0"/>
      </c:catAx>
      <c:valAx>
        <c:axId val="65001344"/>
        <c:scaling>
          <c:orientation val="minMax"/>
          <c:max val="12980"/>
          <c:min val="0"/>
        </c:scaling>
        <c:delete val="0"/>
        <c:axPos val="l"/>
        <c:numFmt formatCode="#,##0_);[Red]\(#,##0\)" sourceLinked="0"/>
        <c:majorTickMark val="out"/>
        <c:minorTickMark val="none"/>
        <c:tickLblPos val="nextTo"/>
        <c:crossAx val="64999808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[2]部分图形!$B$54</c:f>
              <c:strCache>
                <c:ptCount val="1"/>
                <c:pt idx="0">
                  <c:v>空白列</c:v>
                </c:pt>
              </c:strCache>
            </c:strRef>
          </c:tx>
          <c:spPr>
            <a:solidFill>
              <a:srgbClr val="00B050">
                <a:alpha val="0"/>
              </a:srgbClr>
            </a:solidFill>
          </c:spPr>
          <c:invertIfNegative val="0"/>
          <c:cat>
            <c:strRef>
              <c:f>[2]部分图形!$A$55:$A$59</c:f>
              <c:strCache>
                <c:ptCount val="5"/>
                <c:pt idx="0">
                  <c:v>浏览</c:v>
                </c:pt>
                <c:pt idx="1">
                  <c:v>搜索</c:v>
                </c:pt>
                <c:pt idx="2">
                  <c:v>预定</c:v>
                </c:pt>
                <c:pt idx="3">
                  <c:v>支付</c:v>
                </c:pt>
                <c:pt idx="4">
                  <c:v>查收</c:v>
                </c:pt>
              </c:strCache>
            </c:strRef>
          </c:cat>
          <c:val>
            <c:numRef>
              <c:f>[2]部分图形!$B$55:$B$59</c:f>
              <c:numCache>
                <c:formatCode>General</c:formatCode>
                <c:ptCount val="5"/>
                <c:pt idx="0">
                  <c:v>0</c:v>
                </c:pt>
                <c:pt idx="1">
                  <c:v>4943.5</c:v>
                </c:pt>
                <c:pt idx="2">
                  <c:v>6442</c:v>
                </c:pt>
                <c:pt idx="3">
                  <c:v>7838.5</c:v>
                </c:pt>
                <c:pt idx="4">
                  <c:v>9994.5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2-4446-ABDC-5766E7F8B240}"/>
            </c:ext>
          </c:extLst>
        </c:ser>
        <c:ser>
          <c:idx val="1"/>
          <c:order val="1"/>
          <c:tx>
            <c:strRef>
              <c:f>[2]部分图形!$C$54</c:f>
              <c:strCache>
                <c:ptCount val="1"/>
                <c:pt idx="0">
                  <c:v>数据列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[2]部分图形!$A$55:$A$59</c:f>
              <c:strCache>
                <c:ptCount val="5"/>
                <c:pt idx="0">
                  <c:v>浏览</c:v>
                </c:pt>
                <c:pt idx="1">
                  <c:v>搜索</c:v>
                </c:pt>
                <c:pt idx="2">
                  <c:v>预定</c:v>
                </c:pt>
                <c:pt idx="3">
                  <c:v>支付</c:v>
                </c:pt>
                <c:pt idx="4">
                  <c:v>查收</c:v>
                </c:pt>
              </c:strCache>
            </c:strRef>
          </c:cat>
          <c:val>
            <c:numRef>
              <c:f>[2]部分图形!$C$55:$C$59</c:f>
              <c:numCache>
                <c:formatCode>General</c:formatCode>
                <c:ptCount val="5"/>
                <c:pt idx="0">
                  <c:v>28889</c:v>
                </c:pt>
                <c:pt idx="1">
                  <c:v>19002</c:v>
                </c:pt>
                <c:pt idx="2">
                  <c:v>16005</c:v>
                </c:pt>
                <c:pt idx="3">
                  <c:v>13212</c:v>
                </c:pt>
                <c:pt idx="4">
                  <c:v>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2-4446-ABDC-5766E7F8B240}"/>
            </c:ext>
          </c:extLst>
        </c:ser>
        <c:ser>
          <c:idx val="2"/>
          <c:order val="2"/>
          <c:tx>
            <c:strRef>
              <c:f>[2]部分图形!$D$54</c:f>
              <c:strCache>
                <c:ptCount val="1"/>
                <c:pt idx="0">
                  <c:v>空白列</c:v>
                </c:pt>
              </c:strCache>
            </c:strRef>
          </c:tx>
          <c:spPr>
            <a:solidFill>
              <a:srgbClr val="00B050">
                <a:alpha val="0"/>
              </a:srgbClr>
            </a:solidFill>
          </c:spPr>
          <c:invertIfNegative val="0"/>
          <c:cat>
            <c:strRef>
              <c:f>[2]部分图形!$A$55:$A$59</c:f>
              <c:strCache>
                <c:ptCount val="5"/>
                <c:pt idx="0">
                  <c:v>浏览</c:v>
                </c:pt>
                <c:pt idx="1">
                  <c:v>搜索</c:v>
                </c:pt>
                <c:pt idx="2">
                  <c:v>预定</c:v>
                </c:pt>
                <c:pt idx="3">
                  <c:v>支付</c:v>
                </c:pt>
                <c:pt idx="4">
                  <c:v>查收</c:v>
                </c:pt>
              </c:strCache>
            </c:strRef>
          </c:cat>
          <c:val>
            <c:numRef>
              <c:f>[2]部分图形!$D$55:$D$59</c:f>
              <c:numCache>
                <c:formatCode>General</c:formatCode>
                <c:ptCount val="5"/>
                <c:pt idx="0">
                  <c:v>0</c:v>
                </c:pt>
                <c:pt idx="1">
                  <c:v>4943.5</c:v>
                </c:pt>
                <c:pt idx="2">
                  <c:v>6442</c:v>
                </c:pt>
                <c:pt idx="3">
                  <c:v>7838.5</c:v>
                </c:pt>
                <c:pt idx="4">
                  <c:v>9994.5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2-4446-ABDC-5766E7F8B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serLines>
          <c:spPr>
            <a:ln>
              <a:solidFill>
                <a:schemeClr val="bg1">
                  <a:lumMod val="50000"/>
                </a:schemeClr>
              </a:solidFill>
              <a:prstDash val="sysDash"/>
            </a:ln>
          </c:spPr>
        </c:serLines>
        <c:axId val="65011072"/>
        <c:axId val="65078400"/>
      </c:barChart>
      <c:catAx>
        <c:axId val="6501107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endParaRPr lang="zh-CN"/>
          </a:p>
        </c:txPr>
        <c:crossAx val="65078400"/>
        <c:crosses val="autoZero"/>
        <c:auto val="1"/>
        <c:lblAlgn val="ctr"/>
        <c:lblOffset val="100"/>
        <c:noMultiLvlLbl val="0"/>
      </c:catAx>
      <c:valAx>
        <c:axId val="65078400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65011072"/>
        <c:crosses val="max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pictureOptions>
            <c:pictureFormat val="stack"/>
          </c:pictureOptions>
          <c:cat>
            <c:strRef>
              <c:f>图表的设计与美化!$A$66:$A$70</c:f>
              <c:strCache>
                <c:ptCount val="5"/>
                <c:pt idx="0">
                  <c:v>非常满意</c:v>
                </c:pt>
                <c:pt idx="1">
                  <c:v>比较满意</c:v>
                </c:pt>
                <c:pt idx="2">
                  <c:v>一般</c:v>
                </c:pt>
                <c:pt idx="3">
                  <c:v>比较不满意</c:v>
                </c:pt>
                <c:pt idx="4">
                  <c:v>非常不满意</c:v>
                </c:pt>
              </c:strCache>
            </c:strRef>
          </c:cat>
          <c:val>
            <c:numRef>
              <c:f>图表的设计与美化!$B$66:$B$70</c:f>
              <c:numCache>
                <c:formatCode>General</c:formatCode>
                <c:ptCount val="5"/>
                <c:pt idx="0">
                  <c:v>2801</c:v>
                </c:pt>
                <c:pt idx="1">
                  <c:v>3242</c:v>
                </c:pt>
                <c:pt idx="2">
                  <c:v>6313</c:v>
                </c:pt>
                <c:pt idx="3">
                  <c:v>2123</c:v>
                </c:pt>
                <c:pt idx="4">
                  <c:v>1231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B-455C-9267-32E61E2DC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65085824"/>
        <c:axId val="65087360"/>
      </c:barChart>
      <c:catAx>
        <c:axId val="6508582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endParaRPr lang="zh-CN"/>
          </a:p>
        </c:txPr>
        <c:crossAx val="65087360"/>
        <c:crosses val="autoZero"/>
        <c:auto val="1"/>
        <c:lblAlgn val="ctr"/>
        <c:lblOffset val="100"/>
        <c:noMultiLvlLbl val="0"/>
      </c:catAx>
      <c:valAx>
        <c:axId val="6508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508582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283342</xdr:colOff>
      <xdr:row>15</xdr:row>
      <xdr:rowOff>97291</xdr:rowOff>
    </xdr:from>
    <xdr:to>
      <xdr:col>15</xdr:col>
      <xdr:colOff>111125</xdr:colOff>
      <xdr:row>31</xdr:row>
      <xdr:rowOff>97292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06374F-5C65-4A0D-9B01-B34E3BC52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1</xdr:row>
      <xdr:rowOff>109537</xdr:rowOff>
    </xdr:from>
    <xdr:to>
      <xdr:col>14</xdr:col>
      <xdr:colOff>142875</xdr:colOff>
      <xdr:row>15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95BB541-F80C-4506-9823-BFF997F8B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452437</xdr:colOff>
      <xdr:row>17</xdr:row>
      <xdr:rowOff>71437</xdr:rowOff>
    </xdr:from>
    <xdr:to>
      <xdr:col>10</xdr:col>
      <xdr:colOff>223837</xdr:colOff>
      <xdr:row>33</xdr:row>
      <xdr:rowOff>71437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894B8C5-1C9A-4AA3-AB20-18551DBCA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457200</xdr:colOff>
      <xdr:row>34</xdr:row>
      <xdr:rowOff>166687</xdr:rowOff>
    </xdr:from>
    <xdr:to>
      <xdr:col>10</xdr:col>
      <xdr:colOff>228600</xdr:colOff>
      <xdr:row>50</xdr:row>
      <xdr:rowOff>166687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5FAC8FF-815A-4217-89AB-119C698E1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495300</xdr:colOff>
      <xdr:row>52</xdr:row>
      <xdr:rowOff>71437</xdr:rowOff>
    </xdr:from>
    <xdr:to>
      <xdr:col>10</xdr:col>
      <xdr:colOff>561976</xdr:colOff>
      <xdr:row>68</xdr:row>
      <xdr:rowOff>71437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5BB198A-7345-414B-B4D1-6FA44D057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280772</xdr:colOff>
      <xdr:row>69</xdr:row>
      <xdr:rowOff>171341</xdr:rowOff>
    </xdr:from>
    <xdr:to>
      <xdr:col>10</xdr:col>
      <xdr:colOff>594360</xdr:colOff>
      <xdr:row>86</xdr:row>
      <xdr:rowOff>76200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B8E500F-414E-40C4-8505-055ED77ED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AWEI\Desktop\&#23453;&#21733;\excel&#21442;&#32771;&#26448;&#26009;\&#29609;&#36716;excel0714%20(2)\&#29609;&#32034;&#32780;&#26377;&#24471;.xlsx" TargetMode="External"/><Relationship Id="rId1" Type="http://schemas.openxmlformats.org/officeDocument/2006/relationships/externalLinkPath" Target="file:///C:\Users\HUAWEI\Desktop\&#23453;&#21733;\excel&#21442;&#32771;&#26448;&#26009;\&#29609;&#36716;excel0714%20(2)\&#29609;&#32034;&#32780;&#26377;&#24471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AWEI\Desktop\&#23453;&#21733;\excel&#21442;&#32771;&#26448;&#26009;\&#29609;&#36716;excel0714%20(2)\&#32473;&#20320;&#39068;&#33394;&#35753;&#20320;&#22909;&#30475;.xlsx" TargetMode="External"/><Relationship Id="rId1" Type="http://schemas.openxmlformats.org/officeDocument/2006/relationships/externalLinkPath" Target="file:///C:\Users\HUAWEI\Desktop\&#23453;&#21733;\excel&#21442;&#32771;&#26448;&#26009;\&#29609;&#36716;excel0714%20(2)\&#32473;&#20320;&#39068;&#33394;&#35753;&#20320;&#22909;&#304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案例1、6"/>
      <sheetName val="案例二"/>
      <sheetName val="案例四"/>
      <sheetName val="问题类型维表"/>
      <sheetName val="案例3、7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B1" t="str">
            <v>2015-04-01</v>
          </cell>
          <cell r="C1" t="str">
            <v>2015-04-02</v>
          </cell>
          <cell r="D1" t="str">
            <v>2015-04-03</v>
          </cell>
          <cell r="E1" t="str">
            <v>2015-04-04</v>
          </cell>
          <cell r="F1" t="str">
            <v>2015-04-05</v>
          </cell>
          <cell r="G1" t="str">
            <v>2015-04-06</v>
          </cell>
          <cell r="H1" t="str">
            <v>2015-04-07</v>
          </cell>
          <cell r="I1" t="str">
            <v>2015-04-08</v>
          </cell>
          <cell r="J1" t="str">
            <v>2015-04-09</v>
          </cell>
          <cell r="K1" t="str">
            <v>2015-04-10</v>
          </cell>
          <cell r="L1" t="str">
            <v>2015-04-11</v>
          </cell>
          <cell r="M1" t="str">
            <v>2015-04-12</v>
          </cell>
          <cell r="N1" t="str">
            <v>2015-04-13</v>
          </cell>
          <cell r="O1" t="str">
            <v>2015-04-14</v>
          </cell>
          <cell r="P1" t="str">
            <v>2015-04-15</v>
          </cell>
          <cell r="Q1" t="str">
            <v>2015-04-16</v>
          </cell>
          <cell r="R1" t="str">
            <v>2015-04-17</v>
          </cell>
          <cell r="S1" t="str">
            <v>2015-04-18</v>
          </cell>
          <cell r="T1" t="str">
            <v>2015-04-19</v>
          </cell>
          <cell r="U1" t="str">
            <v>2015-04-20</v>
          </cell>
          <cell r="V1" t="str">
            <v>2015-04-21</v>
          </cell>
          <cell r="W1" t="str">
            <v>2015-04-22</v>
          </cell>
          <cell r="X1" t="str">
            <v>2015-04-23</v>
          </cell>
          <cell r="Y1" t="str">
            <v>2015-04-24</v>
          </cell>
          <cell r="Z1" t="str">
            <v>2015-04-25</v>
          </cell>
          <cell r="AA1" t="str">
            <v>2015-04-26</v>
          </cell>
          <cell r="AB1" t="str">
            <v>2015-04-27</v>
          </cell>
          <cell r="AC1" t="str">
            <v>2015-04-28</v>
          </cell>
          <cell r="AD1" t="str">
            <v>2015-04-29</v>
          </cell>
          <cell r="AE1" t="str">
            <v>2015-04-30</v>
          </cell>
          <cell r="AF1" t="str">
            <v>2015-05-01</v>
          </cell>
          <cell r="AG1" t="str">
            <v>2015-05-02</v>
          </cell>
          <cell r="AH1" t="str">
            <v>2015-05-03</v>
          </cell>
          <cell r="AI1" t="str">
            <v>2015-05-04</v>
          </cell>
          <cell r="AJ1" t="str">
            <v>2015-05-05</v>
          </cell>
          <cell r="AK1" t="str">
            <v>2015-05-06</v>
          </cell>
          <cell r="AL1" t="str">
            <v>2015-05-07</v>
          </cell>
          <cell r="AM1" t="str">
            <v>2015-05-08</v>
          </cell>
          <cell r="AN1" t="str">
            <v>2015-05-09</v>
          </cell>
          <cell r="AO1" t="str">
            <v>2015-05-10</v>
          </cell>
        </row>
        <row r="2">
          <cell r="A2" t="str">
            <v>机票总量</v>
          </cell>
          <cell r="B2">
            <v>23824</v>
          </cell>
          <cell r="C2">
            <v>25195</v>
          </cell>
          <cell r="D2">
            <v>27478</v>
          </cell>
          <cell r="E2">
            <v>12391</v>
          </cell>
          <cell r="F2">
            <v>12491</v>
          </cell>
          <cell r="G2">
            <v>14589</v>
          </cell>
          <cell r="H2">
            <v>19273</v>
          </cell>
          <cell r="I2">
            <v>19864</v>
          </cell>
          <cell r="J2">
            <v>18955</v>
          </cell>
          <cell r="K2">
            <v>18256</v>
          </cell>
          <cell r="L2">
            <v>14216</v>
          </cell>
          <cell r="M2">
            <v>14124</v>
          </cell>
          <cell r="N2">
            <v>18151</v>
          </cell>
          <cell r="O2">
            <v>17179</v>
          </cell>
          <cell r="P2">
            <v>18313</v>
          </cell>
          <cell r="Q2">
            <v>18270</v>
          </cell>
          <cell r="R2">
            <v>18548</v>
          </cell>
          <cell r="S2">
            <v>13646</v>
          </cell>
          <cell r="T2">
            <v>13140</v>
          </cell>
          <cell r="U2">
            <v>22102</v>
          </cell>
          <cell r="V2">
            <v>22777</v>
          </cell>
          <cell r="W2">
            <v>21159</v>
          </cell>
          <cell r="X2">
            <v>18931</v>
          </cell>
          <cell r="Y2">
            <v>18908</v>
          </cell>
          <cell r="Z2">
            <v>14529</v>
          </cell>
          <cell r="AA2">
            <v>13541</v>
          </cell>
          <cell r="AB2">
            <v>21222</v>
          </cell>
          <cell r="AC2">
            <v>21631</v>
          </cell>
          <cell r="AD2">
            <v>22692</v>
          </cell>
          <cell r="AE2">
            <v>20567</v>
          </cell>
          <cell r="AF2">
            <v>13617</v>
          </cell>
          <cell r="AG2">
            <v>12505</v>
          </cell>
          <cell r="AH2">
            <v>13430</v>
          </cell>
          <cell r="AI2">
            <v>19848</v>
          </cell>
          <cell r="AJ2">
            <v>20018</v>
          </cell>
          <cell r="AK2">
            <v>18718</v>
          </cell>
          <cell r="AL2">
            <v>21622</v>
          </cell>
          <cell r="AM2">
            <v>22103</v>
          </cell>
          <cell r="AN2">
            <v>18471</v>
          </cell>
          <cell r="AO2">
            <v>14640</v>
          </cell>
        </row>
      </sheetData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部分图形"/>
    </sheetNames>
    <sheetDataSet>
      <sheetData sheetId="0">
        <row r="1">
          <cell r="B1" t="str">
            <v>订单量</v>
          </cell>
          <cell r="C1" t="str">
            <v>百分比</v>
          </cell>
        </row>
        <row r="2">
          <cell r="A2">
            <v>42767</v>
          </cell>
          <cell r="B2">
            <v>20760</v>
          </cell>
        </row>
        <row r="3">
          <cell r="A3">
            <v>42768</v>
          </cell>
          <cell r="B3">
            <v>22858</v>
          </cell>
          <cell r="C3">
            <v>0.10105973025048169</v>
          </cell>
        </row>
        <row r="4">
          <cell r="A4">
            <v>42769</v>
          </cell>
          <cell r="B4">
            <v>20805</v>
          </cell>
          <cell r="C4">
            <v>-8.9815381923177881E-2</v>
          </cell>
        </row>
        <row r="5">
          <cell r="A5">
            <v>42770</v>
          </cell>
          <cell r="B5">
            <v>22233</v>
          </cell>
          <cell r="C5">
            <v>6.8637346791636619E-2</v>
          </cell>
        </row>
        <row r="6">
          <cell r="A6">
            <v>42771</v>
          </cell>
          <cell r="B6">
            <v>21198</v>
          </cell>
          <cell r="C6">
            <v>-4.6552422075293483E-2</v>
          </cell>
        </row>
        <row r="7">
          <cell r="A7">
            <v>42772</v>
          </cell>
          <cell r="B7">
            <v>23120</v>
          </cell>
          <cell r="C7">
            <v>9.0668931031229361E-2</v>
          </cell>
        </row>
        <row r="8">
          <cell r="A8">
            <v>42773</v>
          </cell>
          <cell r="B8">
            <v>20333</v>
          </cell>
          <cell r="C8">
            <v>-0.12054498269896194</v>
          </cell>
        </row>
        <row r="9">
          <cell r="A9">
            <v>42774</v>
          </cell>
          <cell r="B9">
            <v>21516</v>
          </cell>
          <cell r="C9">
            <v>5.8181281660355084E-2</v>
          </cell>
        </row>
        <row r="10">
          <cell r="A10">
            <v>42775</v>
          </cell>
          <cell r="B10">
            <v>23353</v>
          </cell>
          <cell r="C10">
            <v>8.537832310838446E-2</v>
          </cell>
        </row>
        <row r="11">
          <cell r="A11">
            <v>42776</v>
          </cell>
          <cell r="B11">
            <v>24512</v>
          </cell>
          <cell r="C11">
            <v>4.9629597910332716E-2</v>
          </cell>
        </row>
        <row r="12">
          <cell r="A12">
            <v>42777</v>
          </cell>
          <cell r="B12">
            <v>20154</v>
          </cell>
          <cell r="C12">
            <v>-0.17779046997389034</v>
          </cell>
        </row>
        <row r="13">
          <cell r="A13">
            <v>42778</v>
          </cell>
          <cell r="B13">
            <v>20767</v>
          </cell>
          <cell r="C13">
            <v>3.041579835268433E-2</v>
          </cell>
        </row>
        <row r="14">
          <cell r="A14">
            <v>42779</v>
          </cell>
          <cell r="B14">
            <v>20401</v>
          </cell>
          <cell r="C14">
            <v>-1.7624115182741849E-2</v>
          </cell>
        </row>
        <row r="15">
          <cell r="A15">
            <v>42780</v>
          </cell>
          <cell r="B15">
            <v>22686</v>
          </cell>
          <cell r="C15">
            <v>0.11200431351404343</v>
          </cell>
        </row>
        <row r="16">
          <cell r="A16">
            <v>42781</v>
          </cell>
          <cell r="B16">
            <v>20973</v>
          </cell>
          <cell r="C16">
            <v>-7.5509124570219521E-2</v>
          </cell>
        </row>
        <row r="17">
          <cell r="A17">
            <v>42782</v>
          </cell>
          <cell r="B17">
            <v>24794</v>
          </cell>
          <cell r="C17">
            <v>0.18218662089352977</v>
          </cell>
        </row>
        <row r="18">
          <cell r="A18">
            <v>42783</v>
          </cell>
          <cell r="B18">
            <v>21010</v>
          </cell>
          <cell r="C18">
            <v>-0.1526175687666371</v>
          </cell>
        </row>
        <row r="19">
          <cell r="A19">
            <v>42784</v>
          </cell>
          <cell r="B19">
            <v>24206</v>
          </cell>
          <cell r="C19">
            <v>0.15211803902903379</v>
          </cell>
        </row>
        <row r="20">
          <cell r="A20">
            <v>42785</v>
          </cell>
          <cell r="B20">
            <v>23309</v>
          </cell>
          <cell r="C20">
            <v>-3.705692803437164E-2</v>
          </cell>
        </row>
        <row r="21">
          <cell r="A21">
            <v>42786</v>
          </cell>
          <cell r="B21">
            <v>23262</v>
          </cell>
          <cell r="C21">
            <v>-2.0163885194560043E-3</v>
          </cell>
        </row>
        <row r="27">
          <cell r="A27" t="str">
            <v>ADR</v>
          </cell>
          <cell r="B27">
            <v>83223</v>
          </cell>
        </row>
        <row r="29">
          <cell r="A29" t="str">
            <v>少年</v>
          </cell>
          <cell r="B29">
            <v>15668</v>
          </cell>
        </row>
        <row r="30">
          <cell r="A30" t="str">
            <v>青年</v>
          </cell>
          <cell r="B30">
            <v>9889</v>
          </cell>
        </row>
        <row r="31">
          <cell r="A31" t="str">
            <v>中年</v>
          </cell>
          <cell r="B31">
            <v>7688</v>
          </cell>
        </row>
        <row r="32">
          <cell r="A32" t="str">
            <v>老年</v>
          </cell>
          <cell r="B32">
            <v>3232</v>
          </cell>
        </row>
        <row r="36">
          <cell r="A36" t="str">
            <v>总成本</v>
          </cell>
          <cell r="B36">
            <v>0</v>
          </cell>
          <cell r="C36">
            <v>12980</v>
          </cell>
        </row>
        <row r="37">
          <cell r="A37" t="str">
            <v>固定成本</v>
          </cell>
          <cell r="B37">
            <v>9780</v>
          </cell>
          <cell r="C37">
            <v>3200</v>
          </cell>
        </row>
        <row r="38">
          <cell r="A38" t="str">
            <v>人力成本</v>
          </cell>
          <cell r="B38">
            <v>4460</v>
          </cell>
          <cell r="C38">
            <v>5320</v>
          </cell>
        </row>
        <row r="39">
          <cell r="A39" t="str">
            <v>物料成本</v>
          </cell>
          <cell r="B39">
            <v>0</v>
          </cell>
          <cell r="C39">
            <v>4460</v>
          </cell>
        </row>
        <row r="54">
          <cell r="B54" t="str">
            <v>空白列</v>
          </cell>
          <cell r="C54" t="str">
            <v>数据列</v>
          </cell>
          <cell r="D54" t="str">
            <v>空白列</v>
          </cell>
        </row>
        <row r="55">
          <cell r="A55" t="str">
            <v>浏览</v>
          </cell>
          <cell r="B55">
            <v>0</v>
          </cell>
          <cell r="C55">
            <v>28889</v>
          </cell>
          <cell r="D55">
            <v>0</v>
          </cell>
        </row>
        <row r="56">
          <cell r="A56" t="str">
            <v>搜索</v>
          </cell>
          <cell r="B56">
            <v>4943.5</v>
          </cell>
          <cell r="C56">
            <v>19002</v>
          </cell>
          <cell r="D56">
            <v>4943.5</v>
          </cell>
        </row>
        <row r="57">
          <cell r="A57" t="str">
            <v>预定</v>
          </cell>
          <cell r="B57">
            <v>6442</v>
          </cell>
          <cell r="C57">
            <v>16005</v>
          </cell>
          <cell r="D57">
            <v>6442</v>
          </cell>
        </row>
        <row r="58">
          <cell r="A58" t="str">
            <v>支付</v>
          </cell>
          <cell r="B58">
            <v>7838.5</v>
          </cell>
          <cell r="C58">
            <v>13212</v>
          </cell>
          <cell r="D58">
            <v>7838.5</v>
          </cell>
        </row>
        <row r="59">
          <cell r="A59" t="str">
            <v>查收</v>
          </cell>
          <cell r="B59">
            <v>9994.5</v>
          </cell>
          <cell r="C59">
            <v>8900</v>
          </cell>
          <cell r="D59">
            <v>9994.5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E795E3-1382-4881-A111-17C627759185}" name="表1" displayName="表1" ref="A1:AO13" totalsRowCount="1" tableBorderDxfId="82">
  <tableColumns count="41">
    <tableColumn id="1" xr3:uid="{01BA14C4-4438-4BB4-B82F-170181FAFAC8}" name="列1" totalsRowLabel="星期几" dataDxfId="81" totalsRowDxfId="80"/>
    <tableColumn id="2" xr3:uid="{39BEB604-6716-4D1A-B794-C00811F7216D}" name="2015-04-01" totalsRowFunction="custom" dataDxfId="79" totalsRowDxfId="78">
      <totalsRowFormula>WEEKDAY(表1[[#Headers],[2015-04-01]],2)</totalsRowFormula>
    </tableColumn>
    <tableColumn id="3" xr3:uid="{7B900700-50AD-4F32-8A80-8787C1122B9C}" name="2015-04-02" totalsRowFunction="custom" dataDxfId="77" totalsRowDxfId="76">
      <totalsRowFormula>WEEKDAY(表1[[#Headers],[2015-04-02]],2)</totalsRowFormula>
    </tableColumn>
    <tableColumn id="4" xr3:uid="{B8CB8E3C-53D3-4E70-B304-A671CAE5A54A}" name="2015-04-03" totalsRowFunction="custom" dataDxfId="75" totalsRowDxfId="74" dataCellStyle="常规 2">
      <totalsRowFormula>WEEKDAY(表1[[#Headers],[2015-04-03]],2)</totalsRowFormula>
    </tableColumn>
    <tableColumn id="5" xr3:uid="{85A67771-0181-41D7-8BAE-F3374C416B95}" name="2015-04-04" totalsRowFunction="custom" dataDxfId="73" totalsRowDxfId="72" dataCellStyle="常规 2">
      <totalsRowFormula>WEEKDAY(表1[[#Headers],[2015-04-04]],2)</totalsRowFormula>
    </tableColumn>
    <tableColumn id="6" xr3:uid="{9A3A7097-46FB-44E8-B020-83A0828360B7}" name="2015-04-05" totalsRowFunction="custom" dataDxfId="71" totalsRowDxfId="70" dataCellStyle="常规 2">
      <totalsRowFormula>WEEKDAY(表1[[#Headers],[2015-04-05]],2)</totalsRowFormula>
    </tableColumn>
    <tableColumn id="7" xr3:uid="{F9871E50-BA0C-4421-80F4-BA695B251F9C}" name="2015-04-06" totalsRowFunction="custom" dataDxfId="69" totalsRowDxfId="68" dataCellStyle="常规 2">
      <totalsRowFormula>WEEKDAY(表1[[#Headers],[2015-04-06]],2)</totalsRowFormula>
    </tableColumn>
    <tableColumn id="8" xr3:uid="{52E9A32A-6CAD-4E48-B27E-81A64681C456}" name="2015-04-07" totalsRowFunction="custom" dataDxfId="67" totalsRowDxfId="66" dataCellStyle="常规 2">
      <totalsRowFormula>WEEKDAY(表1[[#Headers],[2015-04-07]],2)</totalsRowFormula>
    </tableColumn>
    <tableColumn id="9" xr3:uid="{E2923894-BB92-4F06-B3EE-30AB2C3DC879}" name="2015-04-08" totalsRowFunction="custom" dataDxfId="65" totalsRowDxfId="64" dataCellStyle="常规 2">
      <totalsRowFormula>WEEKDAY(表1[[#Headers],[2015-04-08]],2)</totalsRowFormula>
    </tableColumn>
    <tableColumn id="10" xr3:uid="{739B1A66-D46E-44E9-BFF8-5FBBC0994E6B}" name="2015-04-09" totalsRowFunction="custom" dataDxfId="63" totalsRowDxfId="62" dataCellStyle="常规 2">
      <totalsRowFormula>WEEKDAY(表1[[#Headers],[2015-04-09]],2)</totalsRowFormula>
    </tableColumn>
    <tableColumn id="11" xr3:uid="{6AF622B5-DF79-44B7-95C7-19F7778E9F1D}" name="2015-04-10" totalsRowFunction="custom" dataDxfId="61" totalsRowDxfId="60" dataCellStyle="常规 2">
      <totalsRowFormula>WEEKDAY(表1[[#Headers],[2015-04-10]],2)</totalsRowFormula>
    </tableColumn>
    <tableColumn id="12" xr3:uid="{292D9D56-B2F6-42CE-AF55-FCD54E01E283}" name="2015-04-11" totalsRowFunction="custom" dataDxfId="59" totalsRowDxfId="58" dataCellStyle="常规 2">
      <totalsRowFormula>WEEKDAY(表1[[#Headers],[2015-04-11]],2)</totalsRowFormula>
    </tableColumn>
    <tableColumn id="13" xr3:uid="{21C69754-487C-465A-915B-0DF30377B4BB}" name="2015-04-12" totalsRowFunction="custom" dataDxfId="57" totalsRowDxfId="56" dataCellStyle="常规 2">
      <totalsRowFormula>WEEKDAY(表1[[#Headers],[2015-04-12]],2)</totalsRowFormula>
    </tableColumn>
    <tableColumn id="14" xr3:uid="{0D76BD0D-06F4-4A8A-88DE-AD54AF028344}" name="2015-04-13" dataDxfId="55" totalsRowDxfId="54" dataCellStyle="常规 2"/>
    <tableColumn id="15" xr3:uid="{A6F33891-CF12-4393-A3CB-1768F83771DB}" name="2015-04-14" dataDxfId="53" totalsRowDxfId="52" dataCellStyle="常规 2"/>
    <tableColumn id="16" xr3:uid="{CE4822E6-50BA-45EB-9086-4BD09C053760}" name="2015-04-15" dataDxfId="51" totalsRowDxfId="50" dataCellStyle="常规 2"/>
    <tableColumn id="17" xr3:uid="{F042E769-2D62-4728-96AE-C02014F3E38E}" name="2015-04-16" dataDxfId="49" totalsRowDxfId="48" dataCellStyle="常规 2"/>
    <tableColumn id="18" xr3:uid="{CF5679E7-A4E9-4D1B-BB19-89A34097A064}" name="2015-04-17" dataDxfId="47" totalsRowDxfId="46" dataCellStyle="常规 2"/>
    <tableColumn id="19" xr3:uid="{B538B3BE-464F-4F28-8C79-3670EA198B99}" name="2015-04-18" dataDxfId="45" totalsRowDxfId="44" dataCellStyle="常规 2"/>
    <tableColumn id="20" xr3:uid="{BACEA4C8-8EFD-4758-AA9B-0D12E18CCA4E}" name="2015-04-19" dataDxfId="43" totalsRowDxfId="42" dataCellStyle="常规 2"/>
    <tableColumn id="21" xr3:uid="{7D4C9228-A95D-44B3-A3B8-1D0815082728}" name="2015-04-20" dataDxfId="41" totalsRowDxfId="40" dataCellStyle="常规 2"/>
    <tableColumn id="22" xr3:uid="{991E2034-C6F2-4208-B2A4-0E03404AA999}" name="2015-04-21" dataDxfId="39" totalsRowDxfId="38" dataCellStyle="常规 2"/>
    <tableColumn id="23" xr3:uid="{73F39821-2FE8-453A-8894-F96B12674509}" name="2015-04-22" dataDxfId="37" totalsRowDxfId="36" dataCellStyle="常规 2"/>
    <tableColumn id="24" xr3:uid="{08961D39-9A81-496C-B50F-47BE3F6E3123}" name="2015-04-23" dataDxfId="35" totalsRowDxfId="34" dataCellStyle="常规 2"/>
    <tableColumn id="25" xr3:uid="{CDFA1464-86FA-402D-8304-0A2E71D32DCD}" name="2015-04-24" dataDxfId="33" totalsRowDxfId="32" dataCellStyle="常规 2"/>
    <tableColumn id="26" xr3:uid="{67BB63A7-E2C8-4A57-AFE9-F0A40D4FCFBE}" name="2015-04-25" dataDxfId="31" totalsRowDxfId="30" dataCellStyle="常规 2"/>
    <tableColumn id="27" xr3:uid="{C64E2D54-5311-4A17-BB52-9DEE41C7EE46}" name="2015-04-26" dataDxfId="29" totalsRowDxfId="28" dataCellStyle="常规 2"/>
    <tableColumn id="28" xr3:uid="{68198B0F-91D7-4798-B976-40693029146A}" name="2015-04-27" dataDxfId="27" totalsRowDxfId="26" dataCellStyle="常规 2"/>
    <tableColumn id="29" xr3:uid="{5D604D5A-1F7D-478A-8BAB-874C7604B57D}" name="2015-04-28" dataDxfId="25" totalsRowDxfId="24" dataCellStyle="常规 2"/>
    <tableColumn id="30" xr3:uid="{0562D145-89C0-4D9A-8502-F19F72887CBD}" name="2015-04-29" dataDxfId="23" totalsRowDxfId="22" dataCellStyle="常规 2"/>
    <tableColumn id="31" xr3:uid="{A2BCFF57-C754-4E22-B11E-9471FCC5EF07}" name="2015-04-30" dataDxfId="21" totalsRowDxfId="20" dataCellStyle="常规 2"/>
    <tableColumn id="32" xr3:uid="{BFB1FC0A-0F23-4859-886E-C6D34D95FF36}" name="2015-05-01" dataDxfId="19" totalsRowDxfId="18" dataCellStyle="常规 2"/>
    <tableColumn id="33" xr3:uid="{C3D58B21-2AB8-4ECC-A735-53FD192150B5}" name="2015-05-02" dataDxfId="17" totalsRowDxfId="16" dataCellStyle="常规 2"/>
    <tableColumn id="34" xr3:uid="{2A0BC672-D874-4AFB-9CC0-FB9351D09F8A}" name="2015-05-03" dataDxfId="15" totalsRowDxfId="14" dataCellStyle="常规 2"/>
    <tableColumn id="35" xr3:uid="{D8C63F27-E25E-4B00-9355-E55243BBEF35}" name="2015-05-04" dataDxfId="13" totalsRowDxfId="12" dataCellStyle="常规 2"/>
    <tableColumn id="36" xr3:uid="{11D9141C-2F5E-4956-A481-4A929769B0BA}" name="2015-05-05" dataDxfId="11" totalsRowDxfId="10" dataCellStyle="常规 2"/>
    <tableColumn id="37" xr3:uid="{424C6975-80D7-4C47-A69D-64BF9A59A12E}" name="2015-05-06" dataDxfId="9" totalsRowDxfId="8" dataCellStyle="常规 2"/>
    <tableColumn id="38" xr3:uid="{5003CB10-6ECE-42CF-9E69-A4C744325B12}" name="2015-05-07" dataDxfId="7" totalsRowDxfId="6" dataCellStyle="常规 2"/>
    <tableColumn id="39" xr3:uid="{0CD858A0-52B3-49CD-AF36-274F5AB663A9}" name="2015-05-08" dataDxfId="5" totalsRowDxfId="4" dataCellStyle="常规 2"/>
    <tableColumn id="40" xr3:uid="{ABA77A0B-BE40-49CD-94C4-99E8BACB76D3}" name="2015-05-09" dataDxfId="3" totalsRowDxfId="2" dataCellStyle="常规 2"/>
    <tableColumn id="41" xr3:uid="{B2318220-E8DA-41BF-9061-5F71E3F1D1C1}" name="2015-05-10" dataDxfId="1" totalsRowDxfId="0" dataCellStyle="常规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69EC-07BB-454C-9DE6-FB060AB02285}">
  <sheetPr codeName="Sheet1"/>
  <dimension ref="A1:D9"/>
  <sheetViews>
    <sheetView tabSelected="1" workbookViewId="0">
      <selection activeCell="F7" sqref="F7"/>
    </sheetView>
  </sheetViews>
  <sheetFormatPr defaultRowHeight="13.8"/>
  <cols>
    <col min="2" max="2" width="13.77734375" customWidth="1"/>
    <col min="3" max="3" width="15" customWidth="1"/>
    <col min="4" max="4" width="17.88671875" customWidth="1"/>
  </cols>
  <sheetData>
    <row r="1" spans="1:4">
      <c r="B1" s="1" t="s">
        <v>13278</v>
      </c>
      <c r="C1" s="1" t="s">
        <v>4</v>
      </c>
      <c r="D1" s="1" t="s">
        <v>5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</v>
      </c>
      <c r="B3">
        <f>SUM(A3:A3)</f>
        <v>1</v>
      </c>
      <c r="C3">
        <f>SUM($A$3:A3)</f>
        <v>1</v>
      </c>
      <c r="D3">
        <f>SUM($A$3:$A$9)</f>
        <v>28</v>
      </c>
    </row>
    <row r="4" spans="1:4">
      <c r="A4">
        <v>2</v>
      </c>
      <c r="B4">
        <f t="shared" ref="B4:B9" si="0">SUM(A4:A4)</f>
        <v>2</v>
      </c>
      <c r="C4">
        <f>SUM($A$3:A4)</f>
        <v>3</v>
      </c>
      <c r="D4">
        <f t="shared" ref="D4:D9" si="1">SUM($A$3:$A$9)</f>
        <v>28</v>
      </c>
    </row>
    <row r="5" spans="1:4">
      <c r="A5">
        <v>3</v>
      </c>
      <c r="B5">
        <f t="shared" si="0"/>
        <v>3</v>
      </c>
      <c r="C5">
        <f>SUM($A$3:A5)</f>
        <v>6</v>
      </c>
      <c r="D5">
        <f t="shared" si="1"/>
        <v>28</v>
      </c>
    </row>
    <row r="6" spans="1:4">
      <c r="A6">
        <v>4</v>
      </c>
      <c r="B6">
        <f t="shared" si="0"/>
        <v>4</v>
      </c>
      <c r="C6">
        <f>SUM($A$3:A6)</f>
        <v>10</v>
      </c>
      <c r="D6">
        <f t="shared" si="1"/>
        <v>28</v>
      </c>
    </row>
    <row r="7" spans="1:4">
      <c r="A7">
        <v>5</v>
      </c>
      <c r="B7">
        <f t="shared" si="0"/>
        <v>5</v>
      </c>
      <c r="C7">
        <f>SUM($A$3:A7)</f>
        <v>15</v>
      </c>
      <c r="D7">
        <f t="shared" si="1"/>
        <v>28</v>
      </c>
    </row>
    <row r="8" spans="1:4">
      <c r="A8">
        <v>6</v>
      </c>
      <c r="B8">
        <f t="shared" si="0"/>
        <v>6</v>
      </c>
      <c r="C8">
        <f>SUM($A$3:A8)</f>
        <v>21</v>
      </c>
      <c r="D8">
        <f t="shared" si="1"/>
        <v>28</v>
      </c>
    </row>
    <row r="9" spans="1:4">
      <c r="A9">
        <v>7</v>
      </c>
      <c r="B9">
        <f t="shared" si="0"/>
        <v>7</v>
      </c>
      <c r="C9">
        <f>SUM($A$3:A9)</f>
        <v>28</v>
      </c>
      <c r="D9">
        <f t="shared" si="1"/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930D-1629-4673-81DC-59B51AF83129}">
  <sheetPr codeName="Sheet2"/>
  <dimension ref="A1:C14"/>
  <sheetViews>
    <sheetView workbookViewId="0">
      <selection activeCell="B30" sqref="B30"/>
    </sheetView>
  </sheetViews>
  <sheetFormatPr defaultRowHeight="13.8"/>
  <cols>
    <col min="2" max="2" width="25.6640625" customWidth="1"/>
  </cols>
  <sheetData>
    <row r="1" spans="1:3">
      <c r="A1" t="s">
        <v>6</v>
      </c>
      <c r="B1" t="s">
        <v>7</v>
      </c>
      <c r="C1" t="s">
        <v>18</v>
      </c>
    </row>
    <row r="2" spans="1:3">
      <c r="A2">
        <v>1</v>
      </c>
      <c r="B2" t="s">
        <v>8</v>
      </c>
      <c r="C2">
        <v>10</v>
      </c>
    </row>
    <row r="3" spans="1:3">
      <c r="A3">
        <v>2</v>
      </c>
      <c r="B3" t="s">
        <v>9</v>
      </c>
      <c r="C3">
        <v>10</v>
      </c>
    </row>
    <row r="4" spans="1:3" hidden="1">
      <c r="A4">
        <v>3</v>
      </c>
      <c r="B4" t="s">
        <v>10</v>
      </c>
      <c r="C4">
        <v>10</v>
      </c>
    </row>
    <row r="5" spans="1:3" hidden="1">
      <c r="A5">
        <v>4</v>
      </c>
      <c r="B5" t="s">
        <v>11</v>
      </c>
      <c r="C5">
        <v>10</v>
      </c>
    </row>
    <row r="6" spans="1:3" hidden="1">
      <c r="A6">
        <v>5</v>
      </c>
      <c r="B6" t="s">
        <v>12</v>
      </c>
      <c r="C6">
        <v>10</v>
      </c>
    </row>
    <row r="7" spans="1:3">
      <c r="A7">
        <v>6</v>
      </c>
      <c r="B7" t="s">
        <v>13</v>
      </c>
      <c r="C7">
        <v>10</v>
      </c>
    </row>
    <row r="8" spans="1:3">
      <c r="A8">
        <v>7</v>
      </c>
      <c r="B8" t="s">
        <v>14</v>
      </c>
      <c r="C8">
        <v>10</v>
      </c>
    </row>
    <row r="9" spans="1:3">
      <c r="A9">
        <v>8</v>
      </c>
      <c r="B9" t="s">
        <v>15</v>
      </c>
      <c r="C9">
        <v>10</v>
      </c>
    </row>
    <row r="10" spans="1:3">
      <c r="A10">
        <v>9</v>
      </c>
      <c r="B10" t="s">
        <v>16</v>
      </c>
      <c r="C10">
        <v>10</v>
      </c>
    </row>
    <row r="11" spans="1:3">
      <c r="A11">
        <v>10</v>
      </c>
      <c r="B11" t="s">
        <v>17</v>
      </c>
      <c r="C11">
        <v>10</v>
      </c>
    </row>
    <row r="12" spans="1:3">
      <c r="A12" t="s">
        <v>19</v>
      </c>
      <c r="B12" s="1" t="s">
        <v>22</v>
      </c>
      <c r="C12">
        <f>SUM(C2:C11)</f>
        <v>100</v>
      </c>
    </row>
    <row r="13" spans="1:3">
      <c r="A13" t="s">
        <v>20</v>
      </c>
      <c r="B13" s="1" t="s">
        <v>23</v>
      </c>
      <c r="C13">
        <f>SUBTOTAL(9,C2:C11)</f>
        <v>100</v>
      </c>
    </row>
    <row r="14" spans="1:3">
      <c r="A14" t="s">
        <v>21</v>
      </c>
      <c r="B14" s="1" t="s">
        <v>24</v>
      </c>
      <c r="C14">
        <f>SUBTOTAL(109,C2:C11)</f>
        <v>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877D-A3D6-466A-8CF2-006C9DBC7642}">
  <sheetPr codeName="Sheet3"/>
  <dimension ref="A1:AP33"/>
  <sheetViews>
    <sheetView workbookViewId="0">
      <selection activeCell="J13" sqref="J13"/>
    </sheetView>
  </sheetViews>
  <sheetFormatPr defaultRowHeight="13.8"/>
  <cols>
    <col min="1" max="1" width="12.33203125" style="3" customWidth="1"/>
    <col min="2" max="2" width="17.77734375" style="3" customWidth="1"/>
    <col min="3" max="3" width="11.109375" style="3" customWidth="1"/>
    <col min="4" max="16384" width="8.88671875" style="3"/>
  </cols>
  <sheetData>
    <row r="1" spans="1:42" ht="20.399999999999999">
      <c r="A1" s="12" t="s">
        <v>13258</v>
      </c>
      <c r="B1" s="12" t="s">
        <v>13259</v>
      </c>
      <c r="C1" s="12" t="s">
        <v>13260</v>
      </c>
      <c r="D1" s="12" t="s">
        <v>13261</v>
      </c>
      <c r="E1" s="12" t="s">
        <v>13262</v>
      </c>
      <c r="F1" s="12" t="s">
        <v>13263</v>
      </c>
    </row>
    <row r="2" spans="1:42" ht="20.399999999999999">
      <c r="A2" s="12" t="s">
        <v>13264</v>
      </c>
      <c r="B2" s="12">
        <v>90</v>
      </c>
      <c r="C2" s="12">
        <v>70</v>
      </c>
      <c r="D2" s="12">
        <v>83</v>
      </c>
      <c r="E2" s="12">
        <v>93</v>
      </c>
      <c r="F2" s="12">
        <v>336</v>
      </c>
    </row>
    <row r="3" spans="1:42" ht="20.399999999999999">
      <c r="A3" s="12" t="s">
        <v>13265</v>
      </c>
      <c r="B3" s="12">
        <v>80</v>
      </c>
      <c r="C3" s="12">
        <v>82</v>
      </c>
      <c r="D3" s="12">
        <v>86</v>
      </c>
      <c r="E3" s="12">
        <v>85</v>
      </c>
      <c r="F3" s="12">
        <v>333</v>
      </c>
    </row>
    <row r="4" spans="1:42" ht="20.399999999999999">
      <c r="A4" s="12" t="s">
        <v>13266</v>
      </c>
      <c r="B4" s="12">
        <v>70</v>
      </c>
      <c r="C4" s="12">
        <v>94</v>
      </c>
      <c r="D4" s="12">
        <v>90</v>
      </c>
      <c r="E4" s="12">
        <v>75</v>
      </c>
      <c r="F4" s="12">
        <v>329</v>
      </c>
    </row>
    <row r="5" spans="1:42">
      <c r="A5" s="13"/>
      <c r="B5"/>
      <c r="C5"/>
    </row>
    <row r="6" spans="1:42">
      <c r="A6" s="13" t="s">
        <v>25</v>
      </c>
      <c r="B6" s="13" t="s">
        <v>13269</v>
      </c>
      <c r="C6" t="s">
        <v>13267</v>
      </c>
      <c r="D6" t="s">
        <v>13268</v>
      </c>
      <c r="E6" s="3" t="s">
        <v>13275</v>
      </c>
    </row>
    <row r="7" spans="1:42">
      <c r="A7" s="13" t="s">
        <v>26</v>
      </c>
      <c r="B7" s="13" t="s">
        <v>13270</v>
      </c>
      <c r="C7" t="s">
        <v>13264</v>
      </c>
      <c r="D7" s="24">
        <f>VLOOKUP(C7,A1:D4,4,0)</f>
        <v>83</v>
      </c>
      <c r="E7" s="3" t="s">
        <v>13273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spans="1:42">
      <c r="A8" s="13" t="s">
        <v>27</v>
      </c>
      <c r="B8" s="13" t="s">
        <v>13270</v>
      </c>
      <c r="C8" s="13" t="s">
        <v>13261</v>
      </c>
      <c r="D8" s="24">
        <f>HLOOKUP(C8,A1:D4,2,0)</f>
        <v>83</v>
      </c>
      <c r="E8" s="13" t="s">
        <v>13274</v>
      </c>
    </row>
    <row r="9" spans="1:42">
      <c r="A9" s="13" t="s">
        <v>29</v>
      </c>
      <c r="B9" s="13" t="s">
        <v>13272</v>
      </c>
      <c r="C9" s="13"/>
      <c r="D9" s="24">
        <f>INDEX(A1:F4,3,2)</f>
        <v>80</v>
      </c>
      <c r="E9"/>
    </row>
    <row r="10" spans="1:42">
      <c r="A10" s="13" t="s">
        <v>28</v>
      </c>
      <c r="B10" s="13" t="s">
        <v>13271</v>
      </c>
      <c r="C10">
        <v>329</v>
      </c>
      <c r="D10" s="24" t="str">
        <f>INDEX(A1:F4,MATCH(C10,F1:F4,0),1)</f>
        <v>王五</v>
      </c>
      <c r="E10" s="3" t="s">
        <v>13276</v>
      </c>
    </row>
    <row r="11" spans="1:42">
      <c r="A11" s="13" t="s">
        <v>28</v>
      </c>
      <c r="B11" s="13" t="s">
        <v>13277</v>
      </c>
      <c r="C11">
        <v>94</v>
      </c>
      <c r="D11" s="3" t="str">
        <f>INDEX(A1:F4,1,MATCH(C11,A4:F4,0))</f>
        <v>数学</v>
      </c>
    </row>
    <row r="12" spans="1:42">
      <c r="A12" s="13"/>
      <c r="B12"/>
      <c r="C12"/>
    </row>
    <row r="13" spans="1:42">
      <c r="A13" s="13"/>
      <c r="B13"/>
      <c r="C13"/>
    </row>
    <row r="14" spans="1:42">
      <c r="A14" s="13"/>
      <c r="B14"/>
      <c r="C14"/>
    </row>
    <row r="15" spans="1:42">
      <c r="A15" s="13"/>
      <c r="B15"/>
      <c r="C15"/>
    </row>
    <row r="16" spans="1:42">
      <c r="A16" s="13"/>
      <c r="B16"/>
      <c r="C16"/>
    </row>
    <row r="17" spans="1:3">
      <c r="A17" s="13"/>
      <c r="B17"/>
      <c r="C17"/>
    </row>
    <row r="18" spans="1:3">
      <c r="A18" s="13"/>
      <c r="B18"/>
      <c r="C18"/>
    </row>
    <row r="19" spans="1:3">
      <c r="A19" s="13"/>
      <c r="B19"/>
      <c r="C19"/>
    </row>
    <row r="20" spans="1:3">
      <c r="A20" s="13"/>
      <c r="B20"/>
      <c r="C20"/>
    </row>
    <row r="21" spans="1:3">
      <c r="A21" s="13"/>
      <c r="B21"/>
      <c r="C21"/>
    </row>
    <row r="22" spans="1:3">
      <c r="A22" s="13"/>
      <c r="B22"/>
      <c r="C22"/>
    </row>
    <row r="23" spans="1:3">
      <c r="A23" s="13"/>
      <c r="B23"/>
      <c r="C23"/>
    </row>
    <row r="24" spans="1:3">
      <c r="A24" s="13"/>
      <c r="B24"/>
      <c r="C24"/>
    </row>
    <row r="25" spans="1:3">
      <c r="A25" s="13"/>
      <c r="B25"/>
      <c r="C25"/>
    </row>
    <row r="26" spans="1:3">
      <c r="A26" s="13"/>
      <c r="B26"/>
      <c r="C26"/>
    </row>
    <row r="27" spans="1:3">
      <c r="A27" s="13"/>
      <c r="B27"/>
      <c r="C27"/>
    </row>
    <row r="28" spans="1:3">
      <c r="A28" s="13"/>
      <c r="B28"/>
      <c r="C28"/>
    </row>
    <row r="29" spans="1:3">
      <c r="A29" s="13"/>
      <c r="B29"/>
      <c r="C29"/>
    </row>
    <row r="30" spans="1:3">
      <c r="A30" s="13"/>
      <c r="B30"/>
      <c r="C30"/>
    </row>
    <row r="31" spans="1:3">
      <c r="A31" s="13"/>
      <c r="B31"/>
      <c r="C31"/>
    </row>
    <row r="32" spans="1:3">
      <c r="A32" s="13"/>
      <c r="B32"/>
      <c r="C32"/>
    </row>
    <row r="33" spans="1:3">
      <c r="A33" s="13"/>
      <c r="B33"/>
      <c r="C3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A49D-9A26-4A69-AA59-D23B1F20AD18}">
  <sheetPr codeName="Sheet4"/>
  <dimension ref="A1:AO21"/>
  <sheetViews>
    <sheetView workbookViewId="0">
      <selection activeCell="H8" sqref="H8"/>
    </sheetView>
  </sheetViews>
  <sheetFormatPr defaultRowHeight="13.8"/>
  <cols>
    <col min="1" max="1" width="13.6640625" style="3" customWidth="1"/>
    <col min="2" max="2" width="21" style="3" customWidth="1"/>
    <col min="3" max="41" width="10.44140625" style="3" bestFit="1" customWidth="1"/>
    <col min="42" max="16384" width="8.88671875" style="3"/>
  </cols>
  <sheetData>
    <row r="1" spans="1:41" ht="15.6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  <c r="AA1" s="2" t="s">
        <v>56</v>
      </c>
      <c r="AB1" s="2" t="s">
        <v>57</v>
      </c>
      <c r="AC1" s="2" t="s">
        <v>58</v>
      </c>
      <c r="AD1" s="2" t="s">
        <v>59</v>
      </c>
      <c r="AE1" s="2" t="s">
        <v>60</v>
      </c>
      <c r="AF1" s="2" t="s">
        <v>61</v>
      </c>
      <c r="AG1" s="2" t="s">
        <v>62</v>
      </c>
      <c r="AH1" s="2" t="s">
        <v>63</v>
      </c>
      <c r="AI1" s="2" t="s">
        <v>64</v>
      </c>
      <c r="AJ1" s="2" t="s">
        <v>65</v>
      </c>
      <c r="AK1" s="2" t="s">
        <v>66</v>
      </c>
      <c r="AL1" s="2" t="s">
        <v>67</v>
      </c>
      <c r="AM1" s="2" t="s">
        <v>68</v>
      </c>
      <c r="AN1" s="2" t="s">
        <v>69</v>
      </c>
      <c r="AO1" s="2" t="s">
        <v>70</v>
      </c>
    </row>
    <row r="2" spans="1:41" ht="15.6">
      <c r="A2" s="2" t="s">
        <v>71</v>
      </c>
      <c r="B2" s="4">
        <v>23824</v>
      </c>
      <c r="C2" s="4">
        <v>25195</v>
      </c>
      <c r="D2" s="4">
        <v>27478</v>
      </c>
      <c r="E2" s="4">
        <v>12391</v>
      </c>
      <c r="F2" s="4">
        <v>12491</v>
      </c>
      <c r="G2" s="4">
        <v>14589</v>
      </c>
      <c r="H2" s="4">
        <v>19273</v>
      </c>
      <c r="I2" s="4">
        <v>19864</v>
      </c>
      <c r="J2" s="4">
        <v>18955</v>
      </c>
      <c r="K2" s="4">
        <v>18256</v>
      </c>
      <c r="L2" s="4">
        <v>14216</v>
      </c>
      <c r="M2" s="4">
        <v>14124</v>
      </c>
      <c r="N2" s="4">
        <v>18151</v>
      </c>
      <c r="O2" s="4">
        <v>17179</v>
      </c>
      <c r="P2" s="4">
        <v>18313</v>
      </c>
      <c r="Q2" s="4">
        <v>18270</v>
      </c>
      <c r="R2" s="4">
        <v>18548</v>
      </c>
      <c r="S2" s="4">
        <v>13646</v>
      </c>
      <c r="T2" s="4">
        <v>13140</v>
      </c>
      <c r="U2" s="4">
        <v>22102</v>
      </c>
      <c r="V2" s="4">
        <v>22777</v>
      </c>
      <c r="W2" s="4">
        <v>21159</v>
      </c>
      <c r="X2" s="4">
        <v>18931</v>
      </c>
      <c r="Y2" s="4">
        <v>18908</v>
      </c>
      <c r="Z2" s="4">
        <v>14529</v>
      </c>
      <c r="AA2" s="4">
        <v>13541</v>
      </c>
      <c r="AB2" s="4">
        <v>21222</v>
      </c>
      <c r="AC2" s="4">
        <v>21631</v>
      </c>
      <c r="AD2" s="4">
        <v>22692</v>
      </c>
      <c r="AE2" s="4">
        <v>20567</v>
      </c>
      <c r="AF2" s="4">
        <v>13617</v>
      </c>
      <c r="AG2" s="4">
        <v>12505</v>
      </c>
      <c r="AH2" s="4">
        <v>13430</v>
      </c>
      <c r="AI2" s="4">
        <v>19848</v>
      </c>
      <c r="AJ2" s="4">
        <v>20018</v>
      </c>
      <c r="AK2" s="4">
        <v>18718</v>
      </c>
      <c r="AL2" s="4">
        <v>21622</v>
      </c>
      <c r="AM2" s="4">
        <v>22103</v>
      </c>
      <c r="AN2" s="4">
        <v>18471</v>
      </c>
      <c r="AO2" s="4">
        <v>14640</v>
      </c>
    </row>
    <row r="3" spans="1:41" ht="15.6">
      <c r="A3" s="2" t="s">
        <v>72</v>
      </c>
      <c r="B3" s="4">
        <v>1699</v>
      </c>
      <c r="C3" s="4">
        <v>1621</v>
      </c>
      <c r="D3" s="4">
        <v>1817</v>
      </c>
      <c r="E3" s="4">
        <v>1101</v>
      </c>
      <c r="F3" s="4">
        <v>848</v>
      </c>
      <c r="G3" s="4">
        <v>969</v>
      </c>
      <c r="H3" s="4">
        <v>1552</v>
      </c>
      <c r="I3" s="4">
        <v>1645</v>
      </c>
      <c r="J3" s="4">
        <v>1523</v>
      </c>
      <c r="K3" s="4">
        <v>1450</v>
      </c>
      <c r="L3" s="4">
        <v>1168</v>
      </c>
      <c r="M3" s="4">
        <v>997</v>
      </c>
      <c r="N3" s="4">
        <v>1624</v>
      </c>
      <c r="O3" s="4">
        <v>1383</v>
      </c>
      <c r="P3" s="4">
        <v>1460</v>
      </c>
      <c r="Q3" s="4">
        <v>1512</v>
      </c>
      <c r="R3" s="4">
        <v>1550</v>
      </c>
      <c r="S3" s="4">
        <v>1179</v>
      </c>
      <c r="T3" s="4">
        <v>1283</v>
      </c>
      <c r="U3" s="4">
        <v>1842</v>
      </c>
      <c r="V3" s="4">
        <v>1857</v>
      </c>
      <c r="W3" s="4">
        <v>1815</v>
      </c>
      <c r="X3" s="4">
        <v>1692</v>
      </c>
      <c r="Y3" s="4">
        <v>1695</v>
      </c>
      <c r="Z3" s="4">
        <v>1363</v>
      </c>
      <c r="AA3" s="4">
        <v>1282</v>
      </c>
      <c r="AB3" s="4">
        <v>1994</v>
      </c>
      <c r="AC3" s="4">
        <v>2025</v>
      </c>
      <c r="AD3" s="4">
        <v>2064</v>
      </c>
      <c r="AE3" s="4">
        <v>1961</v>
      </c>
      <c r="AF3" s="4">
        <v>1488</v>
      </c>
      <c r="AG3" s="4">
        <v>1100</v>
      </c>
      <c r="AH3" s="4">
        <v>1050</v>
      </c>
      <c r="AI3" s="4">
        <v>1845</v>
      </c>
      <c r="AJ3" s="4">
        <v>1936</v>
      </c>
      <c r="AK3" s="4">
        <v>1876</v>
      </c>
      <c r="AL3" s="4">
        <v>2057</v>
      </c>
      <c r="AM3" s="4">
        <v>2014</v>
      </c>
      <c r="AN3" s="4">
        <v>1558</v>
      </c>
      <c r="AO3" s="4">
        <v>1263</v>
      </c>
    </row>
    <row r="4" spans="1:41" ht="15.6">
      <c r="A4" s="2" t="s">
        <v>73</v>
      </c>
      <c r="B4" s="4">
        <v>771</v>
      </c>
      <c r="C4" s="4">
        <v>769</v>
      </c>
      <c r="D4" s="4">
        <v>922</v>
      </c>
      <c r="E4" s="4">
        <v>399</v>
      </c>
      <c r="F4" s="4">
        <v>343</v>
      </c>
      <c r="G4" s="4">
        <v>399</v>
      </c>
      <c r="H4" s="4">
        <v>691</v>
      </c>
      <c r="I4" s="4">
        <v>734</v>
      </c>
      <c r="J4" s="4">
        <v>668</v>
      </c>
      <c r="K4" s="4">
        <v>710</v>
      </c>
      <c r="L4" s="4">
        <v>418</v>
      </c>
      <c r="M4" s="4">
        <v>358</v>
      </c>
      <c r="N4" s="4">
        <v>691</v>
      </c>
      <c r="O4" s="4">
        <v>615</v>
      </c>
      <c r="P4" s="4">
        <v>686</v>
      </c>
      <c r="Q4" s="4">
        <v>710</v>
      </c>
      <c r="R4" s="4">
        <v>786</v>
      </c>
      <c r="S4" s="4">
        <v>516</v>
      </c>
      <c r="T4" s="4">
        <v>488</v>
      </c>
      <c r="U4" s="4">
        <v>824</v>
      </c>
      <c r="V4" s="4">
        <v>908</v>
      </c>
      <c r="W4" s="4">
        <v>939</v>
      </c>
      <c r="X4" s="4">
        <v>699</v>
      </c>
      <c r="Y4" s="4">
        <v>698</v>
      </c>
      <c r="Z4" s="4">
        <v>523</v>
      </c>
      <c r="AA4" s="4">
        <v>453</v>
      </c>
      <c r="AB4" s="4">
        <v>776</v>
      </c>
      <c r="AC4" s="4">
        <v>737</v>
      </c>
      <c r="AD4" s="4">
        <v>731</v>
      </c>
      <c r="AE4" s="4">
        <v>661</v>
      </c>
      <c r="AF4" s="4">
        <v>389</v>
      </c>
      <c r="AG4" s="4">
        <v>303</v>
      </c>
      <c r="AH4" s="4">
        <v>328</v>
      </c>
      <c r="AI4" s="4">
        <v>656</v>
      </c>
      <c r="AJ4" s="4">
        <v>685</v>
      </c>
      <c r="AK4" s="4">
        <v>637</v>
      </c>
      <c r="AL4" s="4">
        <v>812</v>
      </c>
      <c r="AM4" s="4">
        <v>776</v>
      </c>
      <c r="AN4" s="4">
        <v>510</v>
      </c>
      <c r="AO4" s="4">
        <v>385</v>
      </c>
    </row>
    <row r="5" spans="1:41" ht="15.6">
      <c r="A5" s="2" t="s">
        <v>74</v>
      </c>
      <c r="B5" s="4">
        <v>463</v>
      </c>
      <c r="C5" s="4">
        <v>557</v>
      </c>
      <c r="D5" s="4">
        <v>513</v>
      </c>
      <c r="E5" s="4">
        <v>289</v>
      </c>
      <c r="F5" s="4">
        <v>258</v>
      </c>
      <c r="G5" s="4">
        <v>306</v>
      </c>
      <c r="H5" s="4">
        <v>469</v>
      </c>
      <c r="I5" s="4">
        <v>466</v>
      </c>
      <c r="J5" s="4">
        <v>442</v>
      </c>
      <c r="K5" s="4">
        <v>535</v>
      </c>
      <c r="L5" s="4">
        <v>328</v>
      </c>
      <c r="M5" s="4">
        <v>298</v>
      </c>
      <c r="N5" s="4">
        <v>415</v>
      </c>
      <c r="O5" s="4">
        <v>480</v>
      </c>
      <c r="P5" s="4">
        <v>508</v>
      </c>
      <c r="Q5" s="4">
        <v>519</v>
      </c>
      <c r="R5" s="4">
        <v>479</v>
      </c>
      <c r="S5" s="4">
        <v>322</v>
      </c>
      <c r="T5" s="4">
        <v>297</v>
      </c>
      <c r="U5" s="4">
        <v>479</v>
      </c>
      <c r="V5" s="4">
        <v>472</v>
      </c>
      <c r="W5" s="4">
        <v>411</v>
      </c>
      <c r="X5" s="4">
        <v>421</v>
      </c>
      <c r="Y5" s="4">
        <v>378</v>
      </c>
      <c r="Z5" s="4">
        <v>294</v>
      </c>
      <c r="AA5" s="4">
        <v>226</v>
      </c>
      <c r="AB5" s="4">
        <v>406</v>
      </c>
      <c r="AC5" s="4">
        <v>435</v>
      </c>
      <c r="AD5" s="4">
        <v>423</v>
      </c>
      <c r="AE5" s="4">
        <v>397</v>
      </c>
      <c r="AF5" s="4">
        <v>218</v>
      </c>
      <c r="AG5" s="4">
        <v>224</v>
      </c>
      <c r="AH5" s="4">
        <v>263</v>
      </c>
      <c r="AI5" s="4">
        <v>375</v>
      </c>
      <c r="AJ5" s="4">
        <v>403</v>
      </c>
      <c r="AK5" s="4">
        <v>397</v>
      </c>
      <c r="AL5" s="4">
        <v>412</v>
      </c>
      <c r="AM5" s="4">
        <v>366</v>
      </c>
      <c r="AN5" s="4">
        <v>300</v>
      </c>
      <c r="AO5" s="4">
        <v>266</v>
      </c>
    </row>
    <row r="6" spans="1:41" ht="15.6">
      <c r="A6" s="2" t="s">
        <v>75</v>
      </c>
      <c r="B6" s="4">
        <v>1225</v>
      </c>
      <c r="C6" s="4">
        <v>1232</v>
      </c>
      <c r="D6" s="4">
        <v>1246</v>
      </c>
      <c r="E6" s="4">
        <v>891</v>
      </c>
      <c r="F6" s="4">
        <v>683</v>
      </c>
      <c r="G6" s="4">
        <v>752</v>
      </c>
      <c r="H6" s="4">
        <v>1152</v>
      </c>
      <c r="I6" s="4">
        <v>1136</v>
      </c>
      <c r="J6" s="4">
        <v>1132</v>
      </c>
      <c r="K6" s="4">
        <v>1064</v>
      </c>
      <c r="L6" s="4">
        <v>802</v>
      </c>
      <c r="M6" s="4">
        <v>748</v>
      </c>
      <c r="N6" s="4">
        <v>1122</v>
      </c>
      <c r="O6" s="4">
        <v>1135</v>
      </c>
      <c r="P6" s="4">
        <v>1155</v>
      </c>
      <c r="Q6" s="4">
        <v>1102</v>
      </c>
      <c r="R6" s="4">
        <v>1130</v>
      </c>
      <c r="S6" s="4">
        <v>870</v>
      </c>
      <c r="T6" s="4">
        <v>768</v>
      </c>
      <c r="U6" s="4">
        <v>1275</v>
      </c>
      <c r="V6" s="4">
        <v>1279</v>
      </c>
      <c r="W6" s="4">
        <v>1239</v>
      </c>
      <c r="X6" s="4">
        <v>1099</v>
      </c>
      <c r="Y6" s="4">
        <v>1118</v>
      </c>
      <c r="Z6" s="4">
        <v>817</v>
      </c>
      <c r="AA6" s="4">
        <v>711</v>
      </c>
      <c r="AB6" s="4">
        <v>1159</v>
      </c>
      <c r="AC6" s="4">
        <v>1192</v>
      </c>
      <c r="AD6" s="4">
        <v>1202</v>
      </c>
      <c r="AE6" s="4">
        <v>1040</v>
      </c>
      <c r="AF6" s="4">
        <v>668</v>
      </c>
      <c r="AG6" s="4">
        <v>611</v>
      </c>
      <c r="AH6" s="4">
        <v>640</v>
      </c>
      <c r="AI6" s="4">
        <v>1059</v>
      </c>
      <c r="AJ6" s="4">
        <v>1200</v>
      </c>
      <c r="AK6" s="4">
        <v>1061</v>
      </c>
      <c r="AL6" s="4">
        <v>1128</v>
      </c>
      <c r="AM6" s="4">
        <v>1088</v>
      </c>
      <c r="AN6" s="4">
        <v>953</v>
      </c>
      <c r="AO6" s="4">
        <v>702</v>
      </c>
    </row>
    <row r="7" spans="1:41" ht="15.6">
      <c r="A7" s="5" t="s">
        <v>76</v>
      </c>
      <c r="B7" s="4">
        <v>2773</v>
      </c>
      <c r="C7" s="4">
        <v>3094</v>
      </c>
      <c r="D7" s="4">
        <v>3954</v>
      </c>
      <c r="E7" s="4">
        <v>2510</v>
      </c>
      <c r="F7" s="4">
        <v>1639</v>
      </c>
      <c r="G7" s="4">
        <v>2309</v>
      </c>
      <c r="H7" s="4">
        <v>2005</v>
      </c>
      <c r="I7" s="4">
        <v>2001</v>
      </c>
      <c r="J7" s="4">
        <v>1994</v>
      </c>
      <c r="K7" s="4">
        <v>1958</v>
      </c>
      <c r="L7" s="4">
        <v>1755</v>
      </c>
      <c r="M7" s="4">
        <v>2328</v>
      </c>
      <c r="N7" s="4">
        <v>1818</v>
      </c>
      <c r="O7" s="4">
        <v>1687</v>
      </c>
      <c r="P7" s="4">
        <v>2100</v>
      </c>
      <c r="Q7" s="4">
        <v>2166</v>
      </c>
      <c r="R7" s="4">
        <v>2384</v>
      </c>
      <c r="S7" s="4">
        <v>1681</v>
      </c>
      <c r="T7" s="4">
        <v>1822</v>
      </c>
      <c r="U7" s="4">
        <v>2743</v>
      </c>
      <c r="V7" s="4">
        <v>2599</v>
      </c>
      <c r="W7" s="4">
        <v>2163</v>
      </c>
      <c r="X7" s="4">
        <v>1733</v>
      </c>
      <c r="Y7" s="4">
        <v>2122</v>
      </c>
      <c r="Z7" s="4">
        <v>1731</v>
      </c>
      <c r="AA7" s="4">
        <v>1625</v>
      </c>
      <c r="AB7" s="4">
        <v>2196</v>
      </c>
      <c r="AC7" s="4">
        <v>2214</v>
      </c>
      <c r="AD7" s="4">
        <v>3047</v>
      </c>
      <c r="AE7" s="4">
        <v>2525</v>
      </c>
      <c r="AF7" s="4">
        <v>1873</v>
      </c>
      <c r="AG7" s="4">
        <v>1577</v>
      </c>
      <c r="AH7" s="4">
        <v>2106</v>
      </c>
      <c r="AI7" s="4">
        <v>1895</v>
      </c>
      <c r="AJ7" s="4">
        <v>2119</v>
      </c>
      <c r="AK7" s="4">
        <v>2337</v>
      </c>
      <c r="AL7" s="4">
        <v>2780</v>
      </c>
      <c r="AM7" s="4">
        <v>2805</v>
      </c>
      <c r="AN7" s="4">
        <v>2831</v>
      </c>
      <c r="AO7" s="4">
        <v>2181</v>
      </c>
    </row>
    <row r="8" spans="1:41" ht="15.6">
      <c r="A8" s="5" t="s">
        <v>77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>
        <v>1394</v>
      </c>
      <c r="W8" s="4">
        <v>1480</v>
      </c>
      <c r="X8" s="4">
        <v>1328</v>
      </c>
      <c r="Y8" s="4">
        <v>1340</v>
      </c>
      <c r="Z8" s="4">
        <v>1021</v>
      </c>
      <c r="AA8" s="4">
        <v>1158</v>
      </c>
      <c r="AB8" s="4">
        <v>1538</v>
      </c>
      <c r="AC8" s="4">
        <v>1526</v>
      </c>
      <c r="AD8" s="4">
        <v>1646</v>
      </c>
      <c r="AE8" s="4">
        <v>1524</v>
      </c>
      <c r="AF8" s="4">
        <v>917</v>
      </c>
      <c r="AG8" s="4">
        <v>950</v>
      </c>
      <c r="AH8" s="4">
        <v>909</v>
      </c>
      <c r="AI8" s="4">
        <v>1338</v>
      </c>
      <c r="AJ8" s="4">
        <v>1464</v>
      </c>
      <c r="AK8" s="4">
        <v>1377</v>
      </c>
      <c r="AL8" s="4">
        <v>1687</v>
      </c>
      <c r="AM8" s="4">
        <v>1753</v>
      </c>
      <c r="AN8" s="4">
        <v>1561</v>
      </c>
      <c r="AO8" s="4">
        <v>1193</v>
      </c>
    </row>
    <row r="9" spans="1:41" ht="15.6">
      <c r="A9" s="5" t="s">
        <v>78</v>
      </c>
      <c r="B9" s="4">
        <v>6079</v>
      </c>
      <c r="C9" s="4">
        <v>6822</v>
      </c>
      <c r="D9" s="4">
        <v>7312</v>
      </c>
      <c r="E9" s="4">
        <v>4671</v>
      </c>
      <c r="F9" s="4">
        <v>3551</v>
      </c>
      <c r="G9" s="4">
        <v>3898</v>
      </c>
      <c r="H9" s="4">
        <v>6015</v>
      </c>
      <c r="I9" s="4">
        <v>5957</v>
      </c>
      <c r="J9" s="4">
        <v>5610</v>
      </c>
      <c r="K9" s="4">
        <v>5502</v>
      </c>
      <c r="L9" s="4">
        <v>4160</v>
      </c>
      <c r="M9" s="4">
        <v>3769</v>
      </c>
      <c r="N9" s="4">
        <v>5748</v>
      </c>
      <c r="O9" s="4">
        <v>5149</v>
      </c>
      <c r="P9" s="4">
        <v>5363</v>
      </c>
      <c r="Q9" s="4">
        <v>5267</v>
      </c>
      <c r="R9" s="4">
        <v>5276</v>
      </c>
      <c r="S9" s="4">
        <v>3729</v>
      </c>
      <c r="T9" s="4">
        <v>3494</v>
      </c>
      <c r="U9" s="4">
        <v>6799</v>
      </c>
      <c r="V9" s="4">
        <v>6677</v>
      </c>
      <c r="W9" s="4">
        <v>6342</v>
      </c>
      <c r="X9" s="4">
        <v>5712</v>
      </c>
      <c r="Y9" s="4">
        <v>5644</v>
      </c>
      <c r="Z9" s="4">
        <v>4098</v>
      </c>
      <c r="AA9" s="4">
        <v>3753</v>
      </c>
      <c r="AB9" s="4">
        <v>6607</v>
      </c>
      <c r="AC9" s="4">
        <v>6764</v>
      </c>
      <c r="AD9" s="4">
        <v>6733</v>
      </c>
      <c r="AE9" s="4">
        <v>6070</v>
      </c>
      <c r="AF9" s="4">
        <v>3759</v>
      </c>
      <c r="AG9" s="4">
        <v>3702</v>
      </c>
      <c r="AH9" s="4">
        <v>3835</v>
      </c>
      <c r="AI9" s="4">
        <v>6576</v>
      </c>
      <c r="AJ9" s="4">
        <v>6585</v>
      </c>
      <c r="AK9" s="4">
        <v>6382</v>
      </c>
      <c r="AL9" s="4">
        <v>7157</v>
      </c>
      <c r="AM9" s="4">
        <v>7236</v>
      </c>
      <c r="AN9" s="4">
        <v>5637</v>
      </c>
      <c r="AO9" s="4">
        <v>4393</v>
      </c>
    </row>
    <row r="10" spans="1:41" ht="15.6">
      <c r="A10" s="5" t="s">
        <v>79</v>
      </c>
      <c r="B10" s="4">
        <v>5384</v>
      </c>
      <c r="C10" s="4">
        <v>5958</v>
      </c>
      <c r="D10" s="4">
        <v>6501</v>
      </c>
      <c r="E10" s="4">
        <v>4148</v>
      </c>
      <c r="F10" s="4">
        <v>3201</v>
      </c>
      <c r="G10" s="4">
        <v>3468</v>
      </c>
      <c r="H10" s="4">
        <v>3964</v>
      </c>
      <c r="I10" s="4">
        <v>4399</v>
      </c>
      <c r="J10" s="4">
        <v>4208</v>
      </c>
      <c r="K10" s="4">
        <v>3793</v>
      </c>
      <c r="L10" s="4">
        <v>3241</v>
      </c>
      <c r="M10" s="4">
        <v>3423</v>
      </c>
      <c r="N10" s="4">
        <v>3525</v>
      </c>
      <c r="O10" s="4">
        <v>3623</v>
      </c>
      <c r="P10" s="4">
        <v>3980</v>
      </c>
      <c r="Q10" s="4">
        <v>3790</v>
      </c>
      <c r="R10" s="4">
        <v>3855</v>
      </c>
      <c r="S10" s="4">
        <v>3120</v>
      </c>
      <c r="T10" s="4">
        <v>3034</v>
      </c>
      <c r="U10" s="4">
        <v>4603</v>
      </c>
      <c r="V10" s="4">
        <v>4137</v>
      </c>
      <c r="W10" s="4">
        <v>3463</v>
      </c>
      <c r="X10" s="4">
        <v>3077</v>
      </c>
      <c r="Y10" s="4">
        <v>2788</v>
      </c>
      <c r="Z10" s="4">
        <v>2218</v>
      </c>
      <c r="AA10" s="4">
        <v>2048</v>
      </c>
      <c r="AB10" s="4">
        <v>2957</v>
      </c>
      <c r="AC10" s="4">
        <v>2906</v>
      </c>
      <c r="AD10" s="4">
        <v>3287</v>
      </c>
      <c r="AE10" s="4">
        <v>2934</v>
      </c>
      <c r="AF10" s="4">
        <v>2055</v>
      </c>
      <c r="AG10" s="4">
        <v>1914</v>
      </c>
      <c r="AH10" s="4">
        <v>2125</v>
      </c>
      <c r="AI10" s="4">
        <v>2594</v>
      </c>
      <c r="AJ10" s="4">
        <v>1620</v>
      </c>
      <c r="AK10" s="4">
        <v>1140</v>
      </c>
      <c r="AL10" s="4">
        <v>1831</v>
      </c>
      <c r="AM10" s="4">
        <v>2013</v>
      </c>
      <c r="AN10" s="4">
        <v>2015</v>
      </c>
      <c r="AO10" s="4">
        <v>1584</v>
      </c>
    </row>
    <row r="11" spans="1:41" ht="15.6">
      <c r="A11" s="5" t="s">
        <v>80</v>
      </c>
      <c r="B11" s="4">
        <v>712</v>
      </c>
      <c r="C11" s="4">
        <v>348</v>
      </c>
      <c r="D11" s="4">
        <v>564</v>
      </c>
      <c r="E11" s="4">
        <v>5</v>
      </c>
      <c r="F11" s="4">
        <v>6</v>
      </c>
      <c r="G11" s="4">
        <v>245</v>
      </c>
      <c r="H11" s="4">
        <v>302</v>
      </c>
      <c r="I11" s="4">
        <v>365</v>
      </c>
      <c r="J11" s="4">
        <v>330</v>
      </c>
      <c r="K11" s="4">
        <v>385</v>
      </c>
      <c r="L11" s="4">
        <v>3</v>
      </c>
      <c r="M11" s="4">
        <v>4</v>
      </c>
      <c r="N11" s="4">
        <v>358</v>
      </c>
      <c r="O11" s="4">
        <v>307</v>
      </c>
      <c r="P11" s="4">
        <v>341</v>
      </c>
      <c r="Q11" s="4">
        <v>345</v>
      </c>
      <c r="R11" s="4">
        <v>343</v>
      </c>
      <c r="S11" s="4">
        <v>1</v>
      </c>
      <c r="T11" s="4">
        <v>3</v>
      </c>
      <c r="U11" s="4">
        <v>290</v>
      </c>
      <c r="V11" s="4">
        <v>243</v>
      </c>
      <c r="W11" s="4">
        <v>161</v>
      </c>
      <c r="X11" s="4">
        <v>135</v>
      </c>
      <c r="Y11" s="4">
        <v>102</v>
      </c>
      <c r="Z11" s="4">
        <v>0</v>
      </c>
      <c r="AA11" s="4">
        <v>0</v>
      </c>
      <c r="AB11" s="4">
        <v>135</v>
      </c>
      <c r="AC11" s="4">
        <v>137</v>
      </c>
      <c r="AD11" s="4">
        <v>145</v>
      </c>
      <c r="AE11" s="4">
        <v>140</v>
      </c>
      <c r="AF11" s="4">
        <v>79</v>
      </c>
      <c r="AG11" s="4">
        <v>2</v>
      </c>
      <c r="AH11" s="4">
        <v>0</v>
      </c>
      <c r="AI11" s="4">
        <v>162</v>
      </c>
      <c r="AJ11" s="4">
        <v>115</v>
      </c>
      <c r="AK11" s="4">
        <v>82</v>
      </c>
      <c r="AL11" s="4">
        <v>88</v>
      </c>
      <c r="AM11" s="4">
        <v>321</v>
      </c>
      <c r="AN11" s="4">
        <v>0</v>
      </c>
      <c r="AO11" s="4">
        <v>0</v>
      </c>
    </row>
    <row r="12" spans="1:41" ht="15.6">
      <c r="A12" s="5" t="s">
        <v>81</v>
      </c>
      <c r="B12" s="4">
        <v>4718</v>
      </c>
      <c r="C12" s="4">
        <v>4794</v>
      </c>
      <c r="D12" s="4">
        <v>4649</v>
      </c>
      <c r="E12" s="4">
        <v>2562</v>
      </c>
      <c r="F12" s="4">
        <v>1962</v>
      </c>
      <c r="G12" s="4">
        <v>2243</v>
      </c>
      <c r="H12" s="4">
        <v>3123</v>
      </c>
      <c r="I12" s="4">
        <v>3161</v>
      </c>
      <c r="J12" s="4">
        <v>3048</v>
      </c>
      <c r="K12" s="4">
        <v>2859</v>
      </c>
      <c r="L12" s="4">
        <v>2341</v>
      </c>
      <c r="M12" s="4">
        <v>2199</v>
      </c>
      <c r="N12" s="4">
        <v>2850</v>
      </c>
      <c r="O12" s="4">
        <v>2800</v>
      </c>
      <c r="P12" s="4">
        <v>2720</v>
      </c>
      <c r="Q12" s="4">
        <v>2859</v>
      </c>
      <c r="R12" s="4">
        <v>2745</v>
      </c>
      <c r="S12" s="4">
        <v>2228</v>
      </c>
      <c r="T12" s="4">
        <v>1951</v>
      </c>
      <c r="U12" s="4">
        <v>3247</v>
      </c>
      <c r="V12" s="4">
        <v>3211</v>
      </c>
      <c r="W12" s="4">
        <v>3146</v>
      </c>
      <c r="X12" s="4">
        <v>3035</v>
      </c>
      <c r="Y12" s="4">
        <v>3023</v>
      </c>
      <c r="Z12" s="4">
        <v>2464</v>
      </c>
      <c r="AA12" s="4">
        <v>2285</v>
      </c>
      <c r="AB12" s="4">
        <v>3454</v>
      </c>
      <c r="AC12" s="4">
        <v>3695</v>
      </c>
      <c r="AD12" s="4">
        <v>3414</v>
      </c>
      <c r="AE12" s="4">
        <v>3315</v>
      </c>
      <c r="AF12" s="4">
        <v>2171</v>
      </c>
      <c r="AG12" s="4">
        <v>2122</v>
      </c>
      <c r="AH12" s="4">
        <v>2174</v>
      </c>
      <c r="AI12" s="4">
        <v>3348</v>
      </c>
      <c r="AJ12" s="4">
        <v>3891</v>
      </c>
      <c r="AK12" s="4">
        <v>3429</v>
      </c>
      <c r="AL12" s="4">
        <v>3670</v>
      </c>
      <c r="AM12" s="4">
        <v>3731</v>
      </c>
      <c r="AN12" s="4">
        <v>3106</v>
      </c>
      <c r="AO12" s="4">
        <v>2673</v>
      </c>
    </row>
    <row r="13" spans="1:41">
      <c r="A13" s="6" t="s">
        <v>88</v>
      </c>
      <c r="B13" s="7">
        <f>WEEKDAY(表1[[#Headers],[2015-04-01]],2)</f>
        <v>3</v>
      </c>
      <c r="C13" s="7">
        <f>WEEKDAY(表1[[#Headers],[2015-04-02]],2)</f>
        <v>4</v>
      </c>
      <c r="D13" s="7">
        <f>WEEKDAY(表1[[#Headers],[2015-04-03]],2)</f>
        <v>5</v>
      </c>
      <c r="E13" s="7">
        <f>WEEKDAY(表1[[#Headers],[2015-04-04]],2)</f>
        <v>6</v>
      </c>
      <c r="F13" s="7">
        <f>WEEKDAY(表1[[#Headers],[2015-04-05]],2)</f>
        <v>7</v>
      </c>
      <c r="G13" s="7">
        <f>WEEKDAY(表1[[#Headers],[2015-04-06]],2)</f>
        <v>1</v>
      </c>
      <c r="H13" s="7">
        <f>WEEKDAY(表1[[#Headers],[2015-04-07]],2)</f>
        <v>2</v>
      </c>
      <c r="I13" s="7">
        <f>WEEKDAY(表1[[#Headers],[2015-04-08]],2)</f>
        <v>3</v>
      </c>
      <c r="J13" s="7">
        <f>WEEKDAY(表1[[#Headers],[2015-04-09]],2)</f>
        <v>4</v>
      </c>
      <c r="K13" s="7">
        <f>WEEKDAY(表1[[#Headers],[2015-04-10]],2)</f>
        <v>5</v>
      </c>
      <c r="L13" s="7">
        <f>WEEKDAY(表1[[#Headers],[2015-04-11]],2)</f>
        <v>6</v>
      </c>
      <c r="M13" s="7">
        <f>WEEKDAY(表1[[#Headers],[2015-04-12]],2)</f>
        <v>7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spans="1:41">
      <c r="A14" s="3" t="s">
        <v>13168</v>
      </c>
      <c r="B14" s="3">
        <f t="shared" ref="B14:D14" si="0">IF(OR(B13=6,B13=7),1,0)</f>
        <v>0</v>
      </c>
      <c r="C14" s="3">
        <f t="shared" si="0"/>
        <v>0</v>
      </c>
      <c r="D14" s="3">
        <f t="shared" si="0"/>
        <v>0</v>
      </c>
      <c r="E14" s="3">
        <f>IF(OR(E13=6,E13=7),1,0)</f>
        <v>1</v>
      </c>
      <c r="F14" s="3">
        <f>IF(OR(F13=6,F13=7),1,0)</f>
        <v>1</v>
      </c>
      <c r="G14" s="3">
        <f>IF(OR(G13=6,G13=7),1,0)</f>
        <v>0</v>
      </c>
      <c r="H14" s="3">
        <f>IF(OR(H13=6,H13=7),1,0)</f>
        <v>0</v>
      </c>
      <c r="I14" s="3">
        <f t="shared" ref="I14:M14" si="1">IF(OR(I13=6,I13=7),1,0)</f>
        <v>0</v>
      </c>
      <c r="J14" s="3">
        <f t="shared" si="1"/>
        <v>0</v>
      </c>
      <c r="K14" s="3">
        <f t="shared" si="1"/>
        <v>0</v>
      </c>
      <c r="L14" s="3">
        <f t="shared" si="1"/>
        <v>1</v>
      </c>
      <c r="M14" s="3">
        <f t="shared" si="1"/>
        <v>1</v>
      </c>
    </row>
    <row r="15" spans="1:41">
      <c r="A15" s="3" t="s">
        <v>13169</v>
      </c>
      <c r="B15" s="9">
        <f>表1[[#Headers],[2015-04-03]]-表1[[#Headers],[2015-04-01]]</f>
        <v>2</v>
      </c>
    </row>
    <row r="16" spans="1:41">
      <c r="B16" s="3" t="s">
        <v>82</v>
      </c>
      <c r="C16" s="9">
        <f>AVERAGE(2:2)</f>
        <v>18273.349999999999</v>
      </c>
    </row>
    <row r="17" spans="2:3">
      <c r="B17" s="3" t="s">
        <v>83</v>
      </c>
      <c r="C17" s="9">
        <f>MEDIAN(2:2)</f>
        <v>18633</v>
      </c>
    </row>
    <row r="18" spans="2:3">
      <c r="B18" s="3" t="s">
        <v>84</v>
      </c>
      <c r="C18" s="3" t="e">
        <f>MODE(2:2)</f>
        <v>#N/A</v>
      </c>
    </row>
    <row r="19" spans="2:3">
      <c r="B19" s="3" t="s">
        <v>85</v>
      </c>
      <c r="C19" s="3">
        <f>_xlfn.VAR.S(2:2)</f>
        <v>14879758.13076924</v>
      </c>
    </row>
    <row r="20" spans="2:3">
      <c r="B20" s="3" t="s">
        <v>86</v>
      </c>
      <c r="C20" s="3">
        <f>_xlfn.STDEV.S(2:2)</f>
        <v>3857.4289534311893</v>
      </c>
    </row>
    <row r="21" spans="2:3">
      <c r="B21" s="3" t="s">
        <v>87</v>
      </c>
      <c r="C21" s="3">
        <f>CORREL(2:2,5:5)</f>
        <v>0.7780846432405194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0D62-CA0A-4E5D-B9BD-C2B7E7F70889}">
  <sheetPr codeName="Sheet5"/>
  <dimension ref="A1:G6401"/>
  <sheetViews>
    <sheetView workbookViewId="0">
      <selection activeCell="G3" sqref="G3"/>
    </sheetView>
  </sheetViews>
  <sheetFormatPr defaultRowHeight="13.8"/>
  <cols>
    <col min="1" max="1" width="13.33203125" customWidth="1"/>
    <col min="2" max="2" width="23.109375" customWidth="1"/>
    <col min="3" max="3" width="17.21875" customWidth="1"/>
    <col min="4" max="4" width="17" customWidth="1"/>
    <col min="5" max="5" width="20.109375" customWidth="1"/>
  </cols>
  <sheetData>
    <row r="1" spans="1:7">
      <c r="A1" s="10" t="s">
        <v>89</v>
      </c>
      <c r="B1" s="10" t="s">
        <v>90</v>
      </c>
      <c r="C1" s="10" t="s">
        <v>91</v>
      </c>
      <c r="D1" s="10" t="s">
        <v>92</v>
      </c>
      <c r="E1" s="10" t="s">
        <v>93</v>
      </c>
    </row>
    <row r="2" spans="1:7">
      <c r="A2" s="11">
        <v>42387</v>
      </c>
      <c r="B2" s="10" t="s">
        <v>94</v>
      </c>
      <c r="C2" s="10" t="s">
        <v>95</v>
      </c>
      <c r="D2" s="11">
        <v>42440.710034722222</v>
      </c>
      <c r="E2" s="10" t="s">
        <v>96</v>
      </c>
      <c r="F2" t="str">
        <f>LEFT(C2,3)</f>
        <v>jcz</v>
      </c>
      <c r="G2" t="str">
        <f>MID(C2,5,4)</f>
        <v>6011</v>
      </c>
    </row>
    <row r="3" spans="1:7">
      <c r="A3" s="11">
        <v>42404</v>
      </c>
      <c r="B3" s="10" t="s">
        <v>97</v>
      </c>
      <c r="C3" s="10" t="s">
        <v>98</v>
      </c>
      <c r="D3" s="11">
        <v>42442.727743055555</v>
      </c>
      <c r="E3" s="10" t="s">
        <v>99</v>
      </c>
    </row>
    <row r="4" spans="1:7" ht="21.6">
      <c r="A4" s="11">
        <v>42429</v>
      </c>
      <c r="B4" s="10" t="s">
        <v>100</v>
      </c>
      <c r="C4" s="10" t="s">
        <v>101</v>
      </c>
      <c r="D4" s="11">
        <v>42438.375381944446</v>
      </c>
      <c r="E4" s="10" t="s">
        <v>102</v>
      </c>
    </row>
    <row r="5" spans="1:7">
      <c r="A5" s="11">
        <v>42437</v>
      </c>
      <c r="B5" s="10" t="s">
        <v>103</v>
      </c>
      <c r="C5" s="10" t="s">
        <v>104</v>
      </c>
      <c r="D5" s="11">
        <v>42437.908425925925</v>
      </c>
      <c r="E5" s="10" t="s">
        <v>105</v>
      </c>
    </row>
    <row r="6" spans="1:7">
      <c r="A6" s="11">
        <v>42438</v>
      </c>
      <c r="B6" s="10" t="s">
        <v>106</v>
      </c>
      <c r="C6" s="10" t="s">
        <v>107</v>
      </c>
      <c r="D6" s="11">
        <v>42442.558518518519</v>
      </c>
      <c r="E6" s="10" t="s">
        <v>108</v>
      </c>
    </row>
    <row r="7" spans="1:7">
      <c r="A7" s="11">
        <v>42439</v>
      </c>
      <c r="B7" s="10" t="s">
        <v>109</v>
      </c>
      <c r="C7" s="10" t="s">
        <v>110</v>
      </c>
      <c r="D7" s="11">
        <v>42439.843356481484</v>
      </c>
      <c r="E7" s="10" t="s">
        <v>111</v>
      </c>
    </row>
    <row r="8" spans="1:7" ht="21.6">
      <c r="A8" s="11">
        <v>42442</v>
      </c>
      <c r="B8" s="10" t="s">
        <v>112</v>
      </c>
      <c r="C8" s="10" t="s">
        <v>113</v>
      </c>
      <c r="D8" s="11">
        <v>42442.391817129632</v>
      </c>
      <c r="E8" s="10" t="s">
        <v>114</v>
      </c>
    </row>
    <row r="9" spans="1:7">
      <c r="A9" s="11">
        <v>42442</v>
      </c>
      <c r="B9" s="10" t="s">
        <v>115</v>
      </c>
      <c r="C9" s="10" t="s">
        <v>116</v>
      </c>
      <c r="D9" s="11">
        <v>42443.483622685184</v>
      </c>
      <c r="E9" s="10" t="s">
        <v>117</v>
      </c>
    </row>
    <row r="10" spans="1:7">
      <c r="A10" s="11">
        <v>42442</v>
      </c>
      <c r="B10" s="10" t="s">
        <v>118</v>
      </c>
      <c r="C10" s="10" t="s">
        <v>119</v>
      </c>
      <c r="D10" s="11">
        <v>42442.956273148149</v>
      </c>
      <c r="E10" s="10" t="s">
        <v>96</v>
      </c>
    </row>
    <row r="11" spans="1:7">
      <c r="A11" s="11">
        <v>42604</v>
      </c>
      <c r="B11" s="10" t="s">
        <v>120</v>
      </c>
      <c r="C11" s="10" t="s">
        <v>121</v>
      </c>
      <c r="D11" s="11">
        <v>42782.67564814815</v>
      </c>
      <c r="E11" s="10" t="s">
        <v>122</v>
      </c>
    </row>
    <row r="12" spans="1:7">
      <c r="A12" s="11">
        <v>42773</v>
      </c>
      <c r="B12" s="10" t="s">
        <v>123</v>
      </c>
      <c r="C12" s="10" t="s">
        <v>124</v>
      </c>
      <c r="D12" s="11">
        <v>42781.657210648147</v>
      </c>
      <c r="E12" s="10" t="s">
        <v>125</v>
      </c>
    </row>
    <row r="13" spans="1:7">
      <c r="A13" s="11">
        <v>42775</v>
      </c>
      <c r="B13" s="10" t="s">
        <v>126</v>
      </c>
      <c r="C13" s="10" t="s">
        <v>127</v>
      </c>
      <c r="D13" s="11">
        <v>42781.703506944446</v>
      </c>
      <c r="E13" s="10" t="s">
        <v>125</v>
      </c>
    </row>
    <row r="14" spans="1:7">
      <c r="A14" s="11">
        <v>42152</v>
      </c>
      <c r="B14" s="10" t="s">
        <v>128</v>
      </c>
      <c r="C14" s="10" t="s">
        <v>129</v>
      </c>
      <c r="D14" s="11">
        <v>42777.546736111108</v>
      </c>
      <c r="E14" s="10" t="s">
        <v>130</v>
      </c>
    </row>
    <row r="15" spans="1:7" ht="21.6">
      <c r="A15" s="11">
        <v>42160</v>
      </c>
      <c r="B15" s="10" t="s">
        <v>131</v>
      </c>
      <c r="C15" s="10" t="s">
        <v>132</v>
      </c>
      <c r="D15" s="11">
        <v>42782.617974537039</v>
      </c>
      <c r="E15" s="10" t="s">
        <v>133</v>
      </c>
    </row>
    <row r="16" spans="1:7" ht="21.6">
      <c r="A16" s="11">
        <v>42160</v>
      </c>
      <c r="B16" s="10" t="s">
        <v>134</v>
      </c>
      <c r="C16" s="10" t="s">
        <v>135</v>
      </c>
      <c r="D16" s="11">
        <v>42782.61791666667</v>
      </c>
      <c r="E16" s="10" t="s">
        <v>133</v>
      </c>
    </row>
    <row r="17" spans="1:5">
      <c r="A17" s="11">
        <v>42184</v>
      </c>
      <c r="B17" s="10" t="s">
        <v>136</v>
      </c>
      <c r="C17" s="10" t="s">
        <v>137</v>
      </c>
      <c r="D17" s="11">
        <v>42782.552939814814</v>
      </c>
      <c r="E17" s="10" t="s">
        <v>138</v>
      </c>
    </row>
    <row r="18" spans="1:5">
      <c r="A18" s="11">
        <v>42199</v>
      </c>
      <c r="B18" s="10" t="s">
        <v>139</v>
      </c>
      <c r="C18" s="10" t="s">
        <v>140</v>
      </c>
      <c r="D18" s="11">
        <v>42442.710011574076</v>
      </c>
      <c r="E18" s="10" t="s">
        <v>108</v>
      </c>
    </row>
    <row r="19" spans="1:5">
      <c r="A19" s="11">
        <v>42250</v>
      </c>
      <c r="B19" s="10" t="s">
        <v>141</v>
      </c>
      <c r="C19" s="10" t="s">
        <v>142</v>
      </c>
      <c r="D19" s="11">
        <v>42442.34070601852</v>
      </c>
      <c r="E19" s="10" t="s">
        <v>143</v>
      </c>
    </row>
    <row r="20" spans="1:5" ht="21.6">
      <c r="A20" s="11">
        <v>42271</v>
      </c>
      <c r="B20" s="10" t="s">
        <v>144</v>
      </c>
      <c r="C20" s="10" t="s">
        <v>145</v>
      </c>
      <c r="D20" s="11">
        <v>42419.472372685188</v>
      </c>
      <c r="E20" s="10" t="s">
        <v>146</v>
      </c>
    </row>
    <row r="21" spans="1:5" ht="21.6">
      <c r="A21" s="11">
        <v>42272</v>
      </c>
      <c r="B21" s="10" t="s">
        <v>147</v>
      </c>
      <c r="C21" s="10" t="s">
        <v>148</v>
      </c>
      <c r="D21" s="11">
        <v>42780.690682870372</v>
      </c>
      <c r="E21" s="10" t="s">
        <v>149</v>
      </c>
    </row>
    <row r="22" spans="1:5">
      <c r="A22" s="11">
        <v>42294</v>
      </c>
      <c r="B22" s="10" t="s">
        <v>150</v>
      </c>
      <c r="C22" s="10" t="s">
        <v>151</v>
      </c>
      <c r="D22" s="11">
        <v>42442.752199074072</v>
      </c>
      <c r="E22" s="10" t="s">
        <v>152</v>
      </c>
    </row>
    <row r="23" spans="1:5">
      <c r="A23" s="11">
        <v>42304</v>
      </c>
      <c r="B23" s="10" t="s">
        <v>153</v>
      </c>
      <c r="C23" s="10" t="s">
        <v>154</v>
      </c>
      <c r="D23" s="11">
        <v>42443.327847222223</v>
      </c>
      <c r="E23" s="10" t="s">
        <v>155</v>
      </c>
    </row>
    <row r="24" spans="1:5">
      <c r="A24" s="11">
        <v>42305</v>
      </c>
      <c r="B24" s="10" t="s">
        <v>156</v>
      </c>
      <c r="C24" s="10" t="s">
        <v>157</v>
      </c>
      <c r="D24" s="11">
        <v>42439.438263888886</v>
      </c>
      <c r="E24" s="10" t="s">
        <v>155</v>
      </c>
    </row>
    <row r="25" spans="1:5" ht="21.6">
      <c r="A25" s="11">
        <v>42306</v>
      </c>
      <c r="B25" s="10" t="s">
        <v>158</v>
      </c>
      <c r="C25" s="10" t="s">
        <v>159</v>
      </c>
      <c r="D25" s="11">
        <v>42441.698564814818</v>
      </c>
      <c r="E25" s="10" t="s">
        <v>160</v>
      </c>
    </row>
    <row r="26" spans="1:5" ht="21.6">
      <c r="A26" s="11">
        <v>42306</v>
      </c>
      <c r="B26" s="10" t="s">
        <v>161</v>
      </c>
      <c r="C26" s="10" t="s">
        <v>162</v>
      </c>
      <c r="D26" s="11">
        <v>42441.698935185188</v>
      </c>
      <c r="E26" s="10" t="s">
        <v>160</v>
      </c>
    </row>
    <row r="27" spans="1:5" ht="21.6">
      <c r="A27" s="11">
        <v>42306</v>
      </c>
      <c r="B27" s="10" t="s">
        <v>163</v>
      </c>
      <c r="C27" s="10" t="s">
        <v>164</v>
      </c>
      <c r="D27" s="11">
        <v>42441.697523148148</v>
      </c>
      <c r="E27" s="10" t="s">
        <v>165</v>
      </c>
    </row>
    <row r="28" spans="1:5">
      <c r="A28" s="11">
        <v>42316</v>
      </c>
      <c r="B28" s="10" t="s">
        <v>166</v>
      </c>
      <c r="C28" s="10" t="s">
        <v>167</v>
      </c>
      <c r="D28" s="11">
        <v>42781.71570601852</v>
      </c>
      <c r="E28" s="10" t="s">
        <v>168</v>
      </c>
    </row>
    <row r="29" spans="1:5" ht="21.6">
      <c r="A29" s="11">
        <v>42327</v>
      </c>
      <c r="B29" s="10" t="s">
        <v>169</v>
      </c>
      <c r="C29" s="10" t="s">
        <v>170</v>
      </c>
      <c r="D29" s="11">
        <v>42442.429606481484</v>
      </c>
      <c r="E29" s="10" t="s">
        <v>171</v>
      </c>
    </row>
    <row r="30" spans="1:5" ht="21.6">
      <c r="A30" s="11">
        <v>42344</v>
      </c>
      <c r="B30" s="10" t="s">
        <v>172</v>
      </c>
      <c r="C30" s="10" t="s">
        <v>173</v>
      </c>
      <c r="D30" s="11">
        <v>42443.461354166669</v>
      </c>
      <c r="E30" s="10" t="s">
        <v>146</v>
      </c>
    </row>
    <row r="31" spans="1:5" ht="21.6">
      <c r="A31" s="11">
        <v>42344</v>
      </c>
      <c r="B31" s="10" t="s">
        <v>174</v>
      </c>
      <c r="C31" s="10" t="s">
        <v>175</v>
      </c>
      <c r="D31" s="11">
        <v>42443.464571759258</v>
      </c>
      <c r="E31" s="10" t="s">
        <v>171</v>
      </c>
    </row>
    <row r="32" spans="1:5">
      <c r="A32" s="11">
        <v>42347</v>
      </c>
      <c r="B32" s="10" t="s">
        <v>176</v>
      </c>
      <c r="C32" s="10" t="s">
        <v>177</v>
      </c>
      <c r="D32" s="11">
        <v>42442.680474537039</v>
      </c>
      <c r="E32" s="10" t="s">
        <v>178</v>
      </c>
    </row>
    <row r="33" spans="1:5" ht="21.6">
      <c r="A33" s="11">
        <v>42351</v>
      </c>
      <c r="B33" s="10" t="s">
        <v>179</v>
      </c>
      <c r="C33" s="10" t="s">
        <v>180</v>
      </c>
      <c r="D33" s="11">
        <v>42440.662488425929</v>
      </c>
      <c r="E33" s="10" t="s">
        <v>146</v>
      </c>
    </row>
    <row r="34" spans="1:5" ht="21.6">
      <c r="A34" s="11">
        <v>42352</v>
      </c>
      <c r="B34" s="10" t="s">
        <v>181</v>
      </c>
      <c r="C34" s="10" t="s">
        <v>182</v>
      </c>
      <c r="D34" s="11">
        <v>42440.791377314818</v>
      </c>
      <c r="E34" s="10" t="s">
        <v>102</v>
      </c>
    </row>
    <row r="35" spans="1:5">
      <c r="A35" s="11">
        <v>42354</v>
      </c>
      <c r="B35" s="10" t="s">
        <v>183</v>
      </c>
      <c r="C35" s="10" t="s">
        <v>184</v>
      </c>
      <c r="D35" s="11">
        <v>42438.747442129628</v>
      </c>
      <c r="E35" s="10" t="s">
        <v>185</v>
      </c>
    </row>
    <row r="36" spans="1:5" ht="21.6">
      <c r="A36" s="11">
        <v>42354</v>
      </c>
      <c r="B36" s="10" t="s">
        <v>186</v>
      </c>
      <c r="C36" s="10" t="s">
        <v>187</v>
      </c>
      <c r="D36" s="11">
        <v>42436.632407407407</v>
      </c>
      <c r="E36" s="10" t="s">
        <v>102</v>
      </c>
    </row>
    <row r="37" spans="1:5">
      <c r="A37" s="11">
        <v>42355</v>
      </c>
      <c r="B37" s="10" t="s">
        <v>188</v>
      </c>
      <c r="C37" s="10" t="s">
        <v>189</v>
      </c>
      <c r="D37" s="11">
        <v>42443.459386574075</v>
      </c>
      <c r="E37" s="10" t="s">
        <v>190</v>
      </c>
    </row>
    <row r="38" spans="1:5">
      <c r="A38" s="11">
        <v>42356</v>
      </c>
      <c r="B38" s="10" t="s">
        <v>191</v>
      </c>
      <c r="C38" s="10" t="s">
        <v>192</v>
      </c>
      <c r="D38" s="11">
        <v>42443.413310185184</v>
      </c>
      <c r="E38" s="10" t="s">
        <v>193</v>
      </c>
    </row>
    <row r="39" spans="1:5">
      <c r="A39" s="11">
        <v>42363</v>
      </c>
      <c r="B39" s="10" t="s">
        <v>194</v>
      </c>
      <c r="C39" s="10" t="s">
        <v>195</v>
      </c>
      <c r="D39" s="11">
        <v>42441.46</v>
      </c>
      <c r="E39" s="10" t="s">
        <v>190</v>
      </c>
    </row>
    <row r="40" spans="1:5">
      <c r="A40" s="11">
        <v>42365</v>
      </c>
      <c r="B40" s="10" t="s">
        <v>196</v>
      </c>
      <c r="C40" s="10" t="s">
        <v>197</v>
      </c>
      <c r="D40" s="11">
        <v>42443.473483796297</v>
      </c>
      <c r="E40" s="10" t="s">
        <v>198</v>
      </c>
    </row>
    <row r="41" spans="1:5">
      <c r="A41" s="11">
        <v>42366</v>
      </c>
      <c r="B41" s="10" t="s">
        <v>199</v>
      </c>
      <c r="C41" s="10" t="s">
        <v>200</v>
      </c>
      <c r="D41" s="11">
        <v>42442.561990740738</v>
      </c>
      <c r="E41" s="10" t="s">
        <v>99</v>
      </c>
    </row>
    <row r="42" spans="1:5">
      <c r="A42" s="11">
        <v>42368</v>
      </c>
      <c r="B42" s="10" t="s">
        <v>201</v>
      </c>
      <c r="C42" s="10" t="s">
        <v>202</v>
      </c>
      <c r="D42" s="11">
        <v>42442.609409722223</v>
      </c>
      <c r="E42" s="10" t="s">
        <v>203</v>
      </c>
    </row>
    <row r="43" spans="1:5">
      <c r="A43" s="11">
        <v>42369</v>
      </c>
      <c r="B43" s="10" t="s">
        <v>204</v>
      </c>
      <c r="C43" s="10" t="s">
        <v>205</v>
      </c>
      <c r="D43" s="11">
        <v>42442.723483796297</v>
      </c>
      <c r="E43" s="10" t="s">
        <v>206</v>
      </c>
    </row>
    <row r="44" spans="1:5">
      <c r="A44" s="11">
        <v>42369</v>
      </c>
      <c r="B44" s="10" t="s">
        <v>207</v>
      </c>
      <c r="C44" s="10" t="s">
        <v>208</v>
      </c>
      <c r="D44" s="11">
        <v>42441.830370370371</v>
      </c>
      <c r="E44" s="10" t="s">
        <v>209</v>
      </c>
    </row>
    <row r="45" spans="1:5">
      <c r="A45" s="11">
        <v>42369</v>
      </c>
      <c r="B45" s="10" t="s">
        <v>210</v>
      </c>
      <c r="C45" s="10" t="s">
        <v>211</v>
      </c>
      <c r="D45" s="11">
        <v>42443.458553240744</v>
      </c>
      <c r="E45" s="10" t="s">
        <v>212</v>
      </c>
    </row>
    <row r="46" spans="1:5">
      <c r="A46" s="11">
        <v>42370</v>
      </c>
      <c r="B46" s="10" t="s">
        <v>213</v>
      </c>
      <c r="C46" s="10" t="s">
        <v>214</v>
      </c>
      <c r="D46" s="11">
        <v>42441.767025462963</v>
      </c>
      <c r="E46" s="10" t="s">
        <v>215</v>
      </c>
    </row>
    <row r="47" spans="1:5">
      <c r="A47" s="11">
        <v>42370</v>
      </c>
      <c r="B47" s="10" t="s">
        <v>216</v>
      </c>
      <c r="C47" s="10" t="s">
        <v>217</v>
      </c>
      <c r="D47" s="11">
        <v>42441.872719907406</v>
      </c>
      <c r="E47" s="10" t="s">
        <v>218</v>
      </c>
    </row>
    <row r="48" spans="1:5">
      <c r="A48" s="11">
        <v>42371</v>
      </c>
      <c r="B48" s="10" t="s">
        <v>219</v>
      </c>
      <c r="C48" s="10" t="s">
        <v>220</v>
      </c>
      <c r="D48" s="11">
        <v>42439.692731481482</v>
      </c>
      <c r="E48" s="10" t="s">
        <v>221</v>
      </c>
    </row>
    <row r="49" spans="1:5" ht="21.6">
      <c r="A49" s="11">
        <v>42372</v>
      </c>
      <c r="B49" s="10" t="s">
        <v>222</v>
      </c>
      <c r="C49" s="10" t="s">
        <v>223</v>
      </c>
      <c r="D49" s="11">
        <v>42782.45380787037</v>
      </c>
      <c r="E49" s="10" t="s">
        <v>165</v>
      </c>
    </row>
    <row r="50" spans="1:5" ht="21.6">
      <c r="A50" s="11">
        <v>42372</v>
      </c>
      <c r="B50" s="10" t="s">
        <v>224</v>
      </c>
      <c r="C50" s="10" t="s">
        <v>225</v>
      </c>
      <c r="D50" s="11">
        <v>42442.886967592596</v>
      </c>
      <c r="E50" s="10" t="s">
        <v>226</v>
      </c>
    </row>
    <row r="51" spans="1:5">
      <c r="A51" s="11">
        <v>42374</v>
      </c>
      <c r="B51" s="10" t="s">
        <v>227</v>
      </c>
      <c r="C51" s="10" t="s">
        <v>228</v>
      </c>
      <c r="D51" s="11">
        <v>42442.779351851852</v>
      </c>
      <c r="E51" s="10" t="s">
        <v>229</v>
      </c>
    </row>
    <row r="52" spans="1:5">
      <c r="A52" s="11">
        <v>42375</v>
      </c>
      <c r="B52" s="10" t="s">
        <v>230</v>
      </c>
      <c r="C52" s="10" t="s">
        <v>231</v>
      </c>
      <c r="D52" s="11">
        <v>42441.584537037037</v>
      </c>
      <c r="E52" s="10" t="s">
        <v>232</v>
      </c>
    </row>
    <row r="53" spans="1:5">
      <c r="A53" s="11">
        <v>42375</v>
      </c>
      <c r="B53" s="10" t="s">
        <v>233</v>
      </c>
      <c r="C53" s="10" t="s">
        <v>234</v>
      </c>
      <c r="D53" s="11">
        <v>42441.534548611111</v>
      </c>
      <c r="E53" s="10" t="s">
        <v>185</v>
      </c>
    </row>
    <row r="54" spans="1:5">
      <c r="A54" s="11">
        <v>42376</v>
      </c>
      <c r="B54" s="10" t="s">
        <v>235</v>
      </c>
      <c r="C54" s="10" t="s">
        <v>236</v>
      </c>
      <c r="D54" s="11">
        <v>42442.829710648148</v>
      </c>
      <c r="E54" s="10" t="s">
        <v>237</v>
      </c>
    </row>
    <row r="55" spans="1:5">
      <c r="A55" s="11">
        <v>42377</v>
      </c>
      <c r="B55" s="10" t="s">
        <v>238</v>
      </c>
      <c r="C55" s="10" t="s">
        <v>239</v>
      </c>
      <c r="D55" s="11">
        <v>42443.410879629628</v>
      </c>
      <c r="E55" s="10" t="s">
        <v>240</v>
      </c>
    </row>
    <row r="56" spans="1:5" ht="21.6">
      <c r="A56" s="11">
        <v>42377</v>
      </c>
      <c r="B56" s="10" t="s">
        <v>241</v>
      </c>
      <c r="C56" s="10" t="s">
        <v>242</v>
      </c>
      <c r="D56" s="11">
        <v>42443.493171296293</v>
      </c>
      <c r="E56" s="10" t="s">
        <v>243</v>
      </c>
    </row>
    <row r="57" spans="1:5">
      <c r="A57" s="11">
        <v>42378</v>
      </c>
      <c r="B57" s="10" t="s">
        <v>244</v>
      </c>
      <c r="C57" s="10" t="s">
        <v>245</v>
      </c>
      <c r="D57" s="11">
        <v>42443.444293981483</v>
      </c>
      <c r="E57" s="10" t="s">
        <v>209</v>
      </c>
    </row>
    <row r="58" spans="1:5">
      <c r="A58" s="11">
        <v>42379</v>
      </c>
      <c r="B58" s="10" t="s">
        <v>246</v>
      </c>
      <c r="C58" s="10" t="s">
        <v>247</v>
      </c>
      <c r="D58" s="11">
        <v>42443.437881944446</v>
      </c>
      <c r="E58" s="10" t="s">
        <v>178</v>
      </c>
    </row>
    <row r="59" spans="1:5">
      <c r="A59" s="11">
        <v>42380</v>
      </c>
      <c r="B59" s="10" t="s">
        <v>248</v>
      </c>
      <c r="C59" s="10" t="s">
        <v>249</v>
      </c>
      <c r="D59" s="11">
        <v>42440.441932870373</v>
      </c>
      <c r="E59" s="10" t="s">
        <v>218</v>
      </c>
    </row>
    <row r="60" spans="1:5" ht="21.6">
      <c r="A60" s="11">
        <v>42382</v>
      </c>
      <c r="B60" s="10" t="s">
        <v>250</v>
      </c>
      <c r="C60" s="10" t="s">
        <v>251</v>
      </c>
      <c r="D60" s="11">
        <v>42443.447291666664</v>
      </c>
      <c r="E60" s="10" t="s">
        <v>252</v>
      </c>
    </row>
    <row r="61" spans="1:5">
      <c r="A61" s="11">
        <v>42382</v>
      </c>
      <c r="B61" s="10" t="s">
        <v>253</v>
      </c>
      <c r="C61" s="10" t="s">
        <v>254</v>
      </c>
      <c r="D61" s="11">
        <v>42441.862291666665</v>
      </c>
      <c r="E61" s="10" t="s">
        <v>155</v>
      </c>
    </row>
    <row r="62" spans="1:5" ht="21.6">
      <c r="A62" s="11">
        <v>42384</v>
      </c>
      <c r="B62" s="10" t="s">
        <v>255</v>
      </c>
      <c r="C62" s="10" t="s">
        <v>256</v>
      </c>
      <c r="D62" s="11">
        <v>42437.446909722225</v>
      </c>
      <c r="E62" s="10" t="s">
        <v>257</v>
      </c>
    </row>
    <row r="63" spans="1:5">
      <c r="A63" s="11">
        <v>42384</v>
      </c>
      <c r="B63" s="10" t="s">
        <v>258</v>
      </c>
      <c r="C63" s="10" t="s">
        <v>259</v>
      </c>
      <c r="D63" s="11">
        <v>42443.479479166665</v>
      </c>
      <c r="E63" s="10" t="s">
        <v>108</v>
      </c>
    </row>
    <row r="64" spans="1:5" ht="21.6">
      <c r="A64" s="11">
        <v>42384</v>
      </c>
      <c r="B64" s="10" t="s">
        <v>260</v>
      </c>
      <c r="C64" s="10" t="s">
        <v>261</v>
      </c>
      <c r="D64" s="11">
        <v>42442.458298611113</v>
      </c>
      <c r="E64" s="10" t="s">
        <v>133</v>
      </c>
    </row>
    <row r="65" spans="1:5" ht="21.6">
      <c r="A65" s="11">
        <v>42385</v>
      </c>
      <c r="B65" s="10" t="s">
        <v>262</v>
      </c>
      <c r="C65" s="10" t="s">
        <v>263</v>
      </c>
      <c r="D65" s="11">
        <v>42442.855613425927</v>
      </c>
      <c r="E65" s="10" t="s">
        <v>264</v>
      </c>
    </row>
    <row r="66" spans="1:5">
      <c r="A66" s="11">
        <v>42385</v>
      </c>
      <c r="B66" s="10" t="s">
        <v>265</v>
      </c>
      <c r="C66" s="10" t="s">
        <v>266</v>
      </c>
      <c r="D66" s="11">
        <v>42438.637372685182</v>
      </c>
      <c r="E66" s="10" t="s">
        <v>267</v>
      </c>
    </row>
    <row r="67" spans="1:5" ht="21.6">
      <c r="A67" s="11">
        <v>42386</v>
      </c>
      <c r="B67" s="10" t="s">
        <v>268</v>
      </c>
      <c r="C67" s="10" t="s">
        <v>269</v>
      </c>
      <c r="D67" s="11">
        <v>42437.553101851852</v>
      </c>
      <c r="E67" s="10" t="s">
        <v>257</v>
      </c>
    </row>
    <row r="68" spans="1:5">
      <c r="A68" s="11">
        <v>42386</v>
      </c>
      <c r="B68" s="10" t="s">
        <v>270</v>
      </c>
      <c r="C68" s="10" t="s">
        <v>271</v>
      </c>
      <c r="D68" s="11">
        <v>42440.768738425926</v>
      </c>
      <c r="E68" s="10" t="s">
        <v>105</v>
      </c>
    </row>
    <row r="69" spans="1:5">
      <c r="A69" s="11">
        <v>42389</v>
      </c>
      <c r="B69" s="10" t="s">
        <v>272</v>
      </c>
      <c r="C69" s="10" t="s">
        <v>273</v>
      </c>
      <c r="D69" s="11">
        <v>42440.494317129633</v>
      </c>
      <c r="E69" s="10" t="s">
        <v>274</v>
      </c>
    </row>
    <row r="70" spans="1:5">
      <c r="A70" s="11">
        <v>42389</v>
      </c>
      <c r="B70" s="10" t="s">
        <v>275</v>
      </c>
      <c r="C70" s="10" t="s">
        <v>276</v>
      </c>
      <c r="D70" s="11">
        <v>42431.466087962966</v>
      </c>
      <c r="E70" s="10" t="s">
        <v>221</v>
      </c>
    </row>
    <row r="71" spans="1:5">
      <c r="A71" s="11">
        <v>42391</v>
      </c>
      <c r="B71" s="10" t="s">
        <v>277</v>
      </c>
      <c r="C71" s="10" t="s">
        <v>278</v>
      </c>
      <c r="D71" s="11">
        <v>42443.381655092591</v>
      </c>
      <c r="E71" s="10" t="s">
        <v>209</v>
      </c>
    </row>
    <row r="72" spans="1:5">
      <c r="A72" s="11">
        <v>42391</v>
      </c>
      <c r="B72" s="10" t="s">
        <v>279</v>
      </c>
      <c r="C72" s="10" t="s">
        <v>280</v>
      </c>
      <c r="D72" s="11">
        <v>42779.713414351849</v>
      </c>
      <c r="E72" s="10" t="s">
        <v>237</v>
      </c>
    </row>
    <row r="73" spans="1:5">
      <c r="A73" s="11">
        <v>42393</v>
      </c>
      <c r="B73" s="10" t="s">
        <v>281</v>
      </c>
      <c r="C73" s="10" t="s">
        <v>282</v>
      </c>
      <c r="D73" s="11">
        <v>42442.875</v>
      </c>
      <c r="E73" s="10" t="s">
        <v>283</v>
      </c>
    </row>
    <row r="74" spans="1:5">
      <c r="A74" s="11">
        <v>42393</v>
      </c>
      <c r="B74" s="10" t="s">
        <v>284</v>
      </c>
      <c r="C74" s="10" t="s">
        <v>285</v>
      </c>
      <c r="D74" s="11">
        <v>42441.42696759259</v>
      </c>
      <c r="E74" s="10" t="s">
        <v>155</v>
      </c>
    </row>
    <row r="75" spans="1:5" ht="21.6">
      <c r="A75" s="11">
        <v>42394</v>
      </c>
      <c r="B75" s="10" t="s">
        <v>286</v>
      </c>
      <c r="C75" s="10" t="s">
        <v>287</v>
      </c>
      <c r="D75" s="11">
        <v>42441.64707175926</v>
      </c>
      <c r="E75" s="10" t="s">
        <v>133</v>
      </c>
    </row>
    <row r="76" spans="1:5">
      <c r="A76" s="11">
        <v>42394</v>
      </c>
      <c r="B76" s="10" t="s">
        <v>288</v>
      </c>
      <c r="C76" s="10" t="s">
        <v>289</v>
      </c>
      <c r="D76" s="11">
        <v>42443.345405092594</v>
      </c>
      <c r="E76" s="10" t="s">
        <v>155</v>
      </c>
    </row>
    <row r="77" spans="1:5">
      <c r="A77" s="11">
        <v>42394</v>
      </c>
      <c r="B77" s="10" t="s">
        <v>290</v>
      </c>
      <c r="C77" s="10" t="s">
        <v>291</v>
      </c>
      <c r="D77" s="11">
        <v>42442.73641203704</v>
      </c>
      <c r="E77" s="10" t="s">
        <v>292</v>
      </c>
    </row>
    <row r="78" spans="1:5">
      <c r="A78" s="11">
        <v>42396</v>
      </c>
      <c r="B78" s="10" t="s">
        <v>293</v>
      </c>
      <c r="C78" s="10" t="s">
        <v>294</v>
      </c>
      <c r="D78" s="11">
        <v>42442.705497685187</v>
      </c>
      <c r="E78" s="10" t="s">
        <v>209</v>
      </c>
    </row>
    <row r="79" spans="1:5">
      <c r="A79" s="11">
        <v>42397</v>
      </c>
      <c r="B79" s="10" t="s">
        <v>295</v>
      </c>
      <c r="C79" s="10" t="s">
        <v>296</v>
      </c>
      <c r="D79" s="11">
        <v>42433.579583333332</v>
      </c>
      <c r="E79" s="10" t="s">
        <v>297</v>
      </c>
    </row>
    <row r="80" spans="1:5" ht="21.6">
      <c r="A80" s="11">
        <v>42399</v>
      </c>
      <c r="B80" s="10" t="s">
        <v>298</v>
      </c>
      <c r="C80" s="10" t="s">
        <v>299</v>
      </c>
      <c r="D80" s="11">
        <v>42440.444675925923</v>
      </c>
      <c r="E80" s="10" t="s">
        <v>114</v>
      </c>
    </row>
    <row r="81" spans="1:5">
      <c r="A81" s="11">
        <v>42399</v>
      </c>
      <c r="B81" s="10" t="s">
        <v>300</v>
      </c>
      <c r="C81" s="10" t="s">
        <v>301</v>
      </c>
      <c r="D81" s="11">
        <v>42437.687037037038</v>
      </c>
      <c r="E81" s="10" t="s">
        <v>302</v>
      </c>
    </row>
    <row r="82" spans="1:5">
      <c r="A82" s="11">
        <v>42401</v>
      </c>
      <c r="B82" s="10" t="s">
        <v>303</v>
      </c>
      <c r="C82" s="10" t="s">
        <v>304</v>
      </c>
      <c r="D82" s="11">
        <v>42441.766863425924</v>
      </c>
      <c r="E82" s="10" t="s">
        <v>305</v>
      </c>
    </row>
    <row r="83" spans="1:5">
      <c r="A83" s="11">
        <v>42401</v>
      </c>
      <c r="B83" s="10" t="s">
        <v>306</v>
      </c>
      <c r="C83" s="10" t="s">
        <v>307</v>
      </c>
      <c r="D83" s="11">
        <v>42437.580578703702</v>
      </c>
      <c r="E83" s="10" t="s">
        <v>308</v>
      </c>
    </row>
    <row r="84" spans="1:5">
      <c r="A84" s="11">
        <v>42402</v>
      </c>
      <c r="B84" s="10" t="s">
        <v>309</v>
      </c>
      <c r="C84" s="10" t="s">
        <v>310</v>
      </c>
      <c r="D84" s="11">
        <v>42440.769918981481</v>
      </c>
      <c r="E84" s="10" t="s">
        <v>105</v>
      </c>
    </row>
    <row r="85" spans="1:5" ht="21.6">
      <c r="A85" s="11">
        <v>42404</v>
      </c>
      <c r="B85" s="10" t="s">
        <v>311</v>
      </c>
      <c r="C85" s="10" t="s">
        <v>312</v>
      </c>
      <c r="D85" s="11">
        <v>42438.688692129632</v>
      </c>
      <c r="E85" s="10" t="s">
        <v>313</v>
      </c>
    </row>
    <row r="86" spans="1:5" ht="21.6">
      <c r="A86" s="11">
        <v>42404</v>
      </c>
      <c r="B86" s="10" t="s">
        <v>314</v>
      </c>
      <c r="C86" s="10" t="s">
        <v>315</v>
      </c>
      <c r="D86" s="11">
        <v>42443.471574074072</v>
      </c>
      <c r="E86" s="10" t="s">
        <v>133</v>
      </c>
    </row>
    <row r="87" spans="1:5" ht="21.6">
      <c r="A87" s="11">
        <v>42404</v>
      </c>
      <c r="B87" s="10" t="s">
        <v>316</v>
      </c>
      <c r="C87" s="10" t="s">
        <v>317</v>
      </c>
      <c r="D87" s="11">
        <v>42440.427824074075</v>
      </c>
      <c r="E87" s="10" t="s">
        <v>243</v>
      </c>
    </row>
    <row r="88" spans="1:5">
      <c r="A88" s="11">
        <v>42405</v>
      </c>
      <c r="B88" s="10" t="s">
        <v>318</v>
      </c>
      <c r="C88" s="10" t="s">
        <v>319</v>
      </c>
      <c r="D88" s="11">
        <v>42442.797824074078</v>
      </c>
      <c r="E88" s="10" t="s">
        <v>320</v>
      </c>
    </row>
    <row r="89" spans="1:5">
      <c r="A89" s="11">
        <v>42405</v>
      </c>
      <c r="B89" s="10" t="s">
        <v>321</v>
      </c>
      <c r="C89" s="10" t="s">
        <v>322</v>
      </c>
      <c r="D89" s="11">
        <v>42441.502511574072</v>
      </c>
      <c r="E89" s="10" t="s">
        <v>178</v>
      </c>
    </row>
    <row r="90" spans="1:5">
      <c r="A90" s="11">
        <v>42405</v>
      </c>
      <c r="B90" s="10" t="s">
        <v>323</v>
      </c>
      <c r="C90" s="10" t="s">
        <v>324</v>
      </c>
      <c r="D90" s="11">
        <v>42442.863067129627</v>
      </c>
      <c r="E90" s="10" t="s">
        <v>325</v>
      </c>
    </row>
    <row r="91" spans="1:5">
      <c r="A91" s="11">
        <v>42406</v>
      </c>
      <c r="B91" s="10" t="s">
        <v>326</v>
      </c>
      <c r="C91" s="10" t="s">
        <v>327</v>
      </c>
      <c r="D91" s="11">
        <v>42744.373032407406</v>
      </c>
      <c r="E91" s="10" t="s">
        <v>328</v>
      </c>
    </row>
    <row r="92" spans="1:5">
      <c r="A92" s="11">
        <v>42406</v>
      </c>
      <c r="B92" s="10" t="s">
        <v>329</v>
      </c>
      <c r="C92" s="10" t="s">
        <v>330</v>
      </c>
      <c r="D92" s="11">
        <v>42438.688958333332</v>
      </c>
      <c r="E92" s="10" t="s">
        <v>218</v>
      </c>
    </row>
    <row r="93" spans="1:5" ht="21.6">
      <c r="A93" s="11">
        <v>42407</v>
      </c>
      <c r="B93" s="10" t="s">
        <v>331</v>
      </c>
      <c r="C93" s="10" t="s">
        <v>332</v>
      </c>
      <c r="D93" s="11">
        <v>42436.849444444444</v>
      </c>
      <c r="E93" s="10" t="s">
        <v>226</v>
      </c>
    </row>
    <row r="94" spans="1:5">
      <c r="A94" s="11">
        <v>42408</v>
      </c>
      <c r="B94" s="10" t="s">
        <v>333</v>
      </c>
      <c r="C94" s="10" t="s">
        <v>334</v>
      </c>
      <c r="D94" s="11">
        <v>42443.430555555555</v>
      </c>
      <c r="E94" s="10" t="s">
        <v>335</v>
      </c>
    </row>
    <row r="95" spans="1:5" ht="21.6">
      <c r="A95" s="11">
        <v>42411</v>
      </c>
      <c r="B95" s="10" t="s">
        <v>336</v>
      </c>
      <c r="C95" s="10" t="s">
        <v>337</v>
      </c>
      <c r="D95" s="11">
        <v>42441.463368055556</v>
      </c>
      <c r="E95" s="10" t="s">
        <v>338</v>
      </c>
    </row>
    <row r="96" spans="1:5">
      <c r="A96" s="11">
        <v>42412</v>
      </c>
      <c r="B96" s="10" t="s">
        <v>339</v>
      </c>
      <c r="C96" s="10" t="s">
        <v>340</v>
      </c>
      <c r="D96" s="11">
        <v>42781.553738425922</v>
      </c>
      <c r="E96" s="10" t="s">
        <v>130</v>
      </c>
    </row>
    <row r="97" spans="1:5">
      <c r="A97" s="11">
        <v>42412</v>
      </c>
      <c r="B97" s="10" t="s">
        <v>341</v>
      </c>
      <c r="C97" s="10" t="s">
        <v>342</v>
      </c>
      <c r="D97" s="11">
        <v>42442.568611111114</v>
      </c>
      <c r="E97" s="10" t="s">
        <v>325</v>
      </c>
    </row>
    <row r="98" spans="1:5">
      <c r="A98" s="11">
        <v>42413</v>
      </c>
      <c r="B98" s="10" t="s">
        <v>343</v>
      </c>
      <c r="C98" s="10" t="s">
        <v>344</v>
      </c>
      <c r="D98" s="11">
        <v>42442.805208333331</v>
      </c>
      <c r="E98" s="10" t="s">
        <v>302</v>
      </c>
    </row>
    <row r="99" spans="1:5">
      <c r="A99" s="11">
        <v>42413</v>
      </c>
      <c r="B99" s="10" t="s">
        <v>345</v>
      </c>
      <c r="C99" s="10" t="s">
        <v>346</v>
      </c>
      <c r="D99" s="11">
        <v>42443.095601851855</v>
      </c>
      <c r="E99" s="10" t="s">
        <v>209</v>
      </c>
    </row>
    <row r="100" spans="1:5">
      <c r="A100" s="11">
        <v>42413</v>
      </c>
      <c r="B100" s="10" t="s">
        <v>347</v>
      </c>
      <c r="C100" s="10" t="s">
        <v>348</v>
      </c>
      <c r="D100" s="11">
        <v>42442.756284722222</v>
      </c>
      <c r="E100" s="10" t="s">
        <v>178</v>
      </c>
    </row>
    <row r="101" spans="1:5">
      <c r="A101" s="11">
        <v>42413</v>
      </c>
      <c r="B101" s="10" t="s">
        <v>349</v>
      </c>
      <c r="C101" s="10" t="s">
        <v>350</v>
      </c>
      <c r="D101" s="11">
        <v>42443.348958333336</v>
      </c>
      <c r="E101" s="10" t="s">
        <v>328</v>
      </c>
    </row>
    <row r="102" spans="1:5">
      <c r="A102" s="11">
        <v>42413</v>
      </c>
      <c r="B102" s="10" t="s">
        <v>351</v>
      </c>
      <c r="C102" s="10" t="s">
        <v>352</v>
      </c>
      <c r="D102" s="11">
        <v>42443.454618055555</v>
      </c>
      <c r="E102" s="10" t="s">
        <v>353</v>
      </c>
    </row>
    <row r="103" spans="1:5" ht="21.6">
      <c r="A103" s="11">
        <v>42413</v>
      </c>
      <c r="B103" s="10" t="s">
        <v>354</v>
      </c>
      <c r="C103" s="10" t="s">
        <v>355</v>
      </c>
      <c r="D103" s="11">
        <v>42778.768321759257</v>
      </c>
      <c r="E103" s="10" t="s">
        <v>356</v>
      </c>
    </row>
    <row r="104" spans="1:5">
      <c r="A104" s="11">
        <v>42414</v>
      </c>
      <c r="B104" s="10" t="s">
        <v>357</v>
      </c>
      <c r="C104" s="10" t="s">
        <v>358</v>
      </c>
      <c r="D104" s="11">
        <v>42442.793680555558</v>
      </c>
      <c r="E104" s="10" t="s">
        <v>302</v>
      </c>
    </row>
    <row r="105" spans="1:5">
      <c r="A105" s="11">
        <v>42414</v>
      </c>
      <c r="B105" s="10" t="s">
        <v>359</v>
      </c>
      <c r="C105" s="10" t="s">
        <v>360</v>
      </c>
      <c r="D105" s="11">
        <v>42443.483263888891</v>
      </c>
      <c r="E105" s="10" t="s">
        <v>221</v>
      </c>
    </row>
    <row r="106" spans="1:5">
      <c r="A106" s="11">
        <v>42414</v>
      </c>
      <c r="B106" s="10" t="s">
        <v>361</v>
      </c>
      <c r="C106" s="10" t="s">
        <v>362</v>
      </c>
      <c r="D106" s="11">
        <v>42443.003703703704</v>
      </c>
      <c r="E106" s="10" t="s">
        <v>353</v>
      </c>
    </row>
    <row r="107" spans="1:5">
      <c r="A107" s="11">
        <v>42415</v>
      </c>
      <c r="B107" s="10" t="s">
        <v>363</v>
      </c>
      <c r="C107" s="10" t="s">
        <v>364</v>
      </c>
      <c r="D107" s="11">
        <v>42442.577349537038</v>
      </c>
      <c r="E107" s="10" t="s">
        <v>365</v>
      </c>
    </row>
    <row r="108" spans="1:5" ht="21.6">
      <c r="A108" s="11">
        <v>42416</v>
      </c>
      <c r="B108" s="10" t="s">
        <v>366</v>
      </c>
      <c r="C108" s="10" t="s">
        <v>367</v>
      </c>
      <c r="D108" s="11">
        <v>42443.370844907404</v>
      </c>
      <c r="E108" s="10" t="s">
        <v>368</v>
      </c>
    </row>
    <row r="109" spans="1:5">
      <c r="A109" s="11">
        <v>42416</v>
      </c>
      <c r="B109" s="10" t="s">
        <v>369</v>
      </c>
      <c r="C109" s="10" t="s">
        <v>370</v>
      </c>
      <c r="D109" s="11">
        <v>42443.48505787037</v>
      </c>
      <c r="E109" s="10" t="s">
        <v>209</v>
      </c>
    </row>
    <row r="110" spans="1:5">
      <c r="A110" s="11">
        <v>42416</v>
      </c>
      <c r="B110" s="10" t="s">
        <v>371</v>
      </c>
      <c r="C110" s="10" t="s">
        <v>372</v>
      </c>
      <c r="D110" s="11">
        <v>42440.48296296296</v>
      </c>
      <c r="E110" s="10" t="s">
        <v>373</v>
      </c>
    </row>
    <row r="111" spans="1:5">
      <c r="A111" s="11">
        <v>42416</v>
      </c>
      <c r="B111" s="10" t="s">
        <v>374</v>
      </c>
      <c r="C111" s="10" t="s">
        <v>375</v>
      </c>
      <c r="D111" s="11">
        <v>42439.492546296293</v>
      </c>
      <c r="E111" s="10" t="s">
        <v>302</v>
      </c>
    </row>
    <row r="112" spans="1:5">
      <c r="A112" s="11">
        <v>42416</v>
      </c>
      <c r="B112" s="10" t="s">
        <v>376</v>
      </c>
      <c r="C112" s="10" t="s">
        <v>377</v>
      </c>
      <c r="D112" s="11">
        <v>42442.587071759262</v>
      </c>
      <c r="E112" s="10" t="s">
        <v>209</v>
      </c>
    </row>
    <row r="113" spans="1:5">
      <c r="A113" s="11">
        <v>42417</v>
      </c>
      <c r="B113" s="10" t="s">
        <v>378</v>
      </c>
      <c r="C113" s="10" t="s">
        <v>379</v>
      </c>
      <c r="D113" s="11">
        <v>42782.674178240741</v>
      </c>
      <c r="E113" s="10" t="s">
        <v>380</v>
      </c>
    </row>
    <row r="114" spans="1:5">
      <c r="A114" s="11">
        <v>42417</v>
      </c>
      <c r="B114" s="10" t="s">
        <v>381</v>
      </c>
      <c r="C114" s="10" t="s">
        <v>382</v>
      </c>
      <c r="D114" s="11">
        <v>42437.434270833335</v>
      </c>
      <c r="E114" s="10" t="s">
        <v>383</v>
      </c>
    </row>
    <row r="115" spans="1:5">
      <c r="A115" s="11">
        <v>42417</v>
      </c>
      <c r="B115" s="10" t="s">
        <v>384</v>
      </c>
      <c r="C115" s="10" t="s">
        <v>385</v>
      </c>
      <c r="D115" s="11">
        <v>42438.718692129631</v>
      </c>
      <c r="E115" s="10" t="s">
        <v>373</v>
      </c>
    </row>
    <row r="116" spans="1:5" ht="21.6">
      <c r="A116" s="11">
        <v>42417</v>
      </c>
      <c r="B116" s="10" t="s">
        <v>386</v>
      </c>
      <c r="C116" s="10" t="s">
        <v>387</v>
      </c>
      <c r="D116" s="11">
        <v>42429.441134259258</v>
      </c>
      <c r="E116" s="10" t="s">
        <v>102</v>
      </c>
    </row>
    <row r="117" spans="1:5">
      <c r="A117" s="11">
        <v>42417</v>
      </c>
      <c r="B117" s="10" t="s">
        <v>388</v>
      </c>
      <c r="C117" s="10" t="s">
        <v>389</v>
      </c>
      <c r="D117" s="11">
        <v>42440.584444444445</v>
      </c>
      <c r="E117" s="10" t="s">
        <v>373</v>
      </c>
    </row>
    <row r="118" spans="1:5">
      <c r="A118" s="11">
        <v>42417</v>
      </c>
      <c r="B118" s="10" t="s">
        <v>390</v>
      </c>
      <c r="C118" s="10" t="s">
        <v>391</v>
      </c>
      <c r="D118" s="11">
        <v>42443.433657407404</v>
      </c>
      <c r="E118" s="10" t="s">
        <v>185</v>
      </c>
    </row>
    <row r="119" spans="1:5">
      <c r="A119" s="11">
        <v>42417</v>
      </c>
      <c r="B119" s="10" t="s">
        <v>392</v>
      </c>
      <c r="C119" s="10" t="s">
        <v>393</v>
      </c>
      <c r="D119" s="11">
        <v>42443.432928240742</v>
      </c>
      <c r="E119" s="10" t="s">
        <v>99</v>
      </c>
    </row>
    <row r="120" spans="1:5">
      <c r="A120" s="11">
        <v>42417</v>
      </c>
      <c r="B120" s="10" t="s">
        <v>394</v>
      </c>
      <c r="C120" s="10" t="s">
        <v>395</v>
      </c>
      <c r="D120" s="11">
        <v>42443.426018518519</v>
      </c>
      <c r="E120" s="10" t="s">
        <v>99</v>
      </c>
    </row>
    <row r="121" spans="1:5">
      <c r="A121" s="11">
        <v>42417</v>
      </c>
      <c r="B121" s="10" t="s">
        <v>396</v>
      </c>
      <c r="C121" s="10" t="s">
        <v>397</v>
      </c>
      <c r="D121" s="11">
        <v>42443.40079861111</v>
      </c>
      <c r="E121" s="10" t="s">
        <v>178</v>
      </c>
    </row>
    <row r="122" spans="1:5">
      <c r="A122" s="11">
        <v>42417</v>
      </c>
      <c r="B122" s="10" t="s">
        <v>398</v>
      </c>
      <c r="C122" s="10" t="s">
        <v>399</v>
      </c>
      <c r="D122" s="11">
        <v>42443.425196759257</v>
      </c>
      <c r="E122" s="10" t="s">
        <v>99</v>
      </c>
    </row>
    <row r="123" spans="1:5">
      <c r="A123" s="11">
        <v>42417</v>
      </c>
      <c r="B123" s="10" t="s">
        <v>400</v>
      </c>
      <c r="C123" s="10" t="s">
        <v>401</v>
      </c>
      <c r="D123" s="11">
        <v>42443.392696759256</v>
      </c>
      <c r="E123" s="10" t="s">
        <v>178</v>
      </c>
    </row>
    <row r="124" spans="1:5">
      <c r="A124" s="11">
        <v>42418</v>
      </c>
      <c r="B124" s="10" t="s">
        <v>402</v>
      </c>
      <c r="C124" s="10" t="s">
        <v>403</v>
      </c>
      <c r="D124" s="11">
        <v>42443.478888888887</v>
      </c>
      <c r="E124" s="10" t="s">
        <v>404</v>
      </c>
    </row>
    <row r="125" spans="1:5">
      <c r="A125" s="11">
        <v>42418</v>
      </c>
      <c r="B125" s="10" t="s">
        <v>405</v>
      </c>
      <c r="C125" s="10" t="s">
        <v>406</v>
      </c>
      <c r="D125" s="11">
        <v>42443.500092592592</v>
      </c>
      <c r="E125" s="10" t="s">
        <v>155</v>
      </c>
    </row>
    <row r="126" spans="1:5">
      <c r="A126" s="11">
        <v>42419</v>
      </c>
      <c r="B126" s="10" t="s">
        <v>407</v>
      </c>
      <c r="C126" s="10" t="s">
        <v>408</v>
      </c>
      <c r="D126" s="11">
        <v>42443.433541666665</v>
      </c>
      <c r="E126" s="10" t="s">
        <v>237</v>
      </c>
    </row>
    <row r="127" spans="1:5">
      <c r="A127" s="11">
        <v>42419</v>
      </c>
      <c r="B127" s="10" t="s">
        <v>409</v>
      </c>
      <c r="C127" s="10" t="s">
        <v>410</v>
      </c>
      <c r="D127" s="11">
        <v>42443.445034722223</v>
      </c>
      <c r="E127" s="10" t="s">
        <v>411</v>
      </c>
    </row>
    <row r="128" spans="1:5">
      <c r="A128" s="11">
        <v>42419</v>
      </c>
      <c r="B128" s="10" t="s">
        <v>412</v>
      </c>
      <c r="C128" s="10" t="s">
        <v>413</v>
      </c>
      <c r="D128" s="11">
        <v>42440.892511574071</v>
      </c>
      <c r="E128" s="10" t="s">
        <v>414</v>
      </c>
    </row>
    <row r="129" spans="1:5">
      <c r="A129" s="11">
        <v>42419</v>
      </c>
      <c r="B129" s="10" t="s">
        <v>415</v>
      </c>
      <c r="C129" s="10" t="s">
        <v>416</v>
      </c>
      <c r="D129" s="11">
        <v>42443.487685185188</v>
      </c>
      <c r="E129" s="10" t="s">
        <v>209</v>
      </c>
    </row>
    <row r="130" spans="1:5" ht="21.6">
      <c r="A130" s="11">
        <v>42420</v>
      </c>
      <c r="B130" s="10" t="s">
        <v>417</v>
      </c>
      <c r="C130" s="10" t="s">
        <v>418</v>
      </c>
      <c r="D130" s="11">
        <v>42439.622025462966</v>
      </c>
      <c r="E130" s="10" t="s">
        <v>419</v>
      </c>
    </row>
    <row r="131" spans="1:5">
      <c r="A131" s="11">
        <v>42420</v>
      </c>
      <c r="B131" s="10" t="s">
        <v>420</v>
      </c>
      <c r="C131" s="10" t="s">
        <v>421</v>
      </c>
      <c r="D131" s="11">
        <v>42782.6015625</v>
      </c>
      <c r="E131" s="10" t="s">
        <v>422</v>
      </c>
    </row>
    <row r="132" spans="1:5" ht="21.6">
      <c r="A132" s="11">
        <v>42420</v>
      </c>
      <c r="B132" s="10" t="s">
        <v>423</v>
      </c>
      <c r="C132" s="10" t="s">
        <v>424</v>
      </c>
      <c r="D132" s="11">
        <v>42442.829155092593</v>
      </c>
      <c r="E132" s="10" t="s">
        <v>165</v>
      </c>
    </row>
    <row r="133" spans="1:5">
      <c r="A133" s="11">
        <v>42421</v>
      </c>
      <c r="B133" s="10" t="s">
        <v>425</v>
      </c>
      <c r="C133" s="10" t="s">
        <v>426</v>
      </c>
      <c r="D133" s="11">
        <v>42440.718738425923</v>
      </c>
      <c r="E133" s="10" t="s">
        <v>178</v>
      </c>
    </row>
    <row r="134" spans="1:5">
      <c r="A134" s="11">
        <v>42421</v>
      </c>
      <c r="B134" s="10" t="s">
        <v>427</v>
      </c>
      <c r="C134" s="10" t="s">
        <v>428</v>
      </c>
      <c r="D134" s="11">
        <v>42442.783958333333</v>
      </c>
      <c r="E134" s="10" t="s">
        <v>380</v>
      </c>
    </row>
    <row r="135" spans="1:5">
      <c r="A135" s="11">
        <v>42421</v>
      </c>
      <c r="B135" s="10" t="s">
        <v>429</v>
      </c>
      <c r="C135" s="10" t="s">
        <v>430</v>
      </c>
      <c r="D135" s="11">
        <v>42443.42832175926</v>
      </c>
      <c r="E135" s="10" t="s">
        <v>178</v>
      </c>
    </row>
    <row r="136" spans="1:5">
      <c r="A136" s="11">
        <v>42421</v>
      </c>
      <c r="B136" s="10" t="s">
        <v>431</v>
      </c>
      <c r="C136" s="10" t="s">
        <v>432</v>
      </c>
      <c r="D136" s="11">
        <v>42442.676678240743</v>
      </c>
      <c r="E136" s="10" t="s">
        <v>433</v>
      </c>
    </row>
    <row r="137" spans="1:5">
      <c r="A137" s="11">
        <v>42421</v>
      </c>
      <c r="B137" s="10" t="s">
        <v>434</v>
      </c>
      <c r="C137" s="10" t="s">
        <v>435</v>
      </c>
      <c r="D137" s="11">
        <v>42442.669756944444</v>
      </c>
      <c r="E137" s="10" t="s">
        <v>353</v>
      </c>
    </row>
    <row r="138" spans="1:5">
      <c r="A138" s="11">
        <v>42421</v>
      </c>
      <c r="B138" s="10" t="s">
        <v>436</v>
      </c>
      <c r="C138" s="10" t="s">
        <v>437</v>
      </c>
      <c r="D138" s="11">
        <v>42443.469189814816</v>
      </c>
      <c r="E138" s="10" t="s">
        <v>218</v>
      </c>
    </row>
    <row r="139" spans="1:5">
      <c r="A139" s="11">
        <v>42422</v>
      </c>
      <c r="B139" s="10" t="s">
        <v>438</v>
      </c>
      <c r="C139" s="10" t="s">
        <v>439</v>
      </c>
      <c r="D139" s="11">
        <v>42443.463564814818</v>
      </c>
      <c r="E139" s="10" t="s">
        <v>440</v>
      </c>
    </row>
    <row r="140" spans="1:5">
      <c r="A140" s="11">
        <v>42423</v>
      </c>
      <c r="B140" s="10" t="s">
        <v>441</v>
      </c>
      <c r="C140" s="10" t="s">
        <v>442</v>
      </c>
      <c r="D140" s="11">
        <v>42443.502268518518</v>
      </c>
      <c r="E140" s="10" t="s">
        <v>185</v>
      </c>
    </row>
    <row r="141" spans="1:5">
      <c r="A141" s="11">
        <v>42423</v>
      </c>
      <c r="B141" s="10" t="s">
        <v>443</v>
      </c>
      <c r="C141" s="10" t="s">
        <v>444</v>
      </c>
      <c r="D141" s="11">
        <v>42782.679513888892</v>
      </c>
      <c r="E141" s="10" t="s">
        <v>193</v>
      </c>
    </row>
    <row r="142" spans="1:5" ht="21.6">
      <c r="A142" s="11">
        <v>42423</v>
      </c>
      <c r="B142" s="10" t="s">
        <v>445</v>
      </c>
      <c r="C142" s="10" t="s">
        <v>446</v>
      </c>
      <c r="D142" s="11">
        <v>42440.737453703703</v>
      </c>
      <c r="E142" s="10" t="s">
        <v>447</v>
      </c>
    </row>
    <row r="143" spans="1:5" ht="21.6">
      <c r="A143" s="11">
        <v>42423</v>
      </c>
      <c r="B143" s="10" t="s">
        <v>448</v>
      </c>
      <c r="C143" s="10" t="s">
        <v>449</v>
      </c>
      <c r="D143" s="11">
        <v>42438.68246527778</v>
      </c>
      <c r="E143" s="10" t="s">
        <v>133</v>
      </c>
    </row>
    <row r="144" spans="1:5" ht="21.6">
      <c r="A144" s="11">
        <v>42423</v>
      </c>
      <c r="B144" s="10" t="s">
        <v>450</v>
      </c>
      <c r="C144" s="10" t="s">
        <v>451</v>
      </c>
      <c r="D144" s="11">
        <v>42436.408726851849</v>
      </c>
      <c r="E144" s="10" t="s">
        <v>243</v>
      </c>
    </row>
    <row r="145" spans="1:5" ht="21.6">
      <c r="A145" s="11">
        <v>42423</v>
      </c>
      <c r="B145" s="10" t="s">
        <v>452</v>
      </c>
      <c r="C145" s="10" t="s">
        <v>453</v>
      </c>
      <c r="D145" s="11">
        <v>42436.497465277775</v>
      </c>
      <c r="E145" s="10" t="s">
        <v>454</v>
      </c>
    </row>
    <row r="146" spans="1:5">
      <c r="A146" s="11">
        <v>42423</v>
      </c>
      <c r="B146" s="10" t="s">
        <v>455</v>
      </c>
      <c r="C146" s="10" t="s">
        <v>456</v>
      </c>
      <c r="D146" s="11">
        <v>42438.384687500002</v>
      </c>
      <c r="E146" s="10" t="s">
        <v>305</v>
      </c>
    </row>
    <row r="147" spans="1:5">
      <c r="A147" s="11">
        <v>42424</v>
      </c>
      <c r="B147" s="10" t="s">
        <v>457</v>
      </c>
      <c r="C147" s="10" t="s">
        <v>458</v>
      </c>
      <c r="D147" s="11">
        <v>42438.884155092594</v>
      </c>
      <c r="E147" s="10" t="s">
        <v>365</v>
      </c>
    </row>
    <row r="148" spans="1:5" ht="21.6">
      <c r="A148" s="11">
        <v>42424</v>
      </c>
      <c r="B148" s="10" t="s">
        <v>459</v>
      </c>
      <c r="C148" s="10" t="s">
        <v>460</v>
      </c>
      <c r="D148" s="11">
        <v>42443.376736111109</v>
      </c>
      <c r="E148" s="10" t="s">
        <v>133</v>
      </c>
    </row>
    <row r="149" spans="1:5">
      <c r="A149" s="11">
        <v>42424</v>
      </c>
      <c r="B149" s="10" t="s">
        <v>461</v>
      </c>
      <c r="C149" s="10" t="s">
        <v>462</v>
      </c>
      <c r="D149" s="11">
        <v>42441.523194444446</v>
      </c>
      <c r="E149" s="10" t="s">
        <v>108</v>
      </c>
    </row>
    <row r="150" spans="1:5">
      <c r="A150" s="11">
        <v>42424</v>
      </c>
      <c r="B150" s="10" t="s">
        <v>463</v>
      </c>
      <c r="C150" s="10" t="s">
        <v>464</v>
      </c>
      <c r="D150" s="11">
        <v>42443.203310185185</v>
      </c>
      <c r="E150" s="10" t="s">
        <v>465</v>
      </c>
    </row>
    <row r="151" spans="1:5">
      <c r="A151" s="11">
        <v>42425</v>
      </c>
      <c r="B151" s="10" t="s">
        <v>466</v>
      </c>
      <c r="C151" s="10" t="s">
        <v>467</v>
      </c>
      <c r="D151" s="11">
        <v>42441.615613425929</v>
      </c>
      <c r="E151" s="10" t="s">
        <v>221</v>
      </c>
    </row>
    <row r="152" spans="1:5">
      <c r="A152" s="11">
        <v>42425</v>
      </c>
      <c r="B152" s="10" t="s">
        <v>468</v>
      </c>
      <c r="C152" s="10" t="s">
        <v>469</v>
      </c>
      <c r="D152" s="11">
        <v>42441.566087962965</v>
      </c>
      <c r="E152" s="10" t="s">
        <v>404</v>
      </c>
    </row>
    <row r="153" spans="1:5">
      <c r="A153" s="11">
        <v>42425</v>
      </c>
      <c r="B153" s="10" t="s">
        <v>470</v>
      </c>
      <c r="C153" s="10" t="s">
        <v>471</v>
      </c>
      <c r="D153" s="11">
        <v>42440.86928240741</v>
      </c>
      <c r="E153" s="10" t="s">
        <v>472</v>
      </c>
    </row>
    <row r="154" spans="1:5">
      <c r="A154" s="11">
        <v>42425</v>
      </c>
      <c r="B154" s="10" t="s">
        <v>473</v>
      </c>
      <c r="C154" s="10" t="s">
        <v>474</v>
      </c>
      <c r="D154" s="11">
        <v>42443.401250000003</v>
      </c>
      <c r="E154" s="10" t="s">
        <v>168</v>
      </c>
    </row>
    <row r="155" spans="1:5" ht="21.6">
      <c r="A155" s="11">
        <v>42425</v>
      </c>
      <c r="B155" s="10" t="s">
        <v>475</v>
      </c>
      <c r="C155" s="10" t="s">
        <v>476</v>
      </c>
      <c r="D155" s="11">
        <v>42425.830543981479</v>
      </c>
      <c r="E155" s="10" t="s">
        <v>454</v>
      </c>
    </row>
    <row r="156" spans="1:5">
      <c r="A156" s="11">
        <v>42425</v>
      </c>
      <c r="B156" s="10" t="s">
        <v>477</v>
      </c>
      <c r="C156" s="10" t="s">
        <v>478</v>
      </c>
      <c r="D156" s="11">
        <v>42443.492673611108</v>
      </c>
      <c r="E156" s="10" t="s">
        <v>479</v>
      </c>
    </row>
    <row r="157" spans="1:5">
      <c r="A157" s="11">
        <v>42425</v>
      </c>
      <c r="B157" s="10" t="s">
        <v>480</v>
      </c>
      <c r="C157" s="10" t="s">
        <v>481</v>
      </c>
      <c r="D157" s="11">
        <v>42443.474895833337</v>
      </c>
      <c r="E157" s="10" t="s">
        <v>482</v>
      </c>
    </row>
    <row r="158" spans="1:5" ht="21.6">
      <c r="A158" s="11">
        <v>42425</v>
      </c>
      <c r="B158" s="10" t="s">
        <v>483</v>
      </c>
      <c r="C158" s="10" t="s">
        <v>484</v>
      </c>
      <c r="D158" s="11">
        <v>42441.768379629626</v>
      </c>
      <c r="E158" s="10" t="s">
        <v>447</v>
      </c>
    </row>
    <row r="159" spans="1:5">
      <c r="A159" s="11">
        <v>42425</v>
      </c>
      <c r="B159" s="10" t="s">
        <v>485</v>
      </c>
      <c r="C159" s="10" t="s">
        <v>486</v>
      </c>
      <c r="D159" s="11">
        <v>42443.449189814812</v>
      </c>
      <c r="E159" s="10" t="s">
        <v>209</v>
      </c>
    </row>
    <row r="160" spans="1:5" ht="21.6">
      <c r="A160" s="11">
        <v>42426</v>
      </c>
      <c r="B160" s="10" t="s">
        <v>487</v>
      </c>
      <c r="C160" s="10" t="s">
        <v>488</v>
      </c>
      <c r="D160" s="11">
        <v>42443.465671296297</v>
      </c>
      <c r="E160" s="10" t="s">
        <v>171</v>
      </c>
    </row>
    <row r="161" spans="1:5">
      <c r="A161" s="11">
        <v>42426</v>
      </c>
      <c r="B161" s="10" t="s">
        <v>489</v>
      </c>
      <c r="C161" s="10" t="s">
        <v>490</v>
      </c>
      <c r="D161" s="11">
        <v>42438.487349537034</v>
      </c>
      <c r="E161" s="10" t="s">
        <v>325</v>
      </c>
    </row>
    <row r="162" spans="1:5" ht="21.6">
      <c r="A162" s="11">
        <v>42426</v>
      </c>
      <c r="B162" s="10" t="s">
        <v>491</v>
      </c>
      <c r="C162" s="10" t="s">
        <v>492</v>
      </c>
      <c r="D162" s="11">
        <v>42440.414826388886</v>
      </c>
      <c r="E162" s="10" t="s">
        <v>165</v>
      </c>
    </row>
    <row r="163" spans="1:5" ht="21.6">
      <c r="A163" s="11">
        <v>42426</v>
      </c>
      <c r="B163" s="10" t="s">
        <v>493</v>
      </c>
      <c r="C163" s="10" t="s">
        <v>494</v>
      </c>
      <c r="D163" s="11">
        <v>42431.419305555559</v>
      </c>
      <c r="E163" s="10" t="s">
        <v>149</v>
      </c>
    </row>
    <row r="164" spans="1:5">
      <c r="A164" s="11">
        <v>42426</v>
      </c>
      <c r="B164" s="10" t="s">
        <v>495</v>
      </c>
      <c r="C164" s="10" t="s">
        <v>496</v>
      </c>
      <c r="D164" s="11">
        <v>42443.406793981485</v>
      </c>
      <c r="E164" s="10" t="s">
        <v>325</v>
      </c>
    </row>
    <row r="165" spans="1:5" ht="21.6">
      <c r="A165" s="11">
        <v>42426</v>
      </c>
      <c r="B165" s="10" t="s">
        <v>497</v>
      </c>
      <c r="C165" s="10" t="s">
        <v>498</v>
      </c>
      <c r="D165" s="11">
        <v>42440.799664351849</v>
      </c>
      <c r="E165" s="10" t="s">
        <v>499</v>
      </c>
    </row>
    <row r="166" spans="1:5" ht="21.6">
      <c r="A166" s="11">
        <v>42427</v>
      </c>
      <c r="B166" s="10" t="s">
        <v>500</v>
      </c>
      <c r="C166" s="10" t="s">
        <v>501</v>
      </c>
      <c r="D166" s="11">
        <v>42441.879189814812</v>
      </c>
      <c r="E166" s="10" t="s">
        <v>102</v>
      </c>
    </row>
    <row r="167" spans="1:5">
      <c r="A167" s="11">
        <v>42427</v>
      </c>
      <c r="B167" s="10" t="s">
        <v>502</v>
      </c>
      <c r="C167" s="10" t="s">
        <v>503</v>
      </c>
      <c r="D167" s="11">
        <v>42443.461747685185</v>
      </c>
      <c r="E167" s="10" t="s">
        <v>209</v>
      </c>
    </row>
    <row r="168" spans="1:5" ht="21.6">
      <c r="A168" s="11">
        <v>42427</v>
      </c>
      <c r="B168" s="10" t="s">
        <v>504</v>
      </c>
      <c r="C168" s="10" t="s">
        <v>505</v>
      </c>
      <c r="D168" s="11">
        <v>42443.490069444444</v>
      </c>
      <c r="E168" s="10" t="s">
        <v>146</v>
      </c>
    </row>
    <row r="169" spans="1:5">
      <c r="A169" s="11">
        <v>42427</v>
      </c>
      <c r="B169" s="10" t="s">
        <v>506</v>
      </c>
      <c r="C169" s="10" t="s">
        <v>507</v>
      </c>
      <c r="D169" s="11">
        <v>42428.809675925928</v>
      </c>
      <c r="E169" s="10" t="s">
        <v>209</v>
      </c>
    </row>
    <row r="170" spans="1:5">
      <c r="A170" s="11">
        <v>42427</v>
      </c>
      <c r="B170" s="10" t="s">
        <v>508</v>
      </c>
      <c r="C170" s="10" t="s">
        <v>509</v>
      </c>
      <c r="D170" s="11">
        <v>42441.679675925923</v>
      </c>
      <c r="E170" s="10" t="s">
        <v>240</v>
      </c>
    </row>
    <row r="171" spans="1:5">
      <c r="A171" s="11">
        <v>42427</v>
      </c>
      <c r="B171" s="10" t="s">
        <v>510</v>
      </c>
      <c r="C171" s="10" t="s">
        <v>511</v>
      </c>
      <c r="D171" s="11">
        <v>42442.921909722223</v>
      </c>
      <c r="E171" s="10" t="s">
        <v>178</v>
      </c>
    </row>
    <row r="172" spans="1:5" ht="21.6">
      <c r="A172" s="11">
        <v>42427</v>
      </c>
      <c r="B172" s="10" t="s">
        <v>512</v>
      </c>
      <c r="C172" s="10" t="s">
        <v>513</v>
      </c>
      <c r="D172" s="11">
        <v>42442.573888888888</v>
      </c>
      <c r="E172" s="10" t="s">
        <v>149</v>
      </c>
    </row>
    <row r="173" spans="1:5" ht="21.6">
      <c r="A173" s="11">
        <v>42428</v>
      </c>
      <c r="B173" s="10" t="s">
        <v>514</v>
      </c>
      <c r="C173" s="10" t="s">
        <v>515</v>
      </c>
      <c r="D173" s="11">
        <v>42441.819837962961</v>
      </c>
      <c r="E173" s="10" t="s">
        <v>171</v>
      </c>
    </row>
    <row r="174" spans="1:5" ht="21.6">
      <c r="A174" s="11">
        <v>42428</v>
      </c>
      <c r="B174" s="10" t="s">
        <v>516</v>
      </c>
      <c r="C174" s="10" t="s">
        <v>517</v>
      </c>
      <c r="D174" s="11">
        <v>42441.81894675926</v>
      </c>
      <c r="E174" s="10" t="s">
        <v>171</v>
      </c>
    </row>
    <row r="175" spans="1:5">
      <c r="A175" s="11">
        <v>42428</v>
      </c>
      <c r="B175" s="10" t="s">
        <v>518</v>
      </c>
      <c r="C175" s="10" t="s">
        <v>519</v>
      </c>
      <c r="D175" s="11">
        <v>42443.44767361111</v>
      </c>
      <c r="E175" s="10" t="s">
        <v>520</v>
      </c>
    </row>
    <row r="176" spans="1:5">
      <c r="A176" s="11">
        <v>42428</v>
      </c>
      <c r="B176" s="10" t="s">
        <v>521</v>
      </c>
      <c r="C176" s="10" t="s">
        <v>522</v>
      </c>
      <c r="D176" s="11">
        <v>42443.4687962963</v>
      </c>
      <c r="E176" s="10" t="s">
        <v>108</v>
      </c>
    </row>
    <row r="177" spans="1:5" ht="21.6">
      <c r="A177" s="11">
        <v>42428</v>
      </c>
      <c r="B177" s="10" t="s">
        <v>523</v>
      </c>
      <c r="C177" s="10" t="s">
        <v>524</v>
      </c>
      <c r="D177" s="11">
        <v>42441.91878472222</v>
      </c>
      <c r="E177" s="10" t="s">
        <v>368</v>
      </c>
    </row>
    <row r="178" spans="1:5" ht="21.6">
      <c r="A178" s="11">
        <v>42429</v>
      </c>
      <c r="B178" s="10" t="s">
        <v>525</v>
      </c>
      <c r="C178" s="10" t="s">
        <v>526</v>
      </c>
      <c r="D178" s="11">
        <v>42443.422303240739</v>
      </c>
      <c r="E178" s="10" t="s">
        <v>527</v>
      </c>
    </row>
    <row r="179" spans="1:5">
      <c r="A179" s="11">
        <v>42429</v>
      </c>
      <c r="B179" s="10" t="s">
        <v>528</v>
      </c>
      <c r="C179" s="10" t="s">
        <v>529</v>
      </c>
      <c r="D179" s="11">
        <v>42429.386481481481</v>
      </c>
      <c r="E179" s="10" t="s">
        <v>108</v>
      </c>
    </row>
    <row r="180" spans="1:5" ht="21.6">
      <c r="A180" s="11">
        <v>42429</v>
      </c>
      <c r="B180" s="10" t="s">
        <v>530</v>
      </c>
      <c r="C180" s="10" t="s">
        <v>531</v>
      </c>
      <c r="D180" s="11">
        <v>42443.425567129627</v>
      </c>
      <c r="E180" s="10" t="s">
        <v>102</v>
      </c>
    </row>
    <row r="181" spans="1:5">
      <c r="A181" s="11">
        <v>42429</v>
      </c>
      <c r="B181" s="10" t="s">
        <v>532</v>
      </c>
      <c r="C181" s="10" t="s">
        <v>533</v>
      </c>
      <c r="D181" s="11">
        <v>42442.652766203704</v>
      </c>
      <c r="E181" s="10" t="s">
        <v>472</v>
      </c>
    </row>
    <row r="182" spans="1:5" ht="21.6">
      <c r="A182" s="11">
        <v>42429</v>
      </c>
      <c r="B182" s="10" t="s">
        <v>534</v>
      </c>
      <c r="C182" s="10" t="s">
        <v>535</v>
      </c>
      <c r="D182" s="11">
        <v>42443.418877314813</v>
      </c>
      <c r="E182" s="10" t="s">
        <v>165</v>
      </c>
    </row>
    <row r="183" spans="1:5">
      <c r="A183" s="11">
        <v>42429</v>
      </c>
      <c r="B183" s="10" t="s">
        <v>536</v>
      </c>
      <c r="C183" s="10" t="s">
        <v>537</v>
      </c>
      <c r="D183" s="11">
        <v>42429.555567129632</v>
      </c>
      <c r="E183" s="10" t="s">
        <v>373</v>
      </c>
    </row>
    <row r="184" spans="1:5" ht="21.6">
      <c r="A184" s="11">
        <v>42429</v>
      </c>
      <c r="B184" s="10" t="s">
        <v>538</v>
      </c>
      <c r="C184" s="10" t="s">
        <v>539</v>
      </c>
      <c r="D184" s="11">
        <v>42781.427291666667</v>
      </c>
      <c r="E184" s="10" t="s">
        <v>149</v>
      </c>
    </row>
    <row r="185" spans="1:5">
      <c r="A185" s="11">
        <v>42429</v>
      </c>
      <c r="B185" s="10" t="s">
        <v>540</v>
      </c>
      <c r="C185" s="10" t="s">
        <v>541</v>
      </c>
      <c r="D185" s="11">
        <v>42437.61105324074</v>
      </c>
      <c r="E185" s="10" t="s">
        <v>335</v>
      </c>
    </row>
    <row r="186" spans="1:5">
      <c r="A186" s="11">
        <v>42429</v>
      </c>
      <c r="B186" s="10" t="s">
        <v>542</v>
      </c>
      <c r="C186" s="10" t="s">
        <v>543</v>
      </c>
      <c r="D186" s="11">
        <v>42442.837719907409</v>
      </c>
      <c r="E186" s="10" t="s">
        <v>221</v>
      </c>
    </row>
    <row r="187" spans="1:5">
      <c r="A187" s="11">
        <v>42429</v>
      </c>
      <c r="B187" s="10" t="s">
        <v>544</v>
      </c>
      <c r="C187" s="10" t="s">
        <v>545</v>
      </c>
      <c r="D187" s="11">
        <v>42443.433298611111</v>
      </c>
      <c r="E187" s="10" t="s">
        <v>433</v>
      </c>
    </row>
    <row r="188" spans="1:5" ht="21.6">
      <c r="A188" s="11">
        <v>42429</v>
      </c>
      <c r="B188" s="10" t="s">
        <v>546</v>
      </c>
      <c r="C188" s="10" t="s">
        <v>547</v>
      </c>
      <c r="D188" s="11">
        <v>42442.843101851853</v>
      </c>
      <c r="E188" s="10" t="s">
        <v>548</v>
      </c>
    </row>
    <row r="189" spans="1:5" ht="21.6">
      <c r="A189" s="11">
        <v>42429</v>
      </c>
      <c r="B189" s="10" t="s">
        <v>549</v>
      </c>
      <c r="C189" s="10" t="s">
        <v>550</v>
      </c>
      <c r="D189" s="11">
        <v>42442.098391203705</v>
      </c>
      <c r="E189" s="10" t="s">
        <v>102</v>
      </c>
    </row>
    <row r="190" spans="1:5">
      <c r="A190" s="11">
        <v>42430</v>
      </c>
      <c r="B190" s="10" t="s">
        <v>551</v>
      </c>
      <c r="C190" s="10" t="s">
        <v>552</v>
      </c>
      <c r="D190" s="11">
        <v>42442.767222222225</v>
      </c>
      <c r="E190" s="10" t="s">
        <v>178</v>
      </c>
    </row>
    <row r="191" spans="1:5">
      <c r="A191" s="11">
        <v>42430</v>
      </c>
      <c r="B191" s="10" t="s">
        <v>553</v>
      </c>
      <c r="C191" s="10" t="s">
        <v>554</v>
      </c>
      <c r="D191" s="11">
        <v>42443.497395833336</v>
      </c>
      <c r="E191" s="10" t="s">
        <v>218</v>
      </c>
    </row>
    <row r="192" spans="1:5">
      <c r="A192" s="11">
        <v>42430</v>
      </c>
      <c r="B192" s="10" t="s">
        <v>555</v>
      </c>
      <c r="C192" s="10" t="s">
        <v>556</v>
      </c>
      <c r="D192" s="11">
        <v>42442.72078703704</v>
      </c>
      <c r="E192" s="10" t="s">
        <v>411</v>
      </c>
    </row>
    <row r="193" spans="1:5" ht="21.6">
      <c r="A193" s="11">
        <v>42430</v>
      </c>
      <c r="B193" s="10" t="s">
        <v>557</v>
      </c>
      <c r="C193" s="10" t="s">
        <v>558</v>
      </c>
      <c r="D193" s="11">
        <v>42443.458460648151</v>
      </c>
      <c r="E193" s="10" t="s">
        <v>559</v>
      </c>
    </row>
    <row r="194" spans="1:5">
      <c r="A194" s="11">
        <v>42430</v>
      </c>
      <c r="B194" s="10" t="s">
        <v>560</v>
      </c>
      <c r="C194" s="10" t="s">
        <v>561</v>
      </c>
      <c r="D194" s="11">
        <v>42430.620138888888</v>
      </c>
      <c r="E194" s="10" t="s">
        <v>383</v>
      </c>
    </row>
    <row r="195" spans="1:5">
      <c r="A195" s="11">
        <v>42430</v>
      </c>
      <c r="B195" s="10" t="s">
        <v>562</v>
      </c>
      <c r="C195" s="10" t="s">
        <v>563</v>
      </c>
      <c r="D195" s="11">
        <v>42443.393865740742</v>
      </c>
      <c r="E195" s="10" t="s">
        <v>178</v>
      </c>
    </row>
    <row r="196" spans="1:5">
      <c r="A196" s="11">
        <v>42430</v>
      </c>
      <c r="B196" s="10" t="s">
        <v>564</v>
      </c>
      <c r="C196" s="10" t="s">
        <v>565</v>
      </c>
      <c r="D196" s="11">
        <v>42441.657777777778</v>
      </c>
      <c r="E196" s="10" t="s">
        <v>218</v>
      </c>
    </row>
    <row r="197" spans="1:5">
      <c r="A197" s="11">
        <v>42430</v>
      </c>
      <c r="B197" s="10" t="s">
        <v>566</v>
      </c>
      <c r="C197" s="10" t="s">
        <v>567</v>
      </c>
      <c r="D197" s="11">
        <v>42443.499618055554</v>
      </c>
      <c r="E197" s="10" t="s">
        <v>108</v>
      </c>
    </row>
    <row r="198" spans="1:5">
      <c r="A198" s="11">
        <v>42430</v>
      </c>
      <c r="B198" s="10" t="s">
        <v>568</v>
      </c>
      <c r="C198" s="10" t="s">
        <v>569</v>
      </c>
      <c r="D198" s="11">
        <v>42443.425740740742</v>
      </c>
      <c r="E198" s="10" t="s">
        <v>193</v>
      </c>
    </row>
    <row r="199" spans="1:5">
      <c r="A199" s="11">
        <v>42430</v>
      </c>
      <c r="B199" s="10" t="s">
        <v>570</v>
      </c>
      <c r="C199" s="10" t="s">
        <v>571</v>
      </c>
      <c r="D199" s="11">
        <v>42441.573506944442</v>
      </c>
      <c r="E199" s="10" t="s">
        <v>209</v>
      </c>
    </row>
    <row r="200" spans="1:5">
      <c r="A200" s="11">
        <v>42430</v>
      </c>
      <c r="B200" s="10" t="s">
        <v>572</v>
      </c>
      <c r="C200" s="10" t="s">
        <v>573</v>
      </c>
      <c r="D200" s="11">
        <v>42443.468344907407</v>
      </c>
      <c r="E200" s="10" t="s">
        <v>152</v>
      </c>
    </row>
    <row r="201" spans="1:5">
      <c r="A201" s="11">
        <v>42431</v>
      </c>
      <c r="B201" s="10" t="s">
        <v>574</v>
      </c>
      <c r="C201" s="10" t="s">
        <v>575</v>
      </c>
      <c r="D201" s="11">
        <v>42443.413530092592</v>
      </c>
      <c r="E201" s="10" t="s">
        <v>380</v>
      </c>
    </row>
    <row r="202" spans="1:5">
      <c r="A202" s="11">
        <v>42431</v>
      </c>
      <c r="B202" s="10" t="s">
        <v>576</v>
      </c>
      <c r="C202" s="10" t="s">
        <v>577</v>
      </c>
      <c r="D202" s="11">
        <v>42443.41128472222</v>
      </c>
      <c r="E202" s="10" t="s">
        <v>221</v>
      </c>
    </row>
    <row r="203" spans="1:5">
      <c r="A203" s="11">
        <v>42431</v>
      </c>
      <c r="B203" s="10" t="s">
        <v>578</v>
      </c>
      <c r="C203" s="10" t="s">
        <v>579</v>
      </c>
      <c r="D203" s="11">
        <v>42437.401331018518</v>
      </c>
      <c r="E203" s="10" t="s">
        <v>218</v>
      </c>
    </row>
    <row r="204" spans="1:5" ht="21.6">
      <c r="A204" s="11">
        <v>42431</v>
      </c>
      <c r="B204" s="10" t="s">
        <v>580</v>
      </c>
      <c r="C204" s="10" t="s">
        <v>581</v>
      </c>
      <c r="D204" s="11">
        <v>42442.939733796295</v>
      </c>
      <c r="E204" s="10" t="s">
        <v>582</v>
      </c>
    </row>
    <row r="205" spans="1:5">
      <c r="A205" s="11">
        <v>42431</v>
      </c>
      <c r="B205" s="10" t="s">
        <v>583</v>
      </c>
      <c r="C205" s="10" t="s">
        <v>584</v>
      </c>
      <c r="D205" s="11">
        <v>42442.65697916667</v>
      </c>
      <c r="E205" s="10" t="s">
        <v>302</v>
      </c>
    </row>
    <row r="206" spans="1:5">
      <c r="A206" s="11">
        <v>42431</v>
      </c>
      <c r="B206" s="10" t="s">
        <v>585</v>
      </c>
      <c r="C206" s="10" t="s">
        <v>586</v>
      </c>
      <c r="D206" s="11">
        <v>42431.717986111114</v>
      </c>
      <c r="E206" s="10" t="s">
        <v>380</v>
      </c>
    </row>
    <row r="207" spans="1:5">
      <c r="A207" s="11">
        <v>42431</v>
      </c>
      <c r="B207" s="10" t="s">
        <v>587</v>
      </c>
      <c r="C207" s="10" t="s">
        <v>588</v>
      </c>
      <c r="D207" s="11">
        <v>42443.497812499998</v>
      </c>
      <c r="E207" s="10" t="s">
        <v>122</v>
      </c>
    </row>
    <row r="208" spans="1:5">
      <c r="A208" s="11">
        <v>42431</v>
      </c>
      <c r="B208" s="10" t="s">
        <v>589</v>
      </c>
      <c r="C208" s="10" t="s">
        <v>590</v>
      </c>
      <c r="D208" s="11">
        <v>42440.436076388891</v>
      </c>
      <c r="E208" s="10" t="s">
        <v>479</v>
      </c>
    </row>
    <row r="209" spans="1:5">
      <c r="A209" s="11">
        <v>42431</v>
      </c>
      <c r="B209" s="10" t="s">
        <v>591</v>
      </c>
      <c r="C209" s="10" t="s">
        <v>592</v>
      </c>
      <c r="D209" s="11">
        <v>42443.484814814816</v>
      </c>
      <c r="E209" s="10" t="s">
        <v>240</v>
      </c>
    </row>
    <row r="210" spans="1:5">
      <c r="A210" s="11">
        <v>42431</v>
      </c>
      <c r="B210" s="10" t="s">
        <v>593</v>
      </c>
      <c r="C210" s="10" t="s">
        <v>594</v>
      </c>
      <c r="D210" s="11">
        <v>42443.426249999997</v>
      </c>
      <c r="E210" s="10" t="s">
        <v>433</v>
      </c>
    </row>
    <row r="211" spans="1:5" ht="21.6">
      <c r="A211" s="11">
        <v>42432</v>
      </c>
      <c r="B211" s="10" t="s">
        <v>595</v>
      </c>
      <c r="C211" s="10" t="s">
        <v>596</v>
      </c>
      <c r="D211" s="11">
        <v>42442.30877314815</v>
      </c>
      <c r="E211" s="10" t="s">
        <v>597</v>
      </c>
    </row>
    <row r="212" spans="1:5" ht="21.6">
      <c r="A212" s="11">
        <v>42432</v>
      </c>
      <c r="B212" s="10" t="s">
        <v>598</v>
      </c>
      <c r="C212" s="10" t="s">
        <v>599</v>
      </c>
      <c r="D212" s="11">
        <v>42443.482175925928</v>
      </c>
      <c r="E212" s="10" t="s">
        <v>102</v>
      </c>
    </row>
    <row r="213" spans="1:5">
      <c r="A213" s="11">
        <v>42432</v>
      </c>
      <c r="B213" s="10" t="s">
        <v>600</v>
      </c>
      <c r="C213" s="10" t="s">
        <v>601</v>
      </c>
      <c r="D213" s="11">
        <v>42443.458831018521</v>
      </c>
      <c r="E213" s="10" t="s">
        <v>108</v>
      </c>
    </row>
    <row r="214" spans="1:5">
      <c r="A214" s="11">
        <v>42432</v>
      </c>
      <c r="B214" s="10" t="s">
        <v>602</v>
      </c>
      <c r="C214" s="10" t="s">
        <v>603</v>
      </c>
      <c r="D214" s="11">
        <v>42443.473599537036</v>
      </c>
      <c r="E214" s="10" t="s">
        <v>335</v>
      </c>
    </row>
    <row r="215" spans="1:5">
      <c r="A215" s="11">
        <v>42432</v>
      </c>
      <c r="B215" s="10" t="s">
        <v>604</v>
      </c>
      <c r="C215" s="10" t="s">
        <v>605</v>
      </c>
      <c r="D215" s="11">
        <v>42438.887731481482</v>
      </c>
      <c r="E215" s="10" t="s">
        <v>221</v>
      </c>
    </row>
    <row r="216" spans="1:5">
      <c r="A216" s="11">
        <v>42432</v>
      </c>
      <c r="B216" s="10" t="s">
        <v>606</v>
      </c>
      <c r="C216" s="10" t="s">
        <v>607</v>
      </c>
      <c r="D216" s="11">
        <v>42443.481469907405</v>
      </c>
      <c r="E216" s="10" t="s">
        <v>608</v>
      </c>
    </row>
    <row r="217" spans="1:5" ht="21.6">
      <c r="A217" s="11">
        <v>42432</v>
      </c>
      <c r="B217" s="10" t="s">
        <v>609</v>
      </c>
      <c r="C217" s="10" t="s">
        <v>610</v>
      </c>
      <c r="D217" s="11">
        <v>42439.750439814816</v>
      </c>
      <c r="E217" s="10" t="s">
        <v>149</v>
      </c>
    </row>
    <row r="218" spans="1:5" ht="21.6">
      <c r="A218" s="11">
        <v>42432</v>
      </c>
      <c r="B218" s="10" t="s">
        <v>611</v>
      </c>
      <c r="C218" s="10" t="s">
        <v>612</v>
      </c>
      <c r="D218" s="11">
        <v>42443.425613425927</v>
      </c>
      <c r="E218" s="10" t="s">
        <v>613</v>
      </c>
    </row>
    <row r="219" spans="1:5" ht="21.6">
      <c r="A219" s="11">
        <v>42432</v>
      </c>
      <c r="B219" s="10" t="s">
        <v>614</v>
      </c>
      <c r="C219" s="10" t="s">
        <v>615</v>
      </c>
      <c r="D219" s="11">
        <v>42443.418645833335</v>
      </c>
      <c r="E219" s="10" t="s">
        <v>548</v>
      </c>
    </row>
    <row r="220" spans="1:5">
      <c r="A220" s="11">
        <v>42432</v>
      </c>
      <c r="B220" s="10" t="s">
        <v>616</v>
      </c>
      <c r="C220" s="10" t="s">
        <v>617</v>
      </c>
      <c r="D220" s="11">
        <v>42443.497650462959</v>
      </c>
      <c r="E220" s="10" t="s">
        <v>108</v>
      </c>
    </row>
    <row r="221" spans="1:5">
      <c r="A221" s="11">
        <v>42432</v>
      </c>
      <c r="B221" s="10" t="s">
        <v>618</v>
      </c>
      <c r="C221" s="10" t="s">
        <v>619</v>
      </c>
      <c r="D221" s="11">
        <v>42440.647152777776</v>
      </c>
      <c r="E221" s="10" t="s">
        <v>620</v>
      </c>
    </row>
    <row r="222" spans="1:5">
      <c r="A222" s="11">
        <v>42432</v>
      </c>
      <c r="B222" s="10" t="s">
        <v>621</v>
      </c>
      <c r="C222" s="10" t="s">
        <v>622</v>
      </c>
      <c r="D222" s="11">
        <v>42442.833634259259</v>
      </c>
      <c r="E222" s="10" t="s">
        <v>292</v>
      </c>
    </row>
    <row r="223" spans="1:5">
      <c r="A223" s="11">
        <v>42432</v>
      </c>
      <c r="B223" s="10" t="s">
        <v>623</v>
      </c>
      <c r="C223" s="10" t="s">
        <v>624</v>
      </c>
      <c r="D223" s="11">
        <v>42779.711875000001</v>
      </c>
      <c r="E223" s="10" t="s">
        <v>625</v>
      </c>
    </row>
    <row r="224" spans="1:5" ht="21.6">
      <c r="A224" s="11">
        <v>42433</v>
      </c>
      <c r="B224" s="10" t="s">
        <v>626</v>
      </c>
      <c r="C224" s="10" t="s">
        <v>627</v>
      </c>
      <c r="D224" s="11">
        <v>42442.686909722222</v>
      </c>
      <c r="E224" s="10" t="s">
        <v>548</v>
      </c>
    </row>
    <row r="225" spans="1:5">
      <c r="A225" s="11">
        <v>42433</v>
      </c>
      <c r="B225" s="10" t="s">
        <v>628</v>
      </c>
      <c r="C225" s="10" t="s">
        <v>629</v>
      </c>
      <c r="D225" s="11">
        <v>42442.776770833334</v>
      </c>
      <c r="E225" s="10" t="s">
        <v>178</v>
      </c>
    </row>
    <row r="226" spans="1:5">
      <c r="A226" s="11">
        <v>42433</v>
      </c>
      <c r="B226" s="10" t="s">
        <v>630</v>
      </c>
      <c r="C226" s="10" t="s">
        <v>631</v>
      </c>
      <c r="D226" s="11">
        <v>42443.501863425925</v>
      </c>
      <c r="E226" s="10" t="s">
        <v>178</v>
      </c>
    </row>
    <row r="227" spans="1:5">
      <c r="A227" s="11">
        <v>42433</v>
      </c>
      <c r="B227" s="10" t="s">
        <v>632</v>
      </c>
      <c r="C227" s="10" t="s">
        <v>633</v>
      </c>
      <c r="D227" s="11">
        <v>42433.459687499999</v>
      </c>
      <c r="E227" s="10" t="s">
        <v>634</v>
      </c>
    </row>
    <row r="228" spans="1:5">
      <c r="A228" s="11">
        <v>42433</v>
      </c>
      <c r="B228" s="10" t="s">
        <v>635</v>
      </c>
      <c r="C228" s="10" t="s">
        <v>636</v>
      </c>
      <c r="D228" s="11">
        <v>42443.447418981479</v>
      </c>
      <c r="E228" s="10" t="s">
        <v>178</v>
      </c>
    </row>
    <row r="229" spans="1:5">
      <c r="A229" s="11">
        <v>42433</v>
      </c>
      <c r="B229" s="10" t="s">
        <v>637</v>
      </c>
      <c r="C229" s="10" t="s">
        <v>638</v>
      </c>
      <c r="D229" s="11">
        <v>42433.499513888892</v>
      </c>
      <c r="E229" s="10" t="s">
        <v>178</v>
      </c>
    </row>
    <row r="230" spans="1:5">
      <c r="A230" s="11">
        <v>42433</v>
      </c>
      <c r="B230" s="10" t="s">
        <v>639</v>
      </c>
      <c r="C230" s="10" t="s">
        <v>640</v>
      </c>
      <c r="D230" s="11">
        <v>42442.929571759261</v>
      </c>
      <c r="E230" s="10" t="s">
        <v>178</v>
      </c>
    </row>
    <row r="231" spans="1:5">
      <c r="A231" s="11">
        <v>42433</v>
      </c>
      <c r="B231" s="10" t="s">
        <v>641</v>
      </c>
      <c r="C231" s="10" t="s">
        <v>642</v>
      </c>
      <c r="D231" s="11">
        <v>42443.48951388889</v>
      </c>
      <c r="E231" s="10" t="s">
        <v>218</v>
      </c>
    </row>
    <row r="232" spans="1:5">
      <c r="A232" s="11">
        <v>42433</v>
      </c>
      <c r="B232" s="10" t="s">
        <v>643</v>
      </c>
      <c r="C232" s="10" t="s">
        <v>644</v>
      </c>
      <c r="D232" s="11">
        <v>42443.451956018522</v>
      </c>
      <c r="E232" s="10" t="s">
        <v>353</v>
      </c>
    </row>
    <row r="233" spans="1:5" ht="21.6">
      <c r="A233" s="11">
        <v>42433</v>
      </c>
      <c r="B233" s="10" t="s">
        <v>645</v>
      </c>
      <c r="C233" s="10" t="s">
        <v>646</v>
      </c>
      <c r="D233" s="11">
        <v>42441.547638888886</v>
      </c>
      <c r="E233" s="10" t="s">
        <v>226</v>
      </c>
    </row>
    <row r="234" spans="1:5">
      <c r="A234" s="11">
        <v>42433</v>
      </c>
      <c r="B234" s="10" t="s">
        <v>647</v>
      </c>
      <c r="C234" s="10" t="s">
        <v>648</v>
      </c>
      <c r="D234" s="11">
        <v>42443.368680555555</v>
      </c>
      <c r="E234" s="10" t="s">
        <v>209</v>
      </c>
    </row>
    <row r="235" spans="1:5">
      <c r="A235" s="11">
        <v>42433</v>
      </c>
      <c r="B235" s="10" t="s">
        <v>649</v>
      </c>
      <c r="C235" s="10" t="s">
        <v>650</v>
      </c>
      <c r="D235" s="11">
        <v>42433.865613425929</v>
      </c>
      <c r="E235" s="10" t="s">
        <v>209</v>
      </c>
    </row>
    <row r="236" spans="1:5">
      <c r="A236" s="11">
        <v>42433</v>
      </c>
      <c r="B236" s="10" t="s">
        <v>651</v>
      </c>
      <c r="C236" s="10" t="s">
        <v>652</v>
      </c>
      <c r="D236" s="11">
        <v>42443.468182870369</v>
      </c>
      <c r="E236" s="10" t="s">
        <v>653</v>
      </c>
    </row>
    <row r="237" spans="1:5">
      <c r="A237" s="11">
        <v>42433</v>
      </c>
      <c r="B237" s="10" t="s">
        <v>654</v>
      </c>
      <c r="C237" s="10" t="s">
        <v>655</v>
      </c>
      <c r="D237" s="11">
        <v>42443.457280092596</v>
      </c>
      <c r="E237" s="10" t="s">
        <v>656</v>
      </c>
    </row>
    <row r="238" spans="1:5">
      <c r="A238" s="11">
        <v>42433</v>
      </c>
      <c r="B238" s="10" t="s">
        <v>657</v>
      </c>
      <c r="C238" s="10" t="s">
        <v>658</v>
      </c>
      <c r="D238" s="11">
        <v>42443.374618055554</v>
      </c>
      <c r="E238" s="10" t="s">
        <v>178</v>
      </c>
    </row>
    <row r="239" spans="1:5" ht="21.6">
      <c r="A239" s="11">
        <v>42433</v>
      </c>
      <c r="B239" s="10" t="s">
        <v>659</v>
      </c>
      <c r="C239" s="10" t="s">
        <v>660</v>
      </c>
      <c r="D239" s="11">
        <v>42443.152928240743</v>
      </c>
      <c r="E239" s="10" t="s">
        <v>661</v>
      </c>
    </row>
    <row r="240" spans="1:5" ht="21.6">
      <c r="A240" s="11">
        <v>42433</v>
      </c>
      <c r="B240" s="10" t="s">
        <v>662</v>
      </c>
      <c r="C240" s="10" t="s">
        <v>663</v>
      </c>
      <c r="D240" s="11">
        <v>42433.990115740744</v>
      </c>
      <c r="E240" s="10" t="s">
        <v>257</v>
      </c>
    </row>
    <row r="241" spans="1:5">
      <c r="A241" s="11">
        <v>42434</v>
      </c>
      <c r="B241" s="10" t="s">
        <v>664</v>
      </c>
      <c r="C241" s="10" t="s">
        <v>665</v>
      </c>
      <c r="D241" s="11">
        <v>42443.366053240738</v>
      </c>
      <c r="E241" s="10" t="s">
        <v>240</v>
      </c>
    </row>
    <row r="242" spans="1:5">
      <c r="A242" s="11">
        <v>42434</v>
      </c>
      <c r="B242" s="10" t="s">
        <v>666</v>
      </c>
      <c r="C242" s="10" t="s">
        <v>667</v>
      </c>
      <c r="D242" s="11">
        <v>42442.719849537039</v>
      </c>
      <c r="E242" s="10" t="s">
        <v>302</v>
      </c>
    </row>
    <row r="243" spans="1:5">
      <c r="A243" s="11">
        <v>42434</v>
      </c>
      <c r="B243" s="10" t="s">
        <v>668</v>
      </c>
      <c r="C243" s="10" t="s">
        <v>669</v>
      </c>
      <c r="D243" s="11">
        <v>42434.782152777778</v>
      </c>
      <c r="E243" s="10" t="s">
        <v>670</v>
      </c>
    </row>
    <row r="244" spans="1:5">
      <c r="A244" s="11">
        <v>42434</v>
      </c>
      <c r="B244" s="10" t="s">
        <v>671</v>
      </c>
      <c r="C244" s="10" t="s">
        <v>672</v>
      </c>
      <c r="D244" s="11">
        <v>42437.674629629626</v>
      </c>
      <c r="E244" s="10" t="s">
        <v>209</v>
      </c>
    </row>
    <row r="245" spans="1:5">
      <c r="A245" s="11">
        <v>42434</v>
      </c>
      <c r="B245" s="10" t="s">
        <v>673</v>
      </c>
      <c r="C245" s="10" t="s">
        <v>674</v>
      </c>
      <c r="D245" s="11">
        <v>42442.777685185189</v>
      </c>
      <c r="E245" s="10" t="s">
        <v>353</v>
      </c>
    </row>
    <row r="246" spans="1:5">
      <c r="A246" s="11">
        <v>42434</v>
      </c>
      <c r="B246" s="10" t="s">
        <v>675</v>
      </c>
      <c r="C246" s="10" t="s">
        <v>676</v>
      </c>
      <c r="D246" s="11">
        <v>42442.506712962961</v>
      </c>
      <c r="E246" s="10" t="s">
        <v>117</v>
      </c>
    </row>
    <row r="247" spans="1:5">
      <c r="A247" s="11">
        <v>42434</v>
      </c>
      <c r="B247" s="10" t="s">
        <v>677</v>
      </c>
      <c r="C247" s="10" t="s">
        <v>678</v>
      </c>
      <c r="D247" s="11">
        <v>42443.469224537039</v>
      </c>
      <c r="E247" s="10" t="s">
        <v>178</v>
      </c>
    </row>
    <row r="248" spans="1:5">
      <c r="A248" s="11">
        <v>42434</v>
      </c>
      <c r="B248" s="10" t="s">
        <v>679</v>
      </c>
      <c r="C248" s="10" t="s">
        <v>680</v>
      </c>
      <c r="D248" s="11">
        <v>42442.758333333331</v>
      </c>
      <c r="E248" s="10" t="s">
        <v>232</v>
      </c>
    </row>
    <row r="249" spans="1:5">
      <c r="A249" s="11">
        <v>42435</v>
      </c>
      <c r="B249" s="10" t="s">
        <v>681</v>
      </c>
      <c r="C249" s="10" t="s">
        <v>682</v>
      </c>
      <c r="D249" s="11">
        <v>42435.292650462965</v>
      </c>
      <c r="E249" s="10" t="s">
        <v>683</v>
      </c>
    </row>
    <row r="250" spans="1:5">
      <c r="A250" s="11">
        <v>42435</v>
      </c>
      <c r="B250" s="10" t="s">
        <v>684</v>
      </c>
      <c r="C250" s="10" t="s">
        <v>685</v>
      </c>
      <c r="D250" s="11">
        <v>42442.90552083333</v>
      </c>
      <c r="E250" s="10" t="s">
        <v>96</v>
      </c>
    </row>
    <row r="251" spans="1:5">
      <c r="A251" s="11">
        <v>42435</v>
      </c>
      <c r="B251" s="10" t="s">
        <v>686</v>
      </c>
      <c r="C251" s="10" t="s">
        <v>687</v>
      </c>
      <c r="D251" s="11">
        <v>42777.636446759258</v>
      </c>
      <c r="E251" s="10" t="s">
        <v>209</v>
      </c>
    </row>
    <row r="252" spans="1:5">
      <c r="A252" s="11">
        <v>42435</v>
      </c>
      <c r="B252" s="10" t="s">
        <v>688</v>
      </c>
      <c r="C252" s="10" t="s">
        <v>689</v>
      </c>
      <c r="D252" s="11">
        <v>42443.487291666665</v>
      </c>
      <c r="E252" s="10" t="s">
        <v>209</v>
      </c>
    </row>
    <row r="253" spans="1:5">
      <c r="A253" s="11">
        <v>42435</v>
      </c>
      <c r="B253" s="10" t="s">
        <v>690</v>
      </c>
      <c r="C253" s="10" t="s">
        <v>691</v>
      </c>
      <c r="D253" s="11">
        <v>42442.424050925925</v>
      </c>
      <c r="E253" s="10" t="s">
        <v>155</v>
      </c>
    </row>
    <row r="254" spans="1:5">
      <c r="A254" s="11">
        <v>42435</v>
      </c>
      <c r="B254" s="10" t="s">
        <v>692</v>
      </c>
      <c r="C254" s="10" t="s">
        <v>693</v>
      </c>
      <c r="D254" s="11">
        <v>42442.542858796296</v>
      </c>
      <c r="E254" s="10" t="s">
        <v>96</v>
      </c>
    </row>
    <row r="255" spans="1:5" ht="21.6">
      <c r="A255" s="11">
        <v>42435</v>
      </c>
      <c r="B255" s="10" t="s">
        <v>694</v>
      </c>
      <c r="C255" s="10" t="s">
        <v>695</v>
      </c>
      <c r="D255" s="11">
        <v>42443.418240740742</v>
      </c>
      <c r="E255" s="10" t="s">
        <v>171</v>
      </c>
    </row>
    <row r="256" spans="1:5" ht="21.6">
      <c r="A256" s="11">
        <v>42435</v>
      </c>
      <c r="B256" s="10" t="s">
        <v>696</v>
      </c>
      <c r="C256" s="10" t="s">
        <v>697</v>
      </c>
      <c r="D256" s="11">
        <v>42436.700370370374</v>
      </c>
      <c r="E256" s="10" t="s">
        <v>165</v>
      </c>
    </row>
    <row r="257" spans="1:5">
      <c r="A257" s="11">
        <v>42435</v>
      </c>
      <c r="B257" s="10" t="s">
        <v>698</v>
      </c>
      <c r="C257" s="10" t="s">
        <v>699</v>
      </c>
      <c r="D257" s="11">
        <v>42443.472233796296</v>
      </c>
      <c r="E257" s="10" t="s">
        <v>155</v>
      </c>
    </row>
    <row r="258" spans="1:5" ht="21.6">
      <c r="A258" s="11">
        <v>42435</v>
      </c>
      <c r="B258" s="10" t="s">
        <v>700</v>
      </c>
      <c r="C258" s="10" t="s">
        <v>701</v>
      </c>
      <c r="D258" s="11">
        <v>42442.505474537036</v>
      </c>
      <c r="E258" s="10" t="s">
        <v>133</v>
      </c>
    </row>
    <row r="259" spans="1:5">
      <c r="A259" s="11">
        <v>42435</v>
      </c>
      <c r="B259" s="10" t="s">
        <v>702</v>
      </c>
      <c r="C259" s="10" t="s">
        <v>703</v>
      </c>
      <c r="D259" s="11">
        <v>42443.326736111114</v>
      </c>
      <c r="E259" s="10" t="s">
        <v>704</v>
      </c>
    </row>
    <row r="260" spans="1:5">
      <c r="A260" s="11">
        <v>42435</v>
      </c>
      <c r="B260" s="10" t="s">
        <v>705</v>
      </c>
      <c r="C260" s="10" t="s">
        <v>706</v>
      </c>
      <c r="D260" s="11">
        <v>42440.459120370368</v>
      </c>
      <c r="E260" s="10" t="s">
        <v>707</v>
      </c>
    </row>
    <row r="261" spans="1:5">
      <c r="A261" s="11">
        <v>42435</v>
      </c>
      <c r="B261" s="10" t="s">
        <v>708</v>
      </c>
      <c r="C261" s="10" t="s">
        <v>709</v>
      </c>
      <c r="D261" s="11">
        <v>42443.501284722224</v>
      </c>
      <c r="E261" s="10" t="s">
        <v>302</v>
      </c>
    </row>
    <row r="262" spans="1:5">
      <c r="A262" s="11">
        <v>42435</v>
      </c>
      <c r="B262" s="10" t="s">
        <v>710</v>
      </c>
      <c r="C262" s="10" t="s">
        <v>711</v>
      </c>
      <c r="D262" s="11">
        <v>42443.469930555555</v>
      </c>
      <c r="E262" s="10" t="s">
        <v>155</v>
      </c>
    </row>
    <row r="263" spans="1:5">
      <c r="A263" s="11">
        <v>42435</v>
      </c>
      <c r="B263" s="10" t="s">
        <v>712</v>
      </c>
      <c r="C263" s="10" t="s">
        <v>713</v>
      </c>
      <c r="D263" s="11">
        <v>42438.623229166667</v>
      </c>
      <c r="E263" s="10" t="s">
        <v>373</v>
      </c>
    </row>
    <row r="264" spans="1:5">
      <c r="A264" s="11">
        <v>42435</v>
      </c>
      <c r="B264" s="10" t="s">
        <v>714</v>
      </c>
      <c r="C264" s="10" t="s">
        <v>715</v>
      </c>
      <c r="D264" s="11">
        <v>42443.477106481485</v>
      </c>
      <c r="E264" s="10" t="s">
        <v>117</v>
      </c>
    </row>
    <row r="265" spans="1:5">
      <c r="A265" s="11">
        <v>42436</v>
      </c>
      <c r="B265" s="10" t="s">
        <v>716</v>
      </c>
      <c r="C265" s="10" t="s">
        <v>717</v>
      </c>
      <c r="D265" s="11">
        <v>42443.47215277778</v>
      </c>
      <c r="E265" s="10" t="s">
        <v>193</v>
      </c>
    </row>
    <row r="266" spans="1:5">
      <c r="A266" s="11">
        <v>42436</v>
      </c>
      <c r="B266" s="10" t="s">
        <v>718</v>
      </c>
      <c r="C266" s="10" t="s">
        <v>719</v>
      </c>
      <c r="D266" s="11">
        <v>42443.179571759261</v>
      </c>
      <c r="E266" s="10" t="s">
        <v>96</v>
      </c>
    </row>
    <row r="267" spans="1:5">
      <c r="A267" s="11">
        <v>42436</v>
      </c>
      <c r="B267" s="10" t="s">
        <v>720</v>
      </c>
      <c r="C267" s="10" t="s">
        <v>721</v>
      </c>
      <c r="D267" s="11">
        <v>42443.499583333331</v>
      </c>
      <c r="E267" s="10" t="s">
        <v>155</v>
      </c>
    </row>
    <row r="268" spans="1:5">
      <c r="A268" s="11">
        <v>42436</v>
      </c>
      <c r="B268" s="10" t="s">
        <v>722</v>
      </c>
      <c r="C268" s="10" t="s">
        <v>723</v>
      </c>
      <c r="D268" s="11">
        <v>42440.429016203707</v>
      </c>
      <c r="E268" s="10" t="s">
        <v>209</v>
      </c>
    </row>
    <row r="269" spans="1:5">
      <c r="A269" s="11">
        <v>42436</v>
      </c>
      <c r="B269" s="10" t="s">
        <v>724</v>
      </c>
      <c r="C269" s="10" t="s">
        <v>725</v>
      </c>
      <c r="D269" s="11">
        <v>42443.476469907408</v>
      </c>
      <c r="E269" s="10" t="s">
        <v>122</v>
      </c>
    </row>
    <row r="270" spans="1:5">
      <c r="A270" s="11">
        <v>42436</v>
      </c>
      <c r="B270" s="10" t="s">
        <v>726</v>
      </c>
      <c r="C270" s="10" t="s">
        <v>727</v>
      </c>
      <c r="D270" s="11">
        <v>42439.727719907409</v>
      </c>
      <c r="E270" s="10" t="s">
        <v>218</v>
      </c>
    </row>
    <row r="271" spans="1:5">
      <c r="A271" s="11">
        <v>42436</v>
      </c>
      <c r="B271" s="10" t="s">
        <v>728</v>
      </c>
      <c r="C271" s="10" t="s">
        <v>729</v>
      </c>
      <c r="D271" s="11">
        <v>42440.664143518516</v>
      </c>
      <c r="E271" s="10" t="s">
        <v>206</v>
      </c>
    </row>
    <row r="272" spans="1:5" ht="21.6">
      <c r="A272" s="11">
        <v>42436</v>
      </c>
      <c r="B272" s="10" t="s">
        <v>730</v>
      </c>
      <c r="C272" s="10" t="s">
        <v>731</v>
      </c>
      <c r="D272" s="11">
        <v>42443.442430555559</v>
      </c>
      <c r="E272" s="10" t="s">
        <v>149</v>
      </c>
    </row>
    <row r="273" spans="1:5">
      <c r="A273" s="11">
        <v>42436</v>
      </c>
      <c r="B273" s="10" t="s">
        <v>732</v>
      </c>
      <c r="C273" s="10" t="s">
        <v>733</v>
      </c>
      <c r="D273" s="11">
        <v>42442.492986111109</v>
      </c>
      <c r="E273" s="10" t="s">
        <v>335</v>
      </c>
    </row>
    <row r="274" spans="1:5">
      <c r="A274" s="11">
        <v>42436</v>
      </c>
      <c r="B274" s="10" t="s">
        <v>734</v>
      </c>
      <c r="C274" s="10" t="s">
        <v>735</v>
      </c>
      <c r="D274" s="11">
        <v>42436.593356481484</v>
      </c>
      <c r="E274" s="10" t="s">
        <v>736</v>
      </c>
    </row>
    <row r="275" spans="1:5">
      <c r="A275" s="11">
        <v>42436</v>
      </c>
      <c r="B275" s="10" t="s">
        <v>737</v>
      </c>
      <c r="C275" s="10" t="s">
        <v>738</v>
      </c>
      <c r="D275" s="11">
        <v>42436.602650462963</v>
      </c>
      <c r="E275" s="10" t="s">
        <v>373</v>
      </c>
    </row>
    <row r="276" spans="1:5" ht="21.6">
      <c r="A276" s="11">
        <v>42436</v>
      </c>
      <c r="B276" s="10" t="s">
        <v>739</v>
      </c>
      <c r="C276" s="10" t="s">
        <v>740</v>
      </c>
      <c r="D276" s="11">
        <v>42442.880787037036</v>
      </c>
      <c r="E276" s="10" t="s">
        <v>741</v>
      </c>
    </row>
    <row r="277" spans="1:5" ht="21.6">
      <c r="A277" s="11">
        <v>42436</v>
      </c>
      <c r="B277" s="10" t="s">
        <v>742</v>
      </c>
      <c r="C277" s="10" t="s">
        <v>743</v>
      </c>
      <c r="D277" s="11">
        <v>42440.381597222222</v>
      </c>
      <c r="E277" s="10" t="s">
        <v>548</v>
      </c>
    </row>
    <row r="278" spans="1:5" ht="21.6">
      <c r="A278" s="11">
        <v>42436</v>
      </c>
      <c r="B278" s="10" t="s">
        <v>744</v>
      </c>
      <c r="C278" s="10" t="s">
        <v>745</v>
      </c>
      <c r="D278" s="11">
        <v>42437.304907407408</v>
      </c>
      <c r="E278" s="10" t="s">
        <v>499</v>
      </c>
    </row>
    <row r="279" spans="1:5">
      <c r="A279" s="11">
        <v>42436</v>
      </c>
      <c r="B279" s="10" t="s">
        <v>746</v>
      </c>
      <c r="C279" s="10" t="s">
        <v>747</v>
      </c>
      <c r="D279" s="11">
        <v>42443.463067129633</v>
      </c>
      <c r="E279" s="10" t="s">
        <v>440</v>
      </c>
    </row>
    <row r="280" spans="1:5">
      <c r="A280" s="11">
        <v>42436</v>
      </c>
      <c r="B280" s="10" t="s">
        <v>748</v>
      </c>
      <c r="C280" s="10" t="s">
        <v>749</v>
      </c>
      <c r="D280" s="11">
        <v>42442.628888888888</v>
      </c>
      <c r="E280" s="10" t="s">
        <v>440</v>
      </c>
    </row>
    <row r="281" spans="1:5">
      <c r="A281" s="11">
        <v>42436</v>
      </c>
      <c r="B281" s="10" t="s">
        <v>750</v>
      </c>
      <c r="C281" s="10" t="s">
        <v>751</v>
      </c>
      <c r="D281" s="11">
        <v>42443.420648148145</v>
      </c>
      <c r="E281" s="10" t="s">
        <v>335</v>
      </c>
    </row>
    <row r="282" spans="1:5">
      <c r="A282" s="11">
        <v>42436</v>
      </c>
      <c r="B282" s="10" t="s">
        <v>752</v>
      </c>
      <c r="C282" s="10" t="s">
        <v>753</v>
      </c>
      <c r="D282" s="11">
        <v>42439.826273148145</v>
      </c>
      <c r="E282" s="10" t="s">
        <v>373</v>
      </c>
    </row>
    <row r="283" spans="1:5">
      <c r="A283" s="11">
        <v>42436</v>
      </c>
      <c r="B283" s="10" t="s">
        <v>754</v>
      </c>
      <c r="C283" s="10" t="s">
        <v>755</v>
      </c>
      <c r="D283" s="11">
        <v>42443.394108796296</v>
      </c>
      <c r="E283" s="10" t="s">
        <v>155</v>
      </c>
    </row>
    <row r="284" spans="1:5">
      <c r="A284" s="11">
        <v>42436</v>
      </c>
      <c r="B284" s="10" t="s">
        <v>756</v>
      </c>
      <c r="C284" s="10" t="s">
        <v>757</v>
      </c>
      <c r="D284" s="11">
        <v>42440.544652777775</v>
      </c>
      <c r="E284" s="10" t="s">
        <v>292</v>
      </c>
    </row>
    <row r="285" spans="1:5">
      <c r="A285" s="11">
        <v>42436</v>
      </c>
      <c r="B285" s="10" t="s">
        <v>758</v>
      </c>
      <c r="C285" s="10" t="s">
        <v>759</v>
      </c>
      <c r="D285" s="11">
        <v>42436.829525462963</v>
      </c>
      <c r="E285" s="10" t="s">
        <v>760</v>
      </c>
    </row>
    <row r="286" spans="1:5">
      <c r="A286" s="11">
        <v>42436</v>
      </c>
      <c r="B286" s="10" t="s">
        <v>761</v>
      </c>
      <c r="C286" s="10" t="s">
        <v>762</v>
      </c>
      <c r="D286" s="11">
        <v>42443.496342592596</v>
      </c>
      <c r="E286" s="10" t="s">
        <v>99</v>
      </c>
    </row>
    <row r="287" spans="1:5">
      <c r="A287" s="11">
        <v>42436</v>
      </c>
      <c r="B287" s="10" t="s">
        <v>763</v>
      </c>
      <c r="C287" s="10" t="s">
        <v>764</v>
      </c>
      <c r="D287" s="11">
        <v>42781.841805555552</v>
      </c>
      <c r="E287" s="10" t="s">
        <v>108</v>
      </c>
    </row>
    <row r="288" spans="1:5" ht="21.6">
      <c r="A288" s="11">
        <v>42437</v>
      </c>
      <c r="B288" s="10" t="s">
        <v>765</v>
      </c>
      <c r="C288" s="10" t="s">
        <v>766</v>
      </c>
      <c r="D288" s="11">
        <v>42442.857361111113</v>
      </c>
      <c r="E288" s="10" t="s">
        <v>548</v>
      </c>
    </row>
    <row r="289" spans="1:5">
      <c r="A289" s="11">
        <v>42437</v>
      </c>
      <c r="B289" s="10" t="s">
        <v>767</v>
      </c>
      <c r="C289" s="10" t="s">
        <v>768</v>
      </c>
      <c r="D289" s="11">
        <v>42438.610960648148</v>
      </c>
      <c r="E289" s="10" t="s">
        <v>353</v>
      </c>
    </row>
    <row r="290" spans="1:5">
      <c r="A290" s="11">
        <v>42437</v>
      </c>
      <c r="B290" s="10" t="s">
        <v>769</v>
      </c>
      <c r="C290" s="10" t="s">
        <v>770</v>
      </c>
      <c r="D290" s="11">
        <v>42437.411817129629</v>
      </c>
      <c r="E290" s="10" t="s">
        <v>373</v>
      </c>
    </row>
    <row r="291" spans="1:5">
      <c r="A291" s="11">
        <v>42437</v>
      </c>
      <c r="B291" s="10" t="s">
        <v>771</v>
      </c>
      <c r="C291" s="10" t="s">
        <v>772</v>
      </c>
      <c r="D291" s="11">
        <v>42442.714756944442</v>
      </c>
      <c r="E291" s="10" t="s">
        <v>96</v>
      </c>
    </row>
    <row r="292" spans="1:5">
      <c r="A292" s="11">
        <v>42437</v>
      </c>
      <c r="B292" s="10" t="s">
        <v>773</v>
      </c>
      <c r="C292" s="10" t="s">
        <v>774</v>
      </c>
      <c r="D292" s="11">
        <v>42442.66574074074</v>
      </c>
      <c r="E292" s="10" t="s">
        <v>122</v>
      </c>
    </row>
    <row r="293" spans="1:5">
      <c r="A293" s="11">
        <v>42437</v>
      </c>
      <c r="B293" s="10" t="s">
        <v>775</v>
      </c>
      <c r="C293" s="10" t="s">
        <v>776</v>
      </c>
      <c r="D293" s="11">
        <v>42443.457395833335</v>
      </c>
      <c r="E293" s="10" t="s">
        <v>320</v>
      </c>
    </row>
    <row r="294" spans="1:5" ht="21.6">
      <c r="A294" s="11">
        <v>42437</v>
      </c>
      <c r="B294" s="10" t="s">
        <v>777</v>
      </c>
      <c r="C294" s="10" t="s">
        <v>778</v>
      </c>
      <c r="D294" s="11">
        <v>42437.505509259259</v>
      </c>
      <c r="E294" s="10" t="s">
        <v>779</v>
      </c>
    </row>
    <row r="295" spans="1:5">
      <c r="A295" s="11">
        <v>42437</v>
      </c>
      <c r="B295" s="10" t="s">
        <v>780</v>
      </c>
      <c r="C295" s="10" t="s">
        <v>781</v>
      </c>
      <c r="D295" s="11">
        <v>42443.465821759259</v>
      </c>
      <c r="E295" s="10" t="s">
        <v>190</v>
      </c>
    </row>
    <row r="296" spans="1:5">
      <c r="A296" s="11">
        <v>42437</v>
      </c>
      <c r="B296" s="10" t="s">
        <v>782</v>
      </c>
      <c r="C296" s="10" t="s">
        <v>783</v>
      </c>
      <c r="D296" s="11">
        <v>42443.394629629627</v>
      </c>
      <c r="E296" s="10" t="s">
        <v>99</v>
      </c>
    </row>
    <row r="297" spans="1:5">
      <c r="A297" s="11">
        <v>42437</v>
      </c>
      <c r="B297" s="10" t="s">
        <v>784</v>
      </c>
      <c r="C297" s="10" t="s">
        <v>785</v>
      </c>
      <c r="D297" s="11">
        <v>42437.583356481482</v>
      </c>
      <c r="E297" s="10" t="s">
        <v>108</v>
      </c>
    </row>
    <row r="298" spans="1:5">
      <c r="A298" s="11">
        <v>42437</v>
      </c>
      <c r="B298" s="10" t="s">
        <v>786</v>
      </c>
      <c r="C298" s="10" t="s">
        <v>787</v>
      </c>
      <c r="D298" s="11">
        <v>42440.757384259261</v>
      </c>
      <c r="E298" s="10" t="s">
        <v>240</v>
      </c>
    </row>
    <row r="299" spans="1:5" ht="21.6">
      <c r="A299" s="11">
        <v>42437</v>
      </c>
      <c r="B299" s="10" t="s">
        <v>788</v>
      </c>
      <c r="C299" s="10" t="s">
        <v>789</v>
      </c>
      <c r="D299" s="11">
        <v>42441.421481481484</v>
      </c>
      <c r="E299" s="10" t="s">
        <v>149</v>
      </c>
    </row>
    <row r="300" spans="1:5">
      <c r="A300" s="11">
        <v>42437</v>
      </c>
      <c r="B300" s="10" t="s">
        <v>790</v>
      </c>
      <c r="C300" s="10" t="s">
        <v>791</v>
      </c>
      <c r="D300" s="11">
        <v>42437.707499999997</v>
      </c>
      <c r="E300" s="10" t="s">
        <v>373</v>
      </c>
    </row>
    <row r="301" spans="1:5">
      <c r="A301" s="11">
        <v>42437</v>
      </c>
      <c r="B301" s="10" t="s">
        <v>792</v>
      </c>
      <c r="C301" s="10" t="s">
        <v>793</v>
      </c>
      <c r="D301" s="11">
        <v>42443.4372337963</v>
      </c>
      <c r="E301" s="10" t="s">
        <v>206</v>
      </c>
    </row>
    <row r="302" spans="1:5" ht="21.6">
      <c r="A302" s="11">
        <v>42437</v>
      </c>
      <c r="B302" s="10" t="s">
        <v>794</v>
      </c>
      <c r="C302" s="10" t="s">
        <v>795</v>
      </c>
      <c r="D302" s="11">
        <v>42437.788437499999</v>
      </c>
      <c r="E302" s="10" t="s">
        <v>661</v>
      </c>
    </row>
    <row r="303" spans="1:5" ht="21.6">
      <c r="A303" s="11">
        <v>42437</v>
      </c>
      <c r="B303" s="10" t="s">
        <v>796</v>
      </c>
      <c r="C303" s="10" t="s">
        <v>797</v>
      </c>
      <c r="D303" s="11">
        <v>42438.84134259259</v>
      </c>
      <c r="E303" s="10" t="s">
        <v>661</v>
      </c>
    </row>
    <row r="304" spans="1:5" ht="21.6">
      <c r="A304" s="11">
        <v>42437</v>
      </c>
      <c r="B304" s="10" t="s">
        <v>798</v>
      </c>
      <c r="C304" s="10" t="s">
        <v>799</v>
      </c>
      <c r="D304" s="11">
        <v>42437.832337962966</v>
      </c>
      <c r="E304" s="10" t="s">
        <v>149</v>
      </c>
    </row>
    <row r="305" spans="1:5">
      <c r="A305" s="11">
        <v>42437</v>
      </c>
      <c r="B305" s="10" t="s">
        <v>800</v>
      </c>
      <c r="C305" s="10" t="s">
        <v>801</v>
      </c>
      <c r="D305" s="11">
        <v>42437.867662037039</v>
      </c>
      <c r="E305" s="10" t="s">
        <v>212</v>
      </c>
    </row>
    <row r="306" spans="1:5">
      <c r="A306" s="11">
        <v>42437</v>
      </c>
      <c r="B306" s="10" t="s">
        <v>802</v>
      </c>
      <c r="C306" s="10" t="s">
        <v>803</v>
      </c>
      <c r="D306" s="11">
        <v>42437.899675925924</v>
      </c>
      <c r="E306" s="10" t="s">
        <v>152</v>
      </c>
    </row>
    <row r="307" spans="1:5">
      <c r="A307" s="11">
        <v>42438</v>
      </c>
      <c r="B307" s="10" t="s">
        <v>804</v>
      </c>
      <c r="C307" s="10" t="s">
        <v>805</v>
      </c>
      <c r="D307" s="11">
        <v>42443.480891203704</v>
      </c>
      <c r="E307" s="10" t="s">
        <v>656</v>
      </c>
    </row>
    <row r="308" spans="1:5">
      <c r="A308" s="11">
        <v>42438</v>
      </c>
      <c r="B308" s="10" t="s">
        <v>806</v>
      </c>
      <c r="C308" s="10" t="s">
        <v>807</v>
      </c>
      <c r="D308" s="11">
        <v>42443.398136574076</v>
      </c>
      <c r="E308" s="10" t="s">
        <v>465</v>
      </c>
    </row>
    <row r="309" spans="1:5" ht="21.6">
      <c r="A309" s="11">
        <v>42438</v>
      </c>
      <c r="B309" s="10" t="s">
        <v>808</v>
      </c>
      <c r="C309" s="10" t="s">
        <v>809</v>
      </c>
      <c r="D309" s="11">
        <v>42443.375775462962</v>
      </c>
      <c r="E309" s="10" t="s">
        <v>165</v>
      </c>
    </row>
    <row r="310" spans="1:5">
      <c r="A310" s="11">
        <v>42438</v>
      </c>
      <c r="B310" s="10" t="s">
        <v>810</v>
      </c>
      <c r="C310" s="10" t="s">
        <v>811</v>
      </c>
      <c r="D310" s="11">
        <v>42440.997094907405</v>
      </c>
      <c r="E310" s="10" t="s">
        <v>152</v>
      </c>
    </row>
    <row r="311" spans="1:5">
      <c r="A311" s="11">
        <v>42438</v>
      </c>
      <c r="B311" s="10" t="s">
        <v>812</v>
      </c>
      <c r="C311" s="10" t="s">
        <v>813</v>
      </c>
      <c r="D311" s="11">
        <v>42438.374756944446</v>
      </c>
      <c r="E311" s="10" t="s">
        <v>99</v>
      </c>
    </row>
    <row r="312" spans="1:5">
      <c r="A312" s="11">
        <v>42438</v>
      </c>
      <c r="B312" s="10" t="s">
        <v>814</v>
      </c>
      <c r="C312" s="10" t="s">
        <v>815</v>
      </c>
      <c r="D312" s="11">
        <v>42438.378067129626</v>
      </c>
      <c r="E312" s="10" t="s">
        <v>373</v>
      </c>
    </row>
    <row r="313" spans="1:5">
      <c r="A313" s="11">
        <v>42438</v>
      </c>
      <c r="B313" s="10" t="s">
        <v>816</v>
      </c>
      <c r="C313" s="10" t="s">
        <v>817</v>
      </c>
      <c r="D313" s="11">
        <v>42443.463402777779</v>
      </c>
      <c r="E313" s="10" t="s">
        <v>656</v>
      </c>
    </row>
    <row r="314" spans="1:5">
      <c r="A314" s="11">
        <v>42438</v>
      </c>
      <c r="B314" s="10" t="s">
        <v>818</v>
      </c>
      <c r="C314" s="10" t="s">
        <v>819</v>
      </c>
      <c r="D314" s="11">
        <v>42443.372164351851</v>
      </c>
      <c r="E314" s="10" t="s">
        <v>414</v>
      </c>
    </row>
    <row r="315" spans="1:5">
      <c r="A315" s="11">
        <v>42438</v>
      </c>
      <c r="B315" s="10" t="s">
        <v>820</v>
      </c>
      <c r="C315" s="10" t="s">
        <v>821</v>
      </c>
      <c r="D315" s="11">
        <v>42438.408043981479</v>
      </c>
      <c r="E315" s="10" t="s">
        <v>209</v>
      </c>
    </row>
    <row r="316" spans="1:5">
      <c r="A316" s="11">
        <v>42438</v>
      </c>
      <c r="B316" s="10" t="s">
        <v>822</v>
      </c>
      <c r="C316" s="10" t="s">
        <v>823</v>
      </c>
      <c r="D316" s="11">
        <v>42438.442777777775</v>
      </c>
      <c r="E316" s="10" t="s">
        <v>178</v>
      </c>
    </row>
    <row r="317" spans="1:5">
      <c r="A317" s="11">
        <v>42438</v>
      </c>
      <c r="B317" s="10" t="s">
        <v>824</v>
      </c>
      <c r="C317" s="10" t="s">
        <v>825</v>
      </c>
      <c r="D317" s="11">
        <v>42442.575983796298</v>
      </c>
      <c r="E317" s="10" t="s">
        <v>707</v>
      </c>
    </row>
    <row r="318" spans="1:5">
      <c r="A318" s="11">
        <v>42438</v>
      </c>
      <c r="B318" s="10" t="s">
        <v>826</v>
      </c>
      <c r="C318" s="10" t="s">
        <v>827</v>
      </c>
      <c r="D318" s="11">
        <v>42443.414976851855</v>
      </c>
      <c r="E318" s="10" t="s">
        <v>305</v>
      </c>
    </row>
    <row r="319" spans="1:5" ht="21.6">
      <c r="A319" s="11">
        <v>42438</v>
      </c>
      <c r="B319" s="10" t="s">
        <v>828</v>
      </c>
      <c r="C319" s="10" t="s">
        <v>829</v>
      </c>
      <c r="D319" s="11">
        <v>42440.601782407408</v>
      </c>
      <c r="E319" s="10" t="s">
        <v>830</v>
      </c>
    </row>
    <row r="320" spans="1:5">
      <c r="A320" s="11">
        <v>42438</v>
      </c>
      <c r="B320" s="10" t="s">
        <v>831</v>
      </c>
      <c r="C320" s="10" t="s">
        <v>832</v>
      </c>
      <c r="D320" s="11">
        <v>42438.521111111113</v>
      </c>
      <c r="E320" s="10" t="s">
        <v>433</v>
      </c>
    </row>
    <row r="321" spans="1:5" ht="21.6">
      <c r="A321" s="11">
        <v>42438</v>
      </c>
      <c r="B321" s="10" t="s">
        <v>833</v>
      </c>
      <c r="C321" s="10" t="s">
        <v>834</v>
      </c>
      <c r="D321" s="11">
        <v>42438.596805555557</v>
      </c>
      <c r="E321" s="10" t="s">
        <v>835</v>
      </c>
    </row>
    <row r="322" spans="1:5">
      <c r="A322" s="11">
        <v>42438</v>
      </c>
      <c r="B322" s="10" t="s">
        <v>836</v>
      </c>
      <c r="C322" s="10" t="s">
        <v>837</v>
      </c>
      <c r="D322" s="11">
        <v>42438.699282407404</v>
      </c>
      <c r="E322" s="10" t="s">
        <v>411</v>
      </c>
    </row>
    <row r="323" spans="1:5">
      <c r="A323" s="11">
        <v>42438</v>
      </c>
      <c r="B323" s="10" t="s">
        <v>838</v>
      </c>
      <c r="C323" s="10" t="s">
        <v>839</v>
      </c>
      <c r="D323" s="11">
        <v>42438.619791666664</v>
      </c>
      <c r="E323" s="10" t="s">
        <v>178</v>
      </c>
    </row>
    <row r="324" spans="1:5" ht="21.6">
      <c r="A324" s="11">
        <v>42438</v>
      </c>
      <c r="B324" s="10" t="s">
        <v>840</v>
      </c>
      <c r="C324" s="10" t="s">
        <v>841</v>
      </c>
      <c r="D324" s="11">
        <v>42442.631064814814</v>
      </c>
      <c r="E324" s="10" t="s">
        <v>548</v>
      </c>
    </row>
    <row r="325" spans="1:5">
      <c r="A325" s="11">
        <v>42438</v>
      </c>
      <c r="B325" s="10" t="s">
        <v>842</v>
      </c>
      <c r="C325" s="10" t="s">
        <v>843</v>
      </c>
      <c r="D325" s="11">
        <v>42443.497777777775</v>
      </c>
      <c r="E325" s="10" t="s">
        <v>380</v>
      </c>
    </row>
    <row r="326" spans="1:5" ht="21.6">
      <c r="A326" s="11">
        <v>42438</v>
      </c>
      <c r="B326" s="10" t="s">
        <v>844</v>
      </c>
      <c r="C326" s="10" t="s">
        <v>845</v>
      </c>
      <c r="D326" s="11">
        <v>42443.385891203703</v>
      </c>
      <c r="E326" s="10" t="s">
        <v>846</v>
      </c>
    </row>
    <row r="327" spans="1:5">
      <c r="A327" s="11">
        <v>42438</v>
      </c>
      <c r="B327" s="10" t="s">
        <v>847</v>
      </c>
      <c r="C327" s="10" t="s">
        <v>848</v>
      </c>
      <c r="D327" s="11">
        <v>42438.693020833336</v>
      </c>
      <c r="E327" s="10" t="s">
        <v>380</v>
      </c>
    </row>
    <row r="328" spans="1:5">
      <c r="A328" s="11">
        <v>42438</v>
      </c>
      <c r="B328" s="10" t="s">
        <v>849</v>
      </c>
      <c r="C328" s="10" t="s">
        <v>850</v>
      </c>
      <c r="D328" s="11">
        <v>42442.644155092596</v>
      </c>
      <c r="E328" s="10" t="s">
        <v>373</v>
      </c>
    </row>
    <row r="329" spans="1:5" ht="21.6">
      <c r="A329" s="11">
        <v>42438</v>
      </c>
      <c r="B329" s="10" t="s">
        <v>851</v>
      </c>
      <c r="C329" s="10" t="s">
        <v>852</v>
      </c>
      <c r="D329" s="11">
        <v>42442.453518518516</v>
      </c>
      <c r="E329" s="10" t="s">
        <v>165</v>
      </c>
    </row>
    <row r="330" spans="1:5">
      <c r="A330" s="11">
        <v>42438</v>
      </c>
      <c r="B330" s="10" t="s">
        <v>853</v>
      </c>
      <c r="C330" s="10" t="s">
        <v>854</v>
      </c>
      <c r="D330" s="11">
        <v>42440.407083333332</v>
      </c>
      <c r="E330" s="10" t="s">
        <v>108</v>
      </c>
    </row>
    <row r="331" spans="1:5">
      <c r="A331" s="11">
        <v>42438</v>
      </c>
      <c r="B331" s="10" t="s">
        <v>855</v>
      </c>
      <c r="C331" s="10" t="s">
        <v>856</v>
      </c>
      <c r="D331" s="11">
        <v>42438.819895833331</v>
      </c>
      <c r="E331" s="10" t="s">
        <v>373</v>
      </c>
    </row>
    <row r="332" spans="1:5">
      <c r="A332" s="11">
        <v>42438</v>
      </c>
      <c r="B332" s="10" t="s">
        <v>857</v>
      </c>
      <c r="C332" s="10" t="s">
        <v>858</v>
      </c>
      <c r="D332" s="11">
        <v>42438.826273148145</v>
      </c>
      <c r="E332" s="10" t="s">
        <v>859</v>
      </c>
    </row>
    <row r="333" spans="1:5">
      <c r="A333" s="11">
        <v>42438</v>
      </c>
      <c r="B333" s="10" t="s">
        <v>860</v>
      </c>
      <c r="C333" s="10" t="s">
        <v>861</v>
      </c>
      <c r="D333" s="11">
        <v>42443.494212962964</v>
      </c>
      <c r="E333" s="10" t="s">
        <v>206</v>
      </c>
    </row>
    <row r="334" spans="1:5">
      <c r="A334" s="11">
        <v>42438</v>
      </c>
      <c r="B334" s="10" t="s">
        <v>862</v>
      </c>
      <c r="C334" s="10" t="s">
        <v>863</v>
      </c>
      <c r="D334" s="11">
        <v>42438.885601851849</v>
      </c>
      <c r="E334" s="10" t="s">
        <v>864</v>
      </c>
    </row>
    <row r="335" spans="1:5">
      <c r="A335" s="11">
        <v>42439</v>
      </c>
      <c r="B335" s="10" t="s">
        <v>865</v>
      </c>
      <c r="C335" s="10" t="s">
        <v>866</v>
      </c>
      <c r="D335" s="11">
        <v>42443.38386574074</v>
      </c>
      <c r="E335" s="10" t="s">
        <v>383</v>
      </c>
    </row>
    <row r="336" spans="1:5">
      <c r="A336" s="11">
        <v>42439</v>
      </c>
      <c r="B336" s="10" t="s">
        <v>867</v>
      </c>
      <c r="C336" s="10" t="s">
        <v>868</v>
      </c>
      <c r="D336" s="11">
        <v>42439.30909722222</v>
      </c>
      <c r="E336" s="10" t="s">
        <v>335</v>
      </c>
    </row>
    <row r="337" spans="1:5">
      <c r="A337" s="11">
        <v>42439</v>
      </c>
      <c r="B337" s="10" t="s">
        <v>869</v>
      </c>
      <c r="C337" s="10" t="s">
        <v>870</v>
      </c>
      <c r="D337" s="11">
        <v>42439.384594907409</v>
      </c>
      <c r="E337" s="10" t="s">
        <v>707</v>
      </c>
    </row>
    <row r="338" spans="1:5">
      <c r="A338" s="11">
        <v>42439</v>
      </c>
      <c r="B338" s="10" t="s">
        <v>871</v>
      </c>
      <c r="C338" s="10" t="s">
        <v>872</v>
      </c>
      <c r="D338" s="11">
        <v>42440.504270833335</v>
      </c>
      <c r="E338" s="10" t="s">
        <v>218</v>
      </c>
    </row>
    <row r="339" spans="1:5">
      <c r="A339" s="11">
        <v>42439</v>
      </c>
      <c r="B339" s="10" t="s">
        <v>873</v>
      </c>
      <c r="C339" s="10" t="s">
        <v>874</v>
      </c>
      <c r="D339" s="11">
        <v>42442.708287037036</v>
      </c>
      <c r="E339" s="10" t="s">
        <v>380</v>
      </c>
    </row>
    <row r="340" spans="1:5">
      <c r="A340" s="11">
        <v>42439</v>
      </c>
      <c r="B340" s="10" t="s">
        <v>875</v>
      </c>
      <c r="C340" s="10" t="s">
        <v>876</v>
      </c>
      <c r="D340" s="11">
        <v>42439.404293981483</v>
      </c>
      <c r="E340" s="10" t="s">
        <v>859</v>
      </c>
    </row>
    <row r="341" spans="1:5">
      <c r="A341" s="11">
        <v>42439</v>
      </c>
      <c r="B341" s="10" t="s">
        <v>877</v>
      </c>
      <c r="C341" s="10" t="s">
        <v>878</v>
      </c>
      <c r="D341" s="11">
        <v>42443.454768518517</v>
      </c>
      <c r="E341" s="10" t="s">
        <v>707</v>
      </c>
    </row>
    <row r="342" spans="1:5">
      <c r="A342" s="11">
        <v>42439</v>
      </c>
      <c r="B342" s="10" t="s">
        <v>879</v>
      </c>
      <c r="C342" s="10" t="s">
        <v>880</v>
      </c>
      <c r="D342" s="11">
        <v>42439.458634259259</v>
      </c>
      <c r="E342" s="10" t="s">
        <v>99</v>
      </c>
    </row>
    <row r="343" spans="1:5" ht="21.6">
      <c r="A343" s="11">
        <v>42439</v>
      </c>
      <c r="B343" s="10" t="s">
        <v>881</v>
      </c>
      <c r="C343" s="10" t="s">
        <v>882</v>
      </c>
      <c r="D343" s="11">
        <v>42439.453784722224</v>
      </c>
      <c r="E343" s="10" t="s">
        <v>165</v>
      </c>
    </row>
    <row r="344" spans="1:5" ht="21.6">
      <c r="A344" s="11">
        <v>42439</v>
      </c>
      <c r="B344" s="10" t="s">
        <v>883</v>
      </c>
      <c r="C344" s="10" t="s">
        <v>884</v>
      </c>
      <c r="D344" s="11">
        <v>42443.433321759258</v>
      </c>
      <c r="E344" s="10" t="s">
        <v>171</v>
      </c>
    </row>
    <row r="345" spans="1:5" ht="21.6">
      <c r="A345" s="11">
        <v>42439</v>
      </c>
      <c r="B345" s="10" t="s">
        <v>885</v>
      </c>
      <c r="C345" s="10" t="s">
        <v>886</v>
      </c>
      <c r="D345" s="11">
        <v>42443.473680555559</v>
      </c>
      <c r="E345" s="10" t="s">
        <v>257</v>
      </c>
    </row>
    <row r="346" spans="1:5">
      <c r="A346" s="11">
        <v>42439</v>
      </c>
      <c r="B346" s="10" t="s">
        <v>887</v>
      </c>
      <c r="C346" s="10" t="s">
        <v>888</v>
      </c>
      <c r="D346" s="11">
        <v>42442.680960648147</v>
      </c>
      <c r="E346" s="10" t="s">
        <v>889</v>
      </c>
    </row>
    <row r="347" spans="1:5">
      <c r="A347" s="11">
        <v>42439</v>
      </c>
      <c r="B347" s="10" t="s">
        <v>890</v>
      </c>
      <c r="C347" s="10" t="s">
        <v>891</v>
      </c>
      <c r="D347" s="11">
        <v>42439.683483796296</v>
      </c>
      <c r="E347" s="10" t="s">
        <v>178</v>
      </c>
    </row>
    <row r="348" spans="1:5">
      <c r="A348" s="11">
        <v>42439</v>
      </c>
      <c r="B348" s="10" t="s">
        <v>892</v>
      </c>
      <c r="C348" s="10" t="s">
        <v>893</v>
      </c>
      <c r="D348" s="11">
        <v>42443.421817129631</v>
      </c>
      <c r="E348" s="10" t="s">
        <v>414</v>
      </c>
    </row>
    <row r="349" spans="1:5">
      <c r="A349" s="11">
        <v>42439</v>
      </c>
      <c r="B349" s="10" t="s">
        <v>894</v>
      </c>
      <c r="C349" s="10" t="s">
        <v>895</v>
      </c>
      <c r="D349" s="11">
        <v>42440.822557870371</v>
      </c>
      <c r="E349" s="10" t="s">
        <v>152</v>
      </c>
    </row>
    <row r="350" spans="1:5">
      <c r="A350" s="11">
        <v>42439</v>
      </c>
      <c r="B350" s="10" t="s">
        <v>896</v>
      </c>
      <c r="C350" s="10" t="s">
        <v>897</v>
      </c>
      <c r="D350" s="11">
        <v>42443.495787037034</v>
      </c>
      <c r="E350" s="10" t="s">
        <v>305</v>
      </c>
    </row>
    <row r="351" spans="1:5">
      <c r="A351" s="11">
        <v>42439</v>
      </c>
      <c r="B351" s="10" t="s">
        <v>898</v>
      </c>
      <c r="C351" s="10" t="s">
        <v>899</v>
      </c>
      <c r="D351" s="11">
        <v>42440.843275462961</v>
      </c>
      <c r="E351" s="10" t="s">
        <v>472</v>
      </c>
    </row>
    <row r="352" spans="1:5">
      <c r="A352" s="11">
        <v>42439</v>
      </c>
      <c r="B352" s="10" t="s">
        <v>900</v>
      </c>
      <c r="C352" s="10" t="s">
        <v>901</v>
      </c>
      <c r="D352" s="11">
        <v>42442.758090277777</v>
      </c>
      <c r="E352" s="10" t="s">
        <v>902</v>
      </c>
    </row>
    <row r="353" spans="1:5" ht="21.6">
      <c r="A353" s="11">
        <v>42439</v>
      </c>
      <c r="B353" s="10" t="s">
        <v>903</v>
      </c>
      <c r="C353" s="10" t="s">
        <v>904</v>
      </c>
      <c r="D353" s="11">
        <v>42442.517511574071</v>
      </c>
      <c r="E353" s="10" t="s">
        <v>133</v>
      </c>
    </row>
    <row r="354" spans="1:5">
      <c r="A354" s="11">
        <v>42439</v>
      </c>
      <c r="B354" s="10" t="s">
        <v>905</v>
      </c>
      <c r="C354" s="10" t="s">
        <v>906</v>
      </c>
      <c r="D354" s="11">
        <v>42439.673773148148</v>
      </c>
      <c r="E354" s="10" t="s">
        <v>907</v>
      </c>
    </row>
    <row r="355" spans="1:5" ht="21.6">
      <c r="A355" s="11">
        <v>42439</v>
      </c>
      <c r="B355" s="10" t="s">
        <v>908</v>
      </c>
      <c r="C355" s="10" t="s">
        <v>909</v>
      </c>
      <c r="D355" s="11">
        <v>42440.706967592596</v>
      </c>
      <c r="E355" s="10" t="s">
        <v>910</v>
      </c>
    </row>
    <row r="356" spans="1:5">
      <c r="A356" s="11">
        <v>42439</v>
      </c>
      <c r="B356" s="10" t="s">
        <v>911</v>
      </c>
      <c r="C356" s="10" t="s">
        <v>912</v>
      </c>
      <c r="D356" s="11">
        <v>42443.373576388891</v>
      </c>
      <c r="E356" s="10" t="s">
        <v>99</v>
      </c>
    </row>
    <row r="357" spans="1:5">
      <c r="A357" s="11">
        <v>42439</v>
      </c>
      <c r="B357" s="10" t="s">
        <v>913</v>
      </c>
      <c r="C357" s="10" t="s">
        <v>914</v>
      </c>
      <c r="D357" s="11">
        <v>42439.692442129628</v>
      </c>
      <c r="E357" s="10" t="s">
        <v>707</v>
      </c>
    </row>
    <row r="358" spans="1:5">
      <c r="A358" s="11">
        <v>42439</v>
      </c>
      <c r="B358" s="10" t="s">
        <v>915</v>
      </c>
      <c r="C358" s="10" t="s">
        <v>916</v>
      </c>
      <c r="D358" s="11">
        <v>42442.645312499997</v>
      </c>
      <c r="E358" s="10" t="s">
        <v>178</v>
      </c>
    </row>
    <row r="359" spans="1:5">
      <c r="A359" s="11">
        <v>42439</v>
      </c>
      <c r="B359" s="10" t="s">
        <v>917</v>
      </c>
      <c r="C359" s="10" t="s">
        <v>918</v>
      </c>
      <c r="D359" s="11">
        <v>42439.691284722219</v>
      </c>
      <c r="E359" s="10" t="s">
        <v>373</v>
      </c>
    </row>
    <row r="360" spans="1:5">
      <c r="A360" s="11">
        <v>42439</v>
      </c>
      <c r="B360" s="10" t="s">
        <v>919</v>
      </c>
      <c r="C360" s="10" t="s">
        <v>920</v>
      </c>
      <c r="D360" s="11">
        <v>42440.440162037034</v>
      </c>
      <c r="E360" s="10" t="s">
        <v>105</v>
      </c>
    </row>
    <row r="361" spans="1:5">
      <c r="A361" s="11">
        <v>42439</v>
      </c>
      <c r="B361" s="10" t="s">
        <v>921</v>
      </c>
      <c r="C361" s="10" t="s">
        <v>922</v>
      </c>
      <c r="D361" s="11">
        <v>42442.933680555558</v>
      </c>
      <c r="E361" s="10" t="s">
        <v>178</v>
      </c>
    </row>
    <row r="362" spans="1:5">
      <c r="A362" s="11">
        <v>42439</v>
      </c>
      <c r="B362" s="10" t="s">
        <v>923</v>
      </c>
      <c r="C362" s="10" t="s">
        <v>924</v>
      </c>
      <c r="D362" s="11">
        <v>42443.421851851854</v>
      </c>
      <c r="E362" s="10" t="s">
        <v>320</v>
      </c>
    </row>
    <row r="363" spans="1:5">
      <c r="A363" s="11">
        <v>42439</v>
      </c>
      <c r="B363" s="10" t="s">
        <v>925</v>
      </c>
      <c r="C363" s="10" t="s">
        <v>926</v>
      </c>
      <c r="D363" s="11">
        <v>42439.747824074075</v>
      </c>
      <c r="E363" s="10" t="s">
        <v>152</v>
      </c>
    </row>
    <row r="364" spans="1:5">
      <c r="A364" s="11">
        <v>42439</v>
      </c>
      <c r="B364" s="10" t="s">
        <v>927</v>
      </c>
      <c r="C364" s="10" t="s">
        <v>928</v>
      </c>
      <c r="D364" s="11">
        <v>42439.747534722221</v>
      </c>
      <c r="E364" s="10" t="s">
        <v>929</v>
      </c>
    </row>
    <row r="365" spans="1:5" ht="21.6">
      <c r="A365" s="11">
        <v>42439</v>
      </c>
      <c r="B365" s="10" t="s">
        <v>930</v>
      </c>
      <c r="C365" s="10" t="s">
        <v>931</v>
      </c>
      <c r="D365" s="11">
        <v>42439.749120370368</v>
      </c>
      <c r="E365" s="10" t="s">
        <v>548</v>
      </c>
    </row>
    <row r="366" spans="1:5">
      <c r="A366" s="11">
        <v>42439</v>
      </c>
      <c r="B366" s="10" t="s">
        <v>932</v>
      </c>
      <c r="C366" s="10" t="s">
        <v>933</v>
      </c>
      <c r="D366" s="11">
        <v>42443.494131944448</v>
      </c>
      <c r="E366" s="10" t="s">
        <v>240</v>
      </c>
    </row>
    <row r="367" spans="1:5" ht="21.6">
      <c r="A367" s="11">
        <v>42439</v>
      </c>
      <c r="B367" s="10" t="s">
        <v>934</v>
      </c>
      <c r="C367" s="10" t="s">
        <v>935</v>
      </c>
      <c r="D367" s="11">
        <v>42439.828865740739</v>
      </c>
      <c r="E367" s="10" t="s">
        <v>133</v>
      </c>
    </row>
    <row r="368" spans="1:5">
      <c r="A368" s="11">
        <v>42439</v>
      </c>
      <c r="B368" s="10" t="s">
        <v>936</v>
      </c>
      <c r="C368" s="10" t="s">
        <v>937</v>
      </c>
      <c r="D368" s="11">
        <v>42443.46166666667</v>
      </c>
      <c r="E368" s="10" t="s">
        <v>209</v>
      </c>
    </row>
    <row r="369" spans="1:5">
      <c r="A369" s="11">
        <v>42439</v>
      </c>
      <c r="B369" s="10" t="s">
        <v>938</v>
      </c>
      <c r="C369" s="10" t="s">
        <v>939</v>
      </c>
      <c r="D369" s="11">
        <v>42439.902881944443</v>
      </c>
      <c r="E369" s="10" t="s">
        <v>414</v>
      </c>
    </row>
    <row r="370" spans="1:5">
      <c r="A370" s="11">
        <v>42439</v>
      </c>
      <c r="B370" s="10" t="s">
        <v>940</v>
      </c>
      <c r="C370" s="10" t="s">
        <v>941</v>
      </c>
      <c r="D370" s="11">
        <v>42440.434664351851</v>
      </c>
      <c r="E370" s="10" t="s">
        <v>178</v>
      </c>
    </row>
    <row r="371" spans="1:5" ht="21.6">
      <c r="A371" s="11">
        <v>42439</v>
      </c>
      <c r="B371" s="10" t="s">
        <v>942</v>
      </c>
      <c r="C371" s="10" t="s">
        <v>943</v>
      </c>
      <c r="D371" s="11">
        <v>42441.937361111108</v>
      </c>
      <c r="E371" s="10" t="s">
        <v>133</v>
      </c>
    </row>
    <row r="372" spans="1:5">
      <c r="A372" s="11">
        <v>42439</v>
      </c>
      <c r="B372" s="10" t="s">
        <v>944</v>
      </c>
      <c r="C372" s="10" t="s">
        <v>945</v>
      </c>
      <c r="D372" s="11">
        <v>42439.959641203706</v>
      </c>
      <c r="E372" s="10" t="s">
        <v>946</v>
      </c>
    </row>
    <row r="373" spans="1:5">
      <c r="A373" s="11">
        <v>42439</v>
      </c>
      <c r="B373" s="10" t="s">
        <v>947</v>
      </c>
      <c r="C373" s="10" t="s">
        <v>948</v>
      </c>
      <c r="D373" s="11">
        <v>42440.899456018517</v>
      </c>
      <c r="E373" s="10" t="s">
        <v>949</v>
      </c>
    </row>
    <row r="374" spans="1:5">
      <c r="A374" s="11">
        <v>42439</v>
      </c>
      <c r="B374" s="10" t="s">
        <v>950</v>
      </c>
      <c r="C374" s="10" t="s">
        <v>951</v>
      </c>
      <c r="D374" s="11">
        <v>42439.990717592591</v>
      </c>
      <c r="E374" s="10" t="s">
        <v>952</v>
      </c>
    </row>
    <row r="375" spans="1:5">
      <c r="A375" s="11">
        <v>42440</v>
      </c>
      <c r="B375" s="10" t="s">
        <v>953</v>
      </c>
      <c r="C375" s="10" t="s">
        <v>954</v>
      </c>
      <c r="D375" s="11">
        <v>42440.038483796299</v>
      </c>
      <c r="E375" s="10" t="s">
        <v>108</v>
      </c>
    </row>
    <row r="376" spans="1:5" ht="21.6">
      <c r="A376" s="11">
        <v>42440</v>
      </c>
      <c r="B376" s="10" t="s">
        <v>955</v>
      </c>
      <c r="C376" s="10" t="s">
        <v>956</v>
      </c>
      <c r="D376" s="11">
        <v>42440.208680555559</v>
      </c>
      <c r="E376" s="10" t="s">
        <v>368</v>
      </c>
    </row>
    <row r="377" spans="1:5" ht="21.6">
      <c r="A377" s="11">
        <v>42440</v>
      </c>
      <c r="B377" s="10" t="s">
        <v>957</v>
      </c>
      <c r="C377" s="10" t="s">
        <v>958</v>
      </c>
      <c r="D377" s="11">
        <v>42440.625173611108</v>
      </c>
      <c r="E377" s="10" t="s">
        <v>133</v>
      </c>
    </row>
    <row r="378" spans="1:5">
      <c r="A378" s="11">
        <v>42440</v>
      </c>
      <c r="B378" s="10" t="s">
        <v>959</v>
      </c>
      <c r="C378" s="10" t="s">
        <v>960</v>
      </c>
      <c r="D378" s="11">
        <v>42442.470937500002</v>
      </c>
      <c r="E378" s="10" t="s">
        <v>961</v>
      </c>
    </row>
    <row r="379" spans="1:5">
      <c r="A379" s="11">
        <v>42440</v>
      </c>
      <c r="B379" s="10" t="s">
        <v>962</v>
      </c>
      <c r="C379" s="10" t="s">
        <v>963</v>
      </c>
      <c r="D379" s="11">
        <v>42440.36378472222</v>
      </c>
      <c r="E379" s="10" t="s">
        <v>373</v>
      </c>
    </row>
    <row r="380" spans="1:5">
      <c r="A380" s="11">
        <v>42440</v>
      </c>
      <c r="B380" s="10" t="s">
        <v>964</v>
      </c>
      <c r="C380" s="10" t="s">
        <v>965</v>
      </c>
      <c r="D380" s="11">
        <v>42440.371099537035</v>
      </c>
      <c r="E380" s="10" t="s">
        <v>966</v>
      </c>
    </row>
    <row r="381" spans="1:5" ht="21.6">
      <c r="A381" s="11">
        <v>42440</v>
      </c>
      <c r="B381" s="10" t="s">
        <v>967</v>
      </c>
      <c r="C381" s="10" t="s">
        <v>968</v>
      </c>
      <c r="D381" s="11">
        <v>42443.446435185186</v>
      </c>
      <c r="E381" s="10" t="s">
        <v>257</v>
      </c>
    </row>
    <row r="382" spans="1:5" ht="21.6">
      <c r="A382" s="11">
        <v>42440</v>
      </c>
      <c r="B382" s="10" t="s">
        <v>969</v>
      </c>
      <c r="C382" s="10" t="s">
        <v>970</v>
      </c>
      <c r="D382" s="11">
        <v>42440.390023148146</v>
      </c>
      <c r="E382" s="10" t="s">
        <v>171</v>
      </c>
    </row>
    <row r="383" spans="1:5" ht="21.6">
      <c r="A383" s="11">
        <v>42440</v>
      </c>
      <c r="B383" s="10" t="s">
        <v>971</v>
      </c>
      <c r="C383" s="10" t="s">
        <v>972</v>
      </c>
      <c r="D383" s="11">
        <v>42440.391689814816</v>
      </c>
      <c r="E383" s="10" t="s">
        <v>102</v>
      </c>
    </row>
    <row r="384" spans="1:5" ht="21.6">
      <c r="A384" s="11">
        <v>42440</v>
      </c>
      <c r="B384" s="10" t="s">
        <v>973</v>
      </c>
      <c r="C384" s="10" t="s">
        <v>974</v>
      </c>
      <c r="D384" s="11">
        <v>42440.410509259258</v>
      </c>
      <c r="E384" s="10" t="s">
        <v>447</v>
      </c>
    </row>
    <row r="385" spans="1:5">
      <c r="A385" s="11">
        <v>42440</v>
      </c>
      <c r="B385" s="10" t="s">
        <v>975</v>
      </c>
      <c r="C385" s="10" t="s">
        <v>976</v>
      </c>
      <c r="D385" s="11">
        <v>42443.405578703707</v>
      </c>
      <c r="E385" s="10" t="s">
        <v>977</v>
      </c>
    </row>
    <row r="386" spans="1:5">
      <c r="A386" s="11">
        <v>42440</v>
      </c>
      <c r="B386" s="10" t="s">
        <v>978</v>
      </c>
      <c r="C386" s="10" t="s">
        <v>979</v>
      </c>
      <c r="D386" s="11">
        <v>42443.460636574076</v>
      </c>
      <c r="E386" s="10" t="s">
        <v>433</v>
      </c>
    </row>
    <row r="387" spans="1:5" ht="21.6">
      <c r="A387" s="11">
        <v>42440</v>
      </c>
      <c r="B387" s="10" t="s">
        <v>980</v>
      </c>
      <c r="C387" s="10" t="s">
        <v>981</v>
      </c>
      <c r="D387" s="11">
        <v>42440.428206018521</v>
      </c>
      <c r="E387" s="10" t="s">
        <v>165</v>
      </c>
    </row>
    <row r="388" spans="1:5">
      <c r="A388" s="11">
        <v>42440</v>
      </c>
      <c r="B388" s="10" t="s">
        <v>982</v>
      </c>
      <c r="C388" s="10" t="s">
        <v>983</v>
      </c>
      <c r="D388" s="11">
        <v>42441.392141203702</v>
      </c>
      <c r="E388" s="10" t="s">
        <v>320</v>
      </c>
    </row>
    <row r="389" spans="1:5" ht="21.6">
      <c r="A389" s="11">
        <v>42440</v>
      </c>
      <c r="B389" s="10" t="s">
        <v>984</v>
      </c>
      <c r="C389" s="10" t="s">
        <v>985</v>
      </c>
      <c r="D389" s="11">
        <v>42443.47457175926</v>
      </c>
      <c r="E389" s="10" t="s">
        <v>368</v>
      </c>
    </row>
    <row r="390" spans="1:5" ht="21.6">
      <c r="A390" s="11">
        <v>42440</v>
      </c>
      <c r="B390" s="10" t="s">
        <v>986</v>
      </c>
      <c r="C390" s="10" t="s">
        <v>987</v>
      </c>
      <c r="D390" s="11">
        <v>42442.810891203706</v>
      </c>
      <c r="E390" s="10" t="s">
        <v>133</v>
      </c>
    </row>
    <row r="391" spans="1:5" ht="21.6">
      <c r="A391" s="11">
        <v>42440</v>
      </c>
      <c r="B391" s="10" t="s">
        <v>988</v>
      </c>
      <c r="C391" s="10" t="s">
        <v>989</v>
      </c>
      <c r="D391" s="11">
        <v>42441.490624999999</v>
      </c>
      <c r="E391" s="10" t="s">
        <v>368</v>
      </c>
    </row>
    <row r="392" spans="1:5" ht="21.6">
      <c r="A392" s="11">
        <v>42440</v>
      </c>
      <c r="B392" s="10" t="s">
        <v>990</v>
      </c>
      <c r="C392" s="10" t="s">
        <v>991</v>
      </c>
      <c r="D392" s="11">
        <v>42443.485497685186</v>
      </c>
      <c r="E392" s="10" t="s">
        <v>582</v>
      </c>
    </row>
    <row r="393" spans="1:5">
      <c r="A393" s="11">
        <v>42440</v>
      </c>
      <c r="B393" s="10" t="s">
        <v>992</v>
      </c>
      <c r="C393" s="10" t="s">
        <v>993</v>
      </c>
      <c r="D393" s="11">
        <v>42440.464097222219</v>
      </c>
      <c r="E393" s="10" t="s">
        <v>373</v>
      </c>
    </row>
    <row r="394" spans="1:5" ht="21.6">
      <c r="A394" s="11">
        <v>42440</v>
      </c>
      <c r="B394" s="10" t="s">
        <v>994</v>
      </c>
      <c r="C394" s="10" t="s">
        <v>995</v>
      </c>
      <c r="D394" s="11">
        <v>42440.489733796298</v>
      </c>
      <c r="E394" s="10" t="s">
        <v>597</v>
      </c>
    </row>
    <row r="395" spans="1:5">
      <c r="A395" s="11">
        <v>42440</v>
      </c>
      <c r="B395" s="10" t="s">
        <v>996</v>
      </c>
      <c r="C395" s="10" t="s">
        <v>997</v>
      </c>
      <c r="D395" s="11">
        <v>42440.914756944447</v>
      </c>
      <c r="E395" s="10" t="s">
        <v>902</v>
      </c>
    </row>
    <row r="396" spans="1:5">
      <c r="A396" s="11">
        <v>42440</v>
      </c>
      <c r="B396" s="10" t="s">
        <v>998</v>
      </c>
      <c r="C396" s="10" t="s">
        <v>999</v>
      </c>
      <c r="D396" s="11">
        <v>42440.508240740739</v>
      </c>
      <c r="E396" s="10" t="s">
        <v>193</v>
      </c>
    </row>
    <row r="397" spans="1:5">
      <c r="A397" s="11">
        <v>42440</v>
      </c>
      <c r="B397" s="10" t="s">
        <v>1000</v>
      </c>
      <c r="C397" s="10" t="s">
        <v>1001</v>
      </c>
      <c r="D397" s="11">
        <v>42442.632326388892</v>
      </c>
      <c r="E397" s="10" t="s">
        <v>152</v>
      </c>
    </row>
    <row r="398" spans="1:5" ht="21.6">
      <c r="A398" s="11">
        <v>42440</v>
      </c>
      <c r="B398" s="10" t="s">
        <v>1002</v>
      </c>
      <c r="C398" s="10" t="s">
        <v>1003</v>
      </c>
      <c r="D398" s="11">
        <v>42440.526331018518</v>
      </c>
      <c r="E398" s="10" t="s">
        <v>1004</v>
      </c>
    </row>
    <row r="399" spans="1:5">
      <c r="A399" s="11">
        <v>42440</v>
      </c>
      <c r="B399" s="10" t="s">
        <v>1005</v>
      </c>
      <c r="C399" s="10" t="s">
        <v>1006</v>
      </c>
      <c r="D399" s="11">
        <v>42440.53502314815</v>
      </c>
      <c r="E399" s="10" t="s">
        <v>335</v>
      </c>
    </row>
    <row r="400" spans="1:5" ht="21.6">
      <c r="A400" s="11">
        <v>42440</v>
      </c>
      <c r="B400" s="10" t="s">
        <v>1007</v>
      </c>
      <c r="C400" s="10" t="s">
        <v>1008</v>
      </c>
      <c r="D400" s="11">
        <v>42443.41064814815</v>
      </c>
      <c r="E400" s="10" t="s">
        <v>368</v>
      </c>
    </row>
    <row r="401" spans="1:5">
      <c r="A401" s="11">
        <v>42440</v>
      </c>
      <c r="B401" s="10" t="s">
        <v>1009</v>
      </c>
      <c r="C401" s="10" t="s">
        <v>1010</v>
      </c>
      <c r="D401" s="11">
        <v>42440.553090277775</v>
      </c>
      <c r="E401" s="10" t="s">
        <v>108</v>
      </c>
    </row>
    <row r="402" spans="1:5">
      <c r="A402" s="11">
        <v>42440</v>
      </c>
      <c r="B402" s="10" t="s">
        <v>1011</v>
      </c>
      <c r="C402" s="10" t="s">
        <v>1012</v>
      </c>
      <c r="D402" s="11">
        <v>42443.474641203706</v>
      </c>
      <c r="E402" s="10" t="s">
        <v>221</v>
      </c>
    </row>
    <row r="403" spans="1:5" ht="21.6">
      <c r="A403" s="11">
        <v>42440</v>
      </c>
      <c r="B403" s="10" t="s">
        <v>1013</v>
      </c>
      <c r="C403" s="10" t="s">
        <v>1014</v>
      </c>
      <c r="D403" s="11">
        <v>42440.765601851854</v>
      </c>
      <c r="E403" s="10" t="s">
        <v>1015</v>
      </c>
    </row>
    <row r="404" spans="1:5" ht="21.6">
      <c r="A404" s="11">
        <v>42440</v>
      </c>
      <c r="B404" s="10" t="s">
        <v>1016</v>
      </c>
      <c r="C404" s="10" t="s">
        <v>1017</v>
      </c>
      <c r="D404" s="11">
        <v>42440.577719907407</v>
      </c>
      <c r="E404" s="10" t="s">
        <v>548</v>
      </c>
    </row>
    <row r="405" spans="1:5" ht="21.6">
      <c r="A405" s="11">
        <v>42440</v>
      </c>
      <c r="B405" s="10" t="s">
        <v>1018</v>
      </c>
      <c r="C405" s="10" t="s">
        <v>1019</v>
      </c>
      <c r="D405" s="11">
        <v>42440.87704861111</v>
      </c>
      <c r="E405" s="10" t="s">
        <v>165</v>
      </c>
    </row>
    <row r="406" spans="1:5" ht="21.6">
      <c r="A406" s="11">
        <v>42440</v>
      </c>
      <c r="B406" s="10" t="s">
        <v>1020</v>
      </c>
      <c r="C406" s="10" t="s">
        <v>1021</v>
      </c>
      <c r="D406" s="11">
        <v>42441.636307870373</v>
      </c>
      <c r="E406" s="10" t="s">
        <v>1022</v>
      </c>
    </row>
    <row r="407" spans="1:5">
      <c r="A407" s="11">
        <v>42440</v>
      </c>
      <c r="B407" s="10" t="s">
        <v>1023</v>
      </c>
      <c r="C407" s="10" t="s">
        <v>1024</v>
      </c>
      <c r="D407" s="11">
        <v>42440.62263888889</v>
      </c>
      <c r="E407" s="10" t="s">
        <v>608</v>
      </c>
    </row>
    <row r="408" spans="1:5" ht="21.6">
      <c r="A408" s="11">
        <v>42440</v>
      </c>
      <c r="B408" s="10" t="s">
        <v>1025</v>
      </c>
      <c r="C408" s="10" t="s">
        <v>1026</v>
      </c>
      <c r="D408" s="11">
        <v>42440.631122685183</v>
      </c>
      <c r="E408" s="10" t="s">
        <v>741</v>
      </c>
    </row>
    <row r="409" spans="1:5" ht="21.6">
      <c r="A409" s="11">
        <v>42440</v>
      </c>
      <c r="B409" s="10" t="s">
        <v>1027</v>
      </c>
      <c r="C409" s="10" t="s">
        <v>1028</v>
      </c>
      <c r="D409" s="11">
        <v>42440.637094907404</v>
      </c>
      <c r="E409" s="10" t="s">
        <v>1029</v>
      </c>
    </row>
    <row r="410" spans="1:5">
      <c r="A410" s="11">
        <v>42440</v>
      </c>
      <c r="B410" s="10" t="s">
        <v>1030</v>
      </c>
      <c r="C410" s="10" t="s">
        <v>1031</v>
      </c>
      <c r="D410" s="11">
        <v>42440.670115740744</v>
      </c>
      <c r="E410" s="10" t="s">
        <v>152</v>
      </c>
    </row>
    <row r="411" spans="1:5" ht="21.6">
      <c r="A411" s="11">
        <v>42440</v>
      </c>
      <c r="B411" s="10" t="s">
        <v>1032</v>
      </c>
      <c r="C411" s="10" t="s">
        <v>1033</v>
      </c>
      <c r="D411" s="11">
        <v>42440.639965277776</v>
      </c>
      <c r="E411" s="10" t="s">
        <v>582</v>
      </c>
    </row>
    <row r="412" spans="1:5">
      <c r="A412" s="11">
        <v>42440</v>
      </c>
      <c r="B412" s="10" t="s">
        <v>1034</v>
      </c>
      <c r="C412" s="10" t="s">
        <v>1035</v>
      </c>
      <c r="D412" s="11">
        <v>42440.640162037038</v>
      </c>
      <c r="E412" s="10" t="s">
        <v>218</v>
      </c>
    </row>
    <row r="413" spans="1:5">
      <c r="A413" s="11">
        <v>42440</v>
      </c>
      <c r="B413" s="10" t="s">
        <v>1036</v>
      </c>
      <c r="C413" s="10" t="s">
        <v>1037</v>
      </c>
      <c r="D413" s="11">
        <v>42440.644560185188</v>
      </c>
      <c r="E413" s="10" t="s">
        <v>206</v>
      </c>
    </row>
    <row r="414" spans="1:5">
      <c r="A414" s="11">
        <v>42440</v>
      </c>
      <c r="B414" s="10" t="s">
        <v>1038</v>
      </c>
      <c r="C414" s="10" t="s">
        <v>1039</v>
      </c>
      <c r="D414" s="11">
        <v>42440.651099537034</v>
      </c>
      <c r="E414" s="10" t="s">
        <v>152</v>
      </c>
    </row>
    <row r="415" spans="1:5">
      <c r="A415" s="11">
        <v>42440</v>
      </c>
      <c r="B415" s="10" t="s">
        <v>1040</v>
      </c>
      <c r="C415" s="10" t="s">
        <v>1041</v>
      </c>
      <c r="D415" s="11">
        <v>42443.437939814816</v>
      </c>
      <c r="E415" s="10" t="s">
        <v>240</v>
      </c>
    </row>
    <row r="416" spans="1:5">
      <c r="A416" s="11">
        <v>42440</v>
      </c>
      <c r="B416" s="10" t="s">
        <v>1042</v>
      </c>
      <c r="C416" s="10" t="s">
        <v>1043</v>
      </c>
      <c r="D416" s="11">
        <v>42443.422511574077</v>
      </c>
      <c r="E416" s="10" t="s">
        <v>178</v>
      </c>
    </row>
    <row r="417" spans="1:5" ht="21.6">
      <c r="A417" s="11">
        <v>42440</v>
      </c>
      <c r="B417" s="10" t="s">
        <v>1044</v>
      </c>
      <c r="C417" s="10" t="s">
        <v>1045</v>
      </c>
      <c r="D417" s="11">
        <v>42440.679548611108</v>
      </c>
      <c r="E417" s="10" t="s">
        <v>1046</v>
      </c>
    </row>
    <row r="418" spans="1:5">
      <c r="A418" s="11">
        <v>42440</v>
      </c>
      <c r="B418" s="10" t="s">
        <v>1047</v>
      </c>
      <c r="C418" s="10" t="s">
        <v>1048</v>
      </c>
      <c r="D418" s="11">
        <v>42443.344224537039</v>
      </c>
      <c r="E418" s="10" t="s">
        <v>152</v>
      </c>
    </row>
    <row r="419" spans="1:5">
      <c r="A419" s="11">
        <v>42440</v>
      </c>
      <c r="B419" s="10" t="s">
        <v>1049</v>
      </c>
      <c r="C419" s="10" t="s">
        <v>1050</v>
      </c>
      <c r="D419" s="11">
        <v>42440.696655092594</v>
      </c>
      <c r="E419" s="10" t="s">
        <v>707</v>
      </c>
    </row>
    <row r="420" spans="1:5" ht="21.6">
      <c r="A420" s="11">
        <v>42440</v>
      </c>
      <c r="B420" s="10" t="s">
        <v>1051</v>
      </c>
      <c r="C420" s="10" t="s">
        <v>1052</v>
      </c>
      <c r="D420" s="11">
        <v>42443.432893518519</v>
      </c>
      <c r="E420" s="10" t="s">
        <v>165</v>
      </c>
    </row>
    <row r="421" spans="1:5">
      <c r="A421" s="11">
        <v>42440</v>
      </c>
      <c r="B421" s="10" t="s">
        <v>1053</v>
      </c>
      <c r="C421" s="10" t="s">
        <v>1054</v>
      </c>
      <c r="D421" s="11">
        <v>42440.734097222223</v>
      </c>
      <c r="E421" s="10" t="s">
        <v>380</v>
      </c>
    </row>
    <row r="422" spans="1:5">
      <c r="A422" s="11">
        <v>42440</v>
      </c>
      <c r="B422" s="10" t="s">
        <v>1055</v>
      </c>
      <c r="C422" s="10" t="s">
        <v>1056</v>
      </c>
      <c r="D422" s="11">
        <v>42440.760729166665</v>
      </c>
      <c r="E422" s="10" t="s">
        <v>736</v>
      </c>
    </row>
    <row r="423" spans="1:5">
      <c r="A423" s="11">
        <v>42440</v>
      </c>
      <c r="B423" s="10" t="s">
        <v>1057</v>
      </c>
      <c r="C423" s="10" t="s">
        <v>1058</v>
      </c>
      <c r="D423" s="11">
        <v>42441.702650462961</v>
      </c>
      <c r="E423" s="10" t="s">
        <v>221</v>
      </c>
    </row>
    <row r="424" spans="1:5">
      <c r="A424" s="11">
        <v>42440</v>
      </c>
      <c r="B424" s="10" t="s">
        <v>1059</v>
      </c>
      <c r="C424" s="10" t="s">
        <v>1060</v>
      </c>
      <c r="D424" s="11">
        <v>42440.742974537039</v>
      </c>
      <c r="E424" s="10" t="s">
        <v>178</v>
      </c>
    </row>
    <row r="425" spans="1:5">
      <c r="A425" s="11">
        <v>42440</v>
      </c>
      <c r="B425" s="10" t="s">
        <v>1061</v>
      </c>
      <c r="C425" s="10" t="s">
        <v>1062</v>
      </c>
      <c r="D425" s="11">
        <v>42440.746458333335</v>
      </c>
      <c r="E425" s="10" t="s">
        <v>218</v>
      </c>
    </row>
    <row r="426" spans="1:5" ht="21.6">
      <c r="A426" s="11">
        <v>42440</v>
      </c>
      <c r="B426" s="10" t="s">
        <v>1063</v>
      </c>
      <c r="C426" s="10" t="s">
        <v>1064</v>
      </c>
      <c r="D426" s="11">
        <v>42440.753194444442</v>
      </c>
      <c r="E426" s="10" t="s">
        <v>171</v>
      </c>
    </row>
    <row r="427" spans="1:5">
      <c r="A427" s="11">
        <v>42440</v>
      </c>
      <c r="B427" s="10" t="s">
        <v>1065</v>
      </c>
      <c r="C427" s="10" t="s">
        <v>1066</v>
      </c>
      <c r="D427" s="11">
        <v>42441.71429398148</v>
      </c>
      <c r="E427" s="10" t="s">
        <v>414</v>
      </c>
    </row>
    <row r="428" spans="1:5" ht="21.6">
      <c r="A428" s="11">
        <v>42440</v>
      </c>
      <c r="B428" s="10" t="s">
        <v>1067</v>
      </c>
      <c r="C428" s="10" t="s">
        <v>1068</v>
      </c>
      <c r="D428" s="11">
        <v>42443.447094907409</v>
      </c>
      <c r="E428" s="10" t="s">
        <v>1069</v>
      </c>
    </row>
    <row r="429" spans="1:5">
      <c r="A429" s="11">
        <v>42440</v>
      </c>
      <c r="B429" s="10" t="s">
        <v>1070</v>
      </c>
      <c r="C429" s="10" t="s">
        <v>1071</v>
      </c>
      <c r="D429" s="11">
        <v>42440.756030092591</v>
      </c>
      <c r="E429" s="10" t="s">
        <v>433</v>
      </c>
    </row>
    <row r="430" spans="1:5">
      <c r="A430" s="11">
        <v>42440</v>
      </c>
      <c r="B430" s="10" t="s">
        <v>1072</v>
      </c>
      <c r="C430" s="10" t="s">
        <v>1073</v>
      </c>
      <c r="D430" s="11">
        <v>42440.757175925923</v>
      </c>
      <c r="E430" s="10" t="s">
        <v>193</v>
      </c>
    </row>
    <row r="431" spans="1:5" ht="21.6">
      <c r="A431" s="11">
        <v>42440</v>
      </c>
      <c r="B431" s="10" t="s">
        <v>1074</v>
      </c>
      <c r="C431" s="10" t="s">
        <v>1075</v>
      </c>
      <c r="D431" s="11">
        <v>42440.769583333335</v>
      </c>
      <c r="E431" s="10" t="s">
        <v>368</v>
      </c>
    </row>
    <row r="432" spans="1:5">
      <c r="A432" s="11">
        <v>42440</v>
      </c>
      <c r="B432" s="10" t="s">
        <v>1076</v>
      </c>
      <c r="C432" s="10" t="s">
        <v>1077</v>
      </c>
      <c r="D432" s="11">
        <v>42440.763310185182</v>
      </c>
      <c r="E432" s="10" t="s">
        <v>108</v>
      </c>
    </row>
    <row r="433" spans="1:5" ht="21.6">
      <c r="A433" s="11">
        <v>42440</v>
      </c>
      <c r="B433" s="10" t="s">
        <v>1078</v>
      </c>
      <c r="C433" s="10" t="s">
        <v>1079</v>
      </c>
      <c r="D433" s="11">
        <v>42441.589687500003</v>
      </c>
      <c r="E433" s="10" t="s">
        <v>226</v>
      </c>
    </row>
    <row r="434" spans="1:5">
      <c r="A434" s="11">
        <v>42440</v>
      </c>
      <c r="B434" s="10" t="s">
        <v>1080</v>
      </c>
      <c r="C434" s="10" t="s">
        <v>1081</v>
      </c>
      <c r="D434" s="11">
        <v>42440.768518518518</v>
      </c>
      <c r="E434" s="10" t="s">
        <v>707</v>
      </c>
    </row>
    <row r="435" spans="1:5" ht="21.6">
      <c r="A435" s="11">
        <v>42440</v>
      </c>
      <c r="B435" s="10" t="s">
        <v>1082</v>
      </c>
      <c r="C435" s="10" t="s">
        <v>1083</v>
      </c>
      <c r="D435" s="11">
        <v>42442.912905092591</v>
      </c>
      <c r="E435" s="10" t="s">
        <v>149</v>
      </c>
    </row>
    <row r="436" spans="1:5">
      <c r="A436" s="11">
        <v>42440</v>
      </c>
      <c r="B436" s="10" t="s">
        <v>1084</v>
      </c>
      <c r="C436" s="10" t="s">
        <v>1085</v>
      </c>
      <c r="D436" s="11">
        <v>42440.779097222221</v>
      </c>
      <c r="E436" s="10" t="s">
        <v>240</v>
      </c>
    </row>
    <row r="437" spans="1:5">
      <c r="A437" s="11">
        <v>42440</v>
      </c>
      <c r="B437" s="10" t="s">
        <v>1086</v>
      </c>
      <c r="C437" s="10" t="s">
        <v>1087</v>
      </c>
      <c r="D437" s="11">
        <v>42440.790798611109</v>
      </c>
      <c r="E437" s="10" t="s">
        <v>433</v>
      </c>
    </row>
    <row r="438" spans="1:5">
      <c r="A438" s="11">
        <v>42440</v>
      </c>
      <c r="B438" s="10" t="s">
        <v>1088</v>
      </c>
      <c r="C438" s="10" t="s">
        <v>1089</v>
      </c>
      <c r="D438" s="11">
        <v>42443.339803240742</v>
      </c>
      <c r="E438" s="10" t="s">
        <v>240</v>
      </c>
    </row>
    <row r="439" spans="1:5">
      <c r="A439" s="11">
        <v>42440</v>
      </c>
      <c r="B439" s="10" t="s">
        <v>1090</v>
      </c>
      <c r="C439" s="10" t="s">
        <v>1091</v>
      </c>
      <c r="D439" s="11">
        <v>42441.591064814813</v>
      </c>
      <c r="E439" s="10" t="s">
        <v>1092</v>
      </c>
    </row>
    <row r="440" spans="1:5" ht="21.6">
      <c r="A440" s="11">
        <v>42440</v>
      </c>
      <c r="B440" s="10" t="s">
        <v>1093</v>
      </c>
      <c r="C440" s="10" t="s">
        <v>1094</v>
      </c>
      <c r="D440" s="11">
        <v>42440.812800925924</v>
      </c>
      <c r="E440" s="10" t="s">
        <v>165</v>
      </c>
    </row>
    <row r="441" spans="1:5" ht="21.6">
      <c r="A441" s="11">
        <v>42440</v>
      </c>
      <c r="B441" s="10" t="s">
        <v>1095</v>
      </c>
      <c r="C441" s="10" t="s">
        <v>1096</v>
      </c>
      <c r="D441" s="11">
        <v>42440.834421296298</v>
      </c>
      <c r="E441" s="10" t="s">
        <v>165</v>
      </c>
    </row>
    <row r="442" spans="1:5">
      <c r="A442" s="11">
        <v>42440</v>
      </c>
      <c r="B442" s="10" t="s">
        <v>1097</v>
      </c>
      <c r="C442" s="10" t="s">
        <v>1098</v>
      </c>
      <c r="D442" s="11">
        <v>42440.837488425925</v>
      </c>
      <c r="E442" s="10" t="s">
        <v>152</v>
      </c>
    </row>
    <row r="443" spans="1:5" ht="21.6">
      <c r="A443" s="11">
        <v>42440</v>
      </c>
      <c r="B443" s="10" t="s">
        <v>1099</v>
      </c>
      <c r="C443" s="10" t="s">
        <v>1100</v>
      </c>
      <c r="D443" s="11">
        <v>42441.484097222223</v>
      </c>
      <c r="E443" s="10" t="s">
        <v>910</v>
      </c>
    </row>
    <row r="444" spans="1:5">
      <c r="A444" s="11">
        <v>42440</v>
      </c>
      <c r="B444" s="10" t="s">
        <v>1101</v>
      </c>
      <c r="C444" s="10" t="s">
        <v>1102</v>
      </c>
      <c r="D444" s="11">
        <v>42443.477893518517</v>
      </c>
      <c r="E444" s="10" t="s">
        <v>1103</v>
      </c>
    </row>
    <row r="445" spans="1:5">
      <c r="A445" s="11">
        <v>42440</v>
      </c>
      <c r="B445" s="10" t="s">
        <v>1104</v>
      </c>
      <c r="C445" s="10" t="s">
        <v>1105</v>
      </c>
      <c r="D445" s="11">
        <v>42443.456608796296</v>
      </c>
      <c r="E445" s="10" t="s">
        <v>152</v>
      </c>
    </row>
    <row r="446" spans="1:5">
      <c r="A446" s="11">
        <v>42440</v>
      </c>
      <c r="B446" s="10" t="s">
        <v>1106</v>
      </c>
      <c r="C446" s="10" t="s">
        <v>1107</v>
      </c>
      <c r="D446" s="11">
        <v>42440.885381944441</v>
      </c>
      <c r="E446" s="10" t="s">
        <v>178</v>
      </c>
    </row>
    <row r="447" spans="1:5" ht="21.6">
      <c r="A447" s="11">
        <v>42440</v>
      </c>
      <c r="B447" s="10" t="s">
        <v>1108</v>
      </c>
      <c r="C447" s="10" t="s">
        <v>1109</v>
      </c>
      <c r="D447" s="11">
        <v>42440.885821759257</v>
      </c>
      <c r="E447" s="10" t="s">
        <v>1110</v>
      </c>
    </row>
    <row r="448" spans="1:5">
      <c r="A448" s="11">
        <v>42440</v>
      </c>
      <c r="B448" s="10" t="s">
        <v>1111</v>
      </c>
      <c r="C448" s="10" t="s">
        <v>1112</v>
      </c>
      <c r="D448" s="11">
        <v>42440.887766203705</v>
      </c>
      <c r="E448" s="10" t="s">
        <v>707</v>
      </c>
    </row>
    <row r="449" spans="1:5">
      <c r="A449" s="11">
        <v>42440</v>
      </c>
      <c r="B449" s="10" t="s">
        <v>1113</v>
      </c>
      <c r="C449" s="10" t="s">
        <v>1114</v>
      </c>
      <c r="D449" s="11">
        <v>42440.903252314813</v>
      </c>
      <c r="E449" s="10" t="s">
        <v>178</v>
      </c>
    </row>
    <row r="450" spans="1:5">
      <c r="A450" s="11">
        <v>42440</v>
      </c>
      <c r="B450" s="10" t="s">
        <v>1115</v>
      </c>
      <c r="C450" s="10" t="s">
        <v>1116</v>
      </c>
      <c r="D450" s="11">
        <v>42440.905624999999</v>
      </c>
      <c r="E450" s="10" t="s">
        <v>152</v>
      </c>
    </row>
    <row r="451" spans="1:5" ht="21.6">
      <c r="A451" s="11">
        <v>42440</v>
      </c>
      <c r="B451" s="10" t="s">
        <v>1117</v>
      </c>
      <c r="C451" s="10" t="s">
        <v>1118</v>
      </c>
      <c r="D451" s="11">
        <v>42440.911631944444</v>
      </c>
      <c r="E451" s="10" t="s">
        <v>226</v>
      </c>
    </row>
    <row r="452" spans="1:5">
      <c r="A452" s="11">
        <v>42440</v>
      </c>
      <c r="B452" s="10" t="s">
        <v>1119</v>
      </c>
      <c r="C452" s="10" t="s">
        <v>1120</v>
      </c>
      <c r="D452" s="11">
        <v>42440.919282407405</v>
      </c>
      <c r="E452" s="10" t="s">
        <v>178</v>
      </c>
    </row>
    <row r="453" spans="1:5">
      <c r="A453" s="11">
        <v>42440</v>
      </c>
      <c r="B453" s="10" t="s">
        <v>1121</v>
      </c>
      <c r="C453" s="10" t="s">
        <v>1122</v>
      </c>
      <c r="D453" s="11">
        <v>42440.923726851855</v>
      </c>
      <c r="E453" s="10" t="s">
        <v>707</v>
      </c>
    </row>
    <row r="454" spans="1:5" ht="21.6">
      <c r="A454" s="11">
        <v>42440</v>
      </c>
      <c r="B454" s="10" t="s">
        <v>1123</v>
      </c>
      <c r="C454" s="10" t="s">
        <v>1124</v>
      </c>
      <c r="D454" s="11">
        <v>42443.48704861111</v>
      </c>
      <c r="E454" s="10" t="s">
        <v>661</v>
      </c>
    </row>
    <row r="455" spans="1:5">
      <c r="A455" s="11">
        <v>42440</v>
      </c>
      <c r="B455" s="10" t="s">
        <v>1125</v>
      </c>
      <c r="C455" s="10" t="s">
        <v>1126</v>
      </c>
      <c r="D455" s="11">
        <v>42440.934687499997</v>
      </c>
      <c r="E455" s="10" t="s">
        <v>433</v>
      </c>
    </row>
    <row r="456" spans="1:5" ht="21.6">
      <c r="A456" s="11">
        <v>42440</v>
      </c>
      <c r="B456" s="10" t="s">
        <v>1127</v>
      </c>
      <c r="C456" s="10" t="s">
        <v>1128</v>
      </c>
      <c r="D456" s="11">
        <v>42440.939942129633</v>
      </c>
      <c r="E456" s="10" t="s">
        <v>165</v>
      </c>
    </row>
    <row r="457" spans="1:5">
      <c r="A457" s="11">
        <v>42440</v>
      </c>
      <c r="B457" s="10" t="s">
        <v>1129</v>
      </c>
      <c r="C457" s="10" t="s">
        <v>1130</v>
      </c>
      <c r="D457" s="11">
        <v>42440.944606481484</v>
      </c>
      <c r="E457" s="10" t="s">
        <v>380</v>
      </c>
    </row>
    <row r="458" spans="1:5">
      <c r="A458" s="11">
        <v>42440</v>
      </c>
      <c r="B458" s="10" t="s">
        <v>1131</v>
      </c>
      <c r="C458" s="10" t="s">
        <v>1132</v>
      </c>
      <c r="D458" s="11">
        <v>42440.948101851849</v>
      </c>
      <c r="E458" s="10" t="s">
        <v>859</v>
      </c>
    </row>
    <row r="459" spans="1:5">
      <c r="A459" s="11">
        <v>42440</v>
      </c>
      <c r="B459" s="10" t="s">
        <v>1133</v>
      </c>
      <c r="C459" s="10" t="s">
        <v>1134</v>
      </c>
      <c r="D459" s="11">
        <v>42440.966041666667</v>
      </c>
      <c r="E459" s="10" t="s">
        <v>859</v>
      </c>
    </row>
    <row r="460" spans="1:5">
      <c r="A460" s="11">
        <v>42440</v>
      </c>
      <c r="B460" s="10" t="s">
        <v>1135</v>
      </c>
      <c r="C460" s="10" t="s">
        <v>1136</v>
      </c>
      <c r="D460" s="11">
        <v>42440.971875000003</v>
      </c>
      <c r="E460" s="10" t="s">
        <v>99</v>
      </c>
    </row>
    <row r="461" spans="1:5" ht="21.6">
      <c r="A461" s="11">
        <v>42441</v>
      </c>
      <c r="B461" s="10" t="s">
        <v>1137</v>
      </c>
      <c r="C461" s="10" t="s">
        <v>1138</v>
      </c>
      <c r="D461" s="11">
        <v>42441.571851851855</v>
      </c>
      <c r="E461" s="10" t="s">
        <v>368</v>
      </c>
    </row>
    <row r="462" spans="1:5" ht="21.6">
      <c r="A462" s="11">
        <v>42441</v>
      </c>
      <c r="B462" s="10" t="s">
        <v>1139</v>
      </c>
      <c r="C462" s="10" t="s">
        <v>1140</v>
      </c>
      <c r="D462" s="11">
        <v>42441.929120370369</v>
      </c>
      <c r="E462" s="10" t="s">
        <v>171</v>
      </c>
    </row>
    <row r="463" spans="1:5" ht="21.6">
      <c r="A463" s="11">
        <v>42441</v>
      </c>
      <c r="B463" s="10" t="s">
        <v>1141</v>
      </c>
      <c r="C463" s="10" t="s">
        <v>1142</v>
      </c>
      <c r="D463" s="11">
        <v>42442.869340277779</v>
      </c>
      <c r="E463" s="10" t="s">
        <v>582</v>
      </c>
    </row>
    <row r="464" spans="1:5">
      <c r="A464" s="11">
        <v>42441</v>
      </c>
      <c r="B464" s="10" t="s">
        <v>1143</v>
      </c>
      <c r="C464" s="10" t="s">
        <v>1144</v>
      </c>
      <c r="D464" s="11">
        <v>42443.156099537038</v>
      </c>
      <c r="E464" s="10" t="s">
        <v>1145</v>
      </c>
    </row>
    <row r="465" spans="1:5">
      <c r="A465" s="11">
        <v>42441</v>
      </c>
      <c r="B465" s="10" t="s">
        <v>1146</v>
      </c>
      <c r="C465" s="10" t="s">
        <v>1147</v>
      </c>
      <c r="D465" s="11">
        <v>42441.245196759257</v>
      </c>
      <c r="E465" s="10" t="s">
        <v>122</v>
      </c>
    </row>
    <row r="466" spans="1:5">
      <c r="A466" s="11">
        <v>42441</v>
      </c>
      <c r="B466" s="10" t="s">
        <v>1148</v>
      </c>
      <c r="C466" s="10" t="s">
        <v>1149</v>
      </c>
      <c r="D466" s="11">
        <v>42441.245358796295</v>
      </c>
      <c r="E466" s="10" t="s">
        <v>608</v>
      </c>
    </row>
    <row r="467" spans="1:5" ht="21.6">
      <c r="A467" s="11">
        <v>42441</v>
      </c>
      <c r="B467" s="10" t="s">
        <v>1150</v>
      </c>
      <c r="C467" s="10" t="s">
        <v>1151</v>
      </c>
      <c r="D467" s="11">
        <v>42441.265636574077</v>
      </c>
      <c r="E467" s="10" t="s">
        <v>1152</v>
      </c>
    </row>
    <row r="468" spans="1:5" ht="21.6">
      <c r="A468" s="11">
        <v>42441</v>
      </c>
      <c r="B468" s="10" t="s">
        <v>1153</v>
      </c>
      <c r="C468" s="10" t="s">
        <v>1154</v>
      </c>
      <c r="D468" s="11">
        <v>42441.287777777776</v>
      </c>
      <c r="E468" s="10" t="s">
        <v>1155</v>
      </c>
    </row>
    <row r="469" spans="1:5">
      <c r="A469" s="11">
        <v>42441</v>
      </c>
      <c r="B469" s="10" t="s">
        <v>1156</v>
      </c>
      <c r="C469" s="10" t="s">
        <v>1157</v>
      </c>
      <c r="D469" s="11">
        <v>42441.299039351848</v>
      </c>
      <c r="E469" s="10" t="s">
        <v>335</v>
      </c>
    </row>
    <row r="470" spans="1:5" ht="21.6">
      <c r="A470" s="11">
        <v>42441</v>
      </c>
      <c r="B470" s="10" t="s">
        <v>1158</v>
      </c>
      <c r="C470" s="10" t="s">
        <v>1159</v>
      </c>
      <c r="D470" s="11">
        <v>42443.488796296297</v>
      </c>
      <c r="E470" s="10" t="s">
        <v>165</v>
      </c>
    </row>
    <row r="471" spans="1:5" ht="21.6">
      <c r="A471" s="11">
        <v>42441</v>
      </c>
      <c r="B471" s="10" t="s">
        <v>1160</v>
      </c>
      <c r="C471" s="10" t="s">
        <v>1161</v>
      </c>
      <c r="D471" s="11">
        <v>42441.384363425925</v>
      </c>
      <c r="E471" s="10" t="s">
        <v>582</v>
      </c>
    </row>
    <row r="472" spans="1:5">
      <c r="A472" s="11">
        <v>42441</v>
      </c>
      <c r="B472" s="10" t="s">
        <v>1162</v>
      </c>
      <c r="C472" s="10" t="s">
        <v>1163</v>
      </c>
      <c r="D472" s="11">
        <v>42441.40351851852</v>
      </c>
      <c r="E472" s="10" t="s">
        <v>99</v>
      </c>
    </row>
    <row r="473" spans="1:5">
      <c r="A473" s="11">
        <v>42441</v>
      </c>
      <c r="B473" s="10" t="s">
        <v>1164</v>
      </c>
      <c r="C473" s="10" t="s">
        <v>1165</v>
      </c>
      <c r="D473" s="11">
        <v>42441.408437500002</v>
      </c>
      <c r="E473" s="10" t="s">
        <v>433</v>
      </c>
    </row>
    <row r="474" spans="1:5">
      <c r="A474" s="11">
        <v>42441</v>
      </c>
      <c r="B474" s="10" t="s">
        <v>1166</v>
      </c>
      <c r="C474" s="10" t="s">
        <v>1167</v>
      </c>
      <c r="D474" s="11">
        <v>42443.411990740744</v>
      </c>
      <c r="E474" s="10" t="s">
        <v>99</v>
      </c>
    </row>
    <row r="475" spans="1:5">
      <c r="A475" s="11">
        <v>42441</v>
      </c>
      <c r="B475" s="10" t="s">
        <v>1168</v>
      </c>
      <c r="C475" s="10" t="s">
        <v>1169</v>
      </c>
      <c r="D475" s="11">
        <v>42441.429432870369</v>
      </c>
      <c r="E475" s="10" t="s">
        <v>949</v>
      </c>
    </row>
    <row r="476" spans="1:5">
      <c r="A476" s="11">
        <v>42441</v>
      </c>
      <c r="B476" s="10" t="s">
        <v>1170</v>
      </c>
      <c r="C476" s="10" t="s">
        <v>1171</v>
      </c>
      <c r="D476" s="11">
        <v>42441.439965277779</v>
      </c>
      <c r="E476" s="10" t="s">
        <v>221</v>
      </c>
    </row>
    <row r="477" spans="1:5">
      <c r="A477" s="11">
        <v>42441</v>
      </c>
      <c r="B477" s="10" t="s">
        <v>1172</v>
      </c>
      <c r="C477" s="10" t="s">
        <v>1173</v>
      </c>
      <c r="D477" s="11">
        <v>42441.447395833333</v>
      </c>
      <c r="E477" s="10" t="s">
        <v>99</v>
      </c>
    </row>
    <row r="478" spans="1:5">
      <c r="A478" s="11">
        <v>42441</v>
      </c>
      <c r="B478" s="10" t="s">
        <v>1174</v>
      </c>
      <c r="C478" s="10" t="s">
        <v>1175</v>
      </c>
      <c r="D478" s="11">
        <v>42441.45208333333</v>
      </c>
      <c r="E478" s="10" t="s">
        <v>308</v>
      </c>
    </row>
    <row r="479" spans="1:5">
      <c r="A479" s="11">
        <v>42441</v>
      </c>
      <c r="B479" s="10" t="s">
        <v>1176</v>
      </c>
      <c r="C479" s="10" t="s">
        <v>1177</v>
      </c>
      <c r="D479" s="11">
        <v>42441.469513888886</v>
      </c>
      <c r="E479" s="10" t="s">
        <v>152</v>
      </c>
    </row>
    <row r="480" spans="1:5">
      <c r="A480" s="11">
        <v>42441</v>
      </c>
      <c r="B480" s="10" t="s">
        <v>1178</v>
      </c>
      <c r="C480" s="10" t="s">
        <v>1179</v>
      </c>
      <c r="D480" s="11">
        <v>42441.471678240741</v>
      </c>
      <c r="E480" s="10" t="s">
        <v>1092</v>
      </c>
    </row>
    <row r="481" spans="1:5">
      <c r="A481" s="11">
        <v>42441</v>
      </c>
      <c r="B481" s="10" t="s">
        <v>1180</v>
      </c>
      <c r="C481" s="10" t="s">
        <v>1181</v>
      </c>
      <c r="D481" s="11">
        <v>42441.483275462961</v>
      </c>
      <c r="E481" s="10" t="s">
        <v>218</v>
      </c>
    </row>
    <row r="482" spans="1:5">
      <c r="A482" s="11">
        <v>42441</v>
      </c>
      <c r="B482" s="10" t="s">
        <v>1182</v>
      </c>
      <c r="C482" s="10" t="s">
        <v>1183</v>
      </c>
      <c r="D482" s="11">
        <v>42441.483946759261</v>
      </c>
      <c r="E482" s="10" t="s">
        <v>608</v>
      </c>
    </row>
    <row r="483" spans="1:5" ht="21.6">
      <c r="A483" s="11">
        <v>42441</v>
      </c>
      <c r="B483" s="10" t="s">
        <v>1184</v>
      </c>
      <c r="C483" s="10" t="s">
        <v>1185</v>
      </c>
      <c r="D483" s="11">
        <v>42441.484618055554</v>
      </c>
      <c r="E483" s="10" t="s">
        <v>165</v>
      </c>
    </row>
    <row r="484" spans="1:5">
      <c r="A484" s="11">
        <v>42441</v>
      </c>
      <c r="B484" s="10" t="s">
        <v>1186</v>
      </c>
      <c r="C484" s="10" t="s">
        <v>1187</v>
      </c>
      <c r="D484" s="11">
        <v>42441.495405092595</v>
      </c>
      <c r="E484" s="10" t="s">
        <v>240</v>
      </c>
    </row>
    <row r="485" spans="1:5">
      <c r="A485" s="11">
        <v>42441</v>
      </c>
      <c r="B485" s="10" t="s">
        <v>1188</v>
      </c>
      <c r="C485" s="10" t="s">
        <v>1189</v>
      </c>
      <c r="D485" s="11">
        <v>42442.701249999998</v>
      </c>
      <c r="E485" s="10" t="s">
        <v>1190</v>
      </c>
    </row>
    <row r="486" spans="1:5">
      <c r="A486" s="11">
        <v>42441</v>
      </c>
      <c r="B486" s="10" t="s">
        <v>1191</v>
      </c>
      <c r="C486" s="10" t="s">
        <v>1192</v>
      </c>
      <c r="D486" s="11">
        <v>42441.502500000002</v>
      </c>
      <c r="E486" s="10" t="s">
        <v>736</v>
      </c>
    </row>
    <row r="487" spans="1:5">
      <c r="A487" s="11">
        <v>42441</v>
      </c>
      <c r="B487" s="10" t="s">
        <v>1193</v>
      </c>
      <c r="C487" s="10" t="s">
        <v>1194</v>
      </c>
      <c r="D487" s="11">
        <v>42441.505381944444</v>
      </c>
      <c r="E487" s="10" t="s">
        <v>859</v>
      </c>
    </row>
    <row r="488" spans="1:5" ht="21.6">
      <c r="A488" s="11">
        <v>42441</v>
      </c>
      <c r="B488" s="10" t="s">
        <v>1195</v>
      </c>
      <c r="C488" s="10" t="s">
        <v>1196</v>
      </c>
      <c r="D488" s="11">
        <v>42441.517511574071</v>
      </c>
      <c r="E488" s="10" t="s">
        <v>368</v>
      </c>
    </row>
    <row r="489" spans="1:5">
      <c r="A489" s="11">
        <v>42441</v>
      </c>
      <c r="B489" s="10" t="s">
        <v>1197</v>
      </c>
      <c r="C489" s="10" t="s">
        <v>1198</v>
      </c>
      <c r="D489" s="11">
        <v>42441.541597222225</v>
      </c>
      <c r="E489" s="10" t="s">
        <v>707</v>
      </c>
    </row>
    <row r="490" spans="1:5">
      <c r="A490" s="11">
        <v>42441</v>
      </c>
      <c r="B490" s="10" t="s">
        <v>1199</v>
      </c>
      <c r="C490" s="10" t="s">
        <v>1200</v>
      </c>
      <c r="D490" s="11">
        <v>42441.525439814817</v>
      </c>
      <c r="E490" s="10" t="s">
        <v>736</v>
      </c>
    </row>
    <row r="491" spans="1:5" ht="21.6">
      <c r="A491" s="11">
        <v>42441</v>
      </c>
      <c r="B491" s="10" t="s">
        <v>1201</v>
      </c>
      <c r="C491" s="10" t="s">
        <v>1202</v>
      </c>
      <c r="D491" s="11">
        <v>42442.633252314816</v>
      </c>
      <c r="E491" s="10" t="s">
        <v>257</v>
      </c>
    </row>
    <row r="492" spans="1:5">
      <c r="A492" s="11">
        <v>42441</v>
      </c>
      <c r="B492" s="10" t="s">
        <v>1203</v>
      </c>
      <c r="C492" s="10" t="s">
        <v>1204</v>
      </c>
      <c r="D492" s="11">
        <v>42441.594340277778</v>
      </c>
      <c r="E492" s="10" t="s">
        <v>1205</v>
      </c>
    </row>
    <row r="493" spans="1:5">
      <c r="A493" s="11">
        <v>42441</v>
      </c>
      <c r="B493" s="10" t="s">
        <v>1206</v>
      </c>
      <c r="C493" s="10" t="s">
        <v>1207</v>
      </c>
      <c r="D493" s="11">
        <v>42441.548993055556</v>
      </c>
      <c r="E493" s="10" t="s">
        <v>1208</v>
      </c>
    </row>
    <row r="494" spans="1:5" ht="21.6">
      <c r="A494" s="11">
        <v>42441</v>
      </c>
      <c r="B494" s="10" t="s">
        <v>1209</v>
      </c>
      <c r="C494" s="10" t="s">
        <v>1210</v>
      </c>
      <c r="D494" s="11">
        <v>42441.549768518518</v>
      </c>
      <c r="E494" s="10" t="s">
        <v>133</v>
      </c>
    </row>
    <row r="495" spans="1:5" ht="21.6">
      <c r="A495" s="11">
        <v>42441</v>
      </c>
      <c r="B495" s="10" t="s">
        <v>1211</v>
      </c>
      <c r="C495" s="10" t="s">
        <v>1212</v>
      </c>
      <c r="D495" s="11">
        <v>42441.557152777779</v>
      </c>
      <c r="E495" s="10" t="s">
        <v>226</v>
      </c>
    </row>
    <row r="496" spans="1:5">
      <c r="A496" s="11">
        <v>42441</v>
      </c>
      <c r="B496" s="10" t="s">
        <v>1213</v>
      </c>
      <c r="C496" s="10" t="s">
        <v>1214</v>
      </c>
      <c r="D496" s="11">
        <v>42441.557905092595</v>
      </c>
      <c r="E496" s="10" t="s">
        <v>325</v>
      </c>
    </row>
    <row r="497" spans="1:5">
      <c r="A497" s="11">
        <v>42441</v>
      </c>
      <c r="B497" s="10" t="s">
        <v>1215</v>
      </c>
      <c r="C497" s="10" t="s">
        <v>1216</v>
      </c>
      <c r="D497" s="11">
        <v>42441.562326388892</v>
      </c>
      <c r="E497" s="10" t="s">
        <v>178</v>
      </c>
    </row>
    <row r="498" spans="1:5" ht="21.6">
      <c r="A498" s="11">
        <v>42441</v>
      </c>
      <c r="B498" s="10" t="s">
        <v>1217</v>
      </c>
      <c r="C498" s="10" t="s">
        <v>1218</v>
      </c>
      <c r="D498" s="11">
        <v>42443.502152777779</v>
      </c>
      <c r="E498" s="10" t="s">
        <v>1219</v>
      </c>
    </row>
    <row r="499" spans="1:5" ht="21.6">
      <c r="A499" s="11">
        <v>42441</v>
      </c>
      <c r="B499" s="10" t="s">
        <v>1220</v>
      </c>
      <c r="C499" s="10" t="s">
        <v>1221</v>
      </c>
      <c r="D499" s="11">
        <v>42441.586122685185</v>
      </c>
      <c r="E499" s="10" t="s">
        <v>1222</v>
      </c>
    </row>
    <row r="500" spans="1:5">
      <c r="A500" s="11">
        <v>42441</v>
      </c>
      <c r="B500" s="10" t="s">
        <v>1223</v>
      </c>
      <c r="C500" s="10" t="s">
        <v>1224</v>
      </c>
      <c r="D500" s="11">
        <v>42441.589768518519</v>
      </c>
      <c r="E500" s="10" t="s">
        <v>683</v>
      </c>
    </row>
    <row r="501" spans="1:5">
      <c r="A501" s="11">
        <v>42441</v>
      </c>
      <c r="B501" s="10" t="s">
        <v>1225</v>
      </c>
      <c r="C501" s="10" t="s">
        <v>1226</v>
      </c>
      <c r="D501" s="11">
        <v>42441.602013888885</v>
      </c>
      <c r="E501" s="10" t="s">
        <v>440</v>
      </c>
    </row>
    <row r="502" spans="1:5">
      <c r="A502" s="11">
        <v>42441</v>
      </c>
      <c r="B502" s="10" t="s">
        <v>1227</v>
      </c>
      <c r="C502" s="10" t="s">
        <v>1228</v>
      </c>
      <c r="D502" s="11">
        <v>42441.713194444441</v>
      </c>
      <c r="E502" s="10" t="s">
        <v>178</v>
      </c>
    </row>
    <row r="503" spans="1:5">
      <c r="A503" s="11">
        <v>42441</v>
      </c>
      <c r="B503" s="10" t="s">
        <v>1229</v>
      </c>
      <c r="C503" s="10" t="s">
        <v>1230</v>
      </c>
      <c r="D503" s="11">
        <v>42441.637812499997</v>
      </c>
      <c r="E503" s="10" t="s">
        <v>193</v>
      </c>
    </row>
    <row r="504" spans="1:5">
      <c r="A504" s="11">
        <v>42441</v>
      </c>
      <c r="B504" s="10" t="s">
        <v>1231</v>
      </c>
      <c r="C504" s="10" t="s">
        <v>1232</v>
      </c>
      <c r="D504" s="11">
        <v>42441.620891203704</v>
      </c>
      <c r="E504" s="10" t="s">
        <v>707</v>
      </c>
    </row>
    <row r="505" spans="1:5" ht="21.6">
      <c r="A505" s="11">
        <v>42441</v>
      </c>
      <c r="B505" s="10" t="s">
        <v>1233</v>
      </c>
      <c r="C505" s="10" t="s">
        <v>1234</v>
      </c>
      <c r="D505" s="11">
        <v>42441.625358796293</v>
      </c>
      <c r="E505" s="10" t="s">
        <v>257</v>
      </c>
    </row>
    <row r="506" spans="1:5">
      <c r="A506" s="11">
        <v>42441</v>
      </c>
      <c r="B506" s="10" t="s">
        <v>1235</v>
      </c>
      <c r="C506" s="10" t="s">
        <v>1236</v>
      </c>
      <c r="D506" s="11">
        <v>42441.625717592593</v>
      </c>
      <c r="E506" s="10" t="s">
        <v>707</v>
      </c>
    </row>
    <row r="507" spans="1:5">
      <c r="A507" s="11">
        <v>42441</v>
      </c>
      <c r="B507" s="10" t="s">
        <v>1237</v>
      </c>
      <c r="C507" s="10" t="s">
        <v>1238</v>
      </c>
      <c r="D507" s="11">
        <v>42441.626886574071</v>
      </c>
      <c r="E507" s="10" t="s">
        <v>707</v>
      </c>
    </row>
    <row r="508" spans="1:5">
      <c r="A508" s="11">
        <v>42441</v>
      </c>
      <c r="B508" s="10" t="s">
        <v>1239</v>
      </c>
      <c r="C508" s="10" t="s">
        <v>1240</v>
      </c>
      <c r="D508" s="11">
        <v>42441.628703703704</v>
      </c>
      <c r="E508" s="10" t="s">
        <v>707</v>
      </c>
    </row>
    <row r="509" spans="1:5">
      <c r="A509" s="11">
        <v>42441</v>
      </c>
      <c r="B509" s="10" t="s">
        <v>1241</v>
      </c>
      <c r="C509" s="10" t="s">
        <v>1242</v>
      </c>
      <c r="D509" s="11">
        <v>42443.414247685185</v>
      </c>
      <c r="E509" s="10" t="s">
        <v>152</v>
      </c>
    </row>
    <row r="510" spans="1:5">
      <c r="A510" s="11">
        <v>42441</v>
      </c>
      <c r="B510" s="10" t="s">
        <v>1243</v>
      </c>
      <c r="C510" s="10" t="s">
        <v>1244</v>
      </c>
      <c r="D510" s="11">
        <v>42441.75409722222</v>
      </c>
      <c r="E510" s="10" t="s">
        <v>218</v>
      </c>
    </row>
    <row r="511" spans="1:5" ht="21.6">
      <c r="A511" s="11">
        <v>42441</v>
      </c>
      <c r="B511" s="10" t="s">
        <v>1245</v>
      </c>
      <c r="C511" s="10" t="s">
        <v>1246</v>
      </c>
      <c r="D511" s="11">
        <v>42441.655590277776</v>
      </c>
      <c r="E511" s="10" t="s">
        <v>165</v>
      </c>
    </row>
    <row r="512" spans="1:5">
      <c r="A512" s="11">
        <v>42441</v>
      </c>
      <c r="B512" s="10" t="s">
        <v>1247</v>
      </c>
      <c r="C512" s="10" t="s">
        <v>1248</v>
      </c>
      <c r="D512" s="11">
        <v>42443.385821759257</v>
      </c>
      <c r="E512" s="10" t="s">
        <v>414</v>
      </c>
    </row>
    <row r="513" spans="1:5">
      <c r="A513" s="11">
        <v>42441</v>
      </c>
      <c r="B513" s="10" t="s">
        <v>1249</v>
      </c>
      <c r="C513" s="10" t="s">
        <v>1250</v>
      </c>
      <c r="D513" s="11">
        <v>42442.716145833336</v>
      </c>
      <c r="E513" s="10" t="s">
        <v>209</v>
      </c>
    </row>
    <row r="514" spans="1:5" ht="21.6">
      <c r="A514" s="11">
        <v>42441</v>
      </c>
      <c r="B514" s="10" t="s">
        <v>1251</v>
      </c>
      <c r="C514" s="10" t="s">
        <v>1252</v>
      </c>
      <c r="D514" s="11">
        <v>42441.668553240743</v>
      </c>
      <c r="E514" s="10" t="s">
        <v>133</v>
      </c>
    </row>
    <row r="515" spans="1:5">
      <c r="A515" s="11">
        <v>42441</v>
      </c>
      <c r="B515" s="10" t="s">
        <v>1253</v>
      </c>
      <c r="C515" s="10" t="s">
        <v>1254</v>
      </c>
      <c r="D515" s="11">
        <v>42443.005925925929</v>
      </c>
      <c r="E515" s="10" t="s">
        <v>440</v>
      </c>
    </row>
    <row r="516" spans="1:5">
      <c r="A516" s="11">
        <v>42441</v>
      </c>
      <c r="B516" s="10" t="s">
        <v>1255</v>
      </c>
      <c r="C516" s="10" t="s">
        <v>1256</v>
      </c>
      <c r="D516" s="11">
        <v>42442.779108796298</v>
      </c>
      <c r="E516" s="10" t="s">
        <v>1257</v>
      </c>
    </row>
    <row r="517" spans="1:5" ht="21.6">
      <c r="A517" s="11">
        <v>42441</v>
      </c>
      <c r="B517" s="10" t="s">
        <v>1258</v>
      </c>
      <c r="C517" s="10" t="s">
        <v>1259</v>
      </c>
      <c r="D517" s="11">
        <v>42441.671712962961</v>
      </c>
      <c r="E517" s="10" t="s">
        <v>1260</v>
      </c>
    </row>
    <row r="518" spans="1:5">
      <c r="A518" s="11">
        <v>42441</v>
      </c>
      <c r="B518" s="10" t="s">
        <v>1261</v>
      </c>
      <c r="C518" s="10" t="s">
        <v>1262</v>
      </c>
      <c r="D518" s="11">
        <v>42443.454756944448</v>
      </c>
      <c r="E518" s="10" t="s">
        <v>152</v>
      </c>
    </row>
    <row r="519" spans="1:5" ht="21.6">
      <c r="A519" s="11">
        <v>42441</v>
      </c>
      <c r="B519" s="10" t="s">
        <v>1263</v>
      </c>
      <c r="C519" s="10" t="s">
        <v>1264</v>
      </c>
      <c r="D519" s="11">
        <v>42441.685659722221</v>
      </c>
      <c r="E519" s="10" t="s">
        <v>1265</v>
      </c>
    </row>
    <row r="520" spans="1:5" ht="21.6">
      <c r="A520" s="11">
        <v>42441</v>
      </c>
      <c r="B520" s="10" t="s">
        <v>1266</v>
      </c>
      <c r="C520" s="10" t="s">
        <v>1267</v>
      </c>
      <c r="D520" s="11">
        <v>42441.70208333333</v>
      </c>
      <c r="E520" s="10" t="s">
        <v>582</v>
      </c>
    </row>
    <row r="521" spans="1:5">
      <c r="A521" s="11">
        <v>42441</v>
      </c>
      <c r="B521" s="10" t="s">
        <v>1268</v>
      </c>
      <c r="C521" s="10" t="s">
        <v>1269</v>
      </c>
      <c r="D521" s="11">
        <v>42441.706956018519</v>
      </c>
      <c r="E521" s="10" t="s">
        <v>380</v>
      </c>
    </row>
    <row r="522" spans="1:5">
      <c r="A522" s="11">
        <v>42441</v>
      </c>
      <c r="B522" s="10" t="s">
        <v>1270</v>
      </c>
      <c r="C522" s="10" t="s">
        <v>1271</v>
      </c>
      <c r="D522" s="11">
        <v>42441.734594907408</v>
      </c>
      <c r="E522" s="10" t="s">
        <v>707</v>
      </c>
    </row>
    <row r="523" spans="1:5" ht="21.6">
      <c r="A523" s="11">
        <v>42441</v>
      </c>
      <c r="B523" s="10" t="s">
        <v>1272</v>
      </c>
      <c r="C523" s="10" t="s">
        <v>1273</v>
      </c>
      <c r="D523" s="11">
        <v>42443.432233796295</v>
      </c>
      <c r="E523" s="10" t="s">
        <v>597</v>
      </c>
    </row>
    <row r="524" spans="1:5">
      <c r="A524" s="11">
        <v>42441</v>
      </c>
      <c r="B524" s="10" t="s">
        <v>1274</v>
      </c>
      <c r="C524" s="10" t="s">
        <v>1275</v>
      </c>
      <c r="D524" s="11">
        <v>42441.751180555555</v>
      </c>
      <c r="E524" s="10" t="s">
        <v>1205</v>
      </c>
    </row>
    <row r="525" spans="1:5">
      <c r="A525" s="11">
        <v>42441</v>
      </c>
      <c r="B525" s="10" t="s">
        <v>1276</v>
      </c>
      <c r="C525" s="10" t="s">
        <v>1277</v>
      </c>
      <c r="D525" s="11">
        <v>42441.754502314812</v>
      </c>
      <c r="E525" s="10" t="s">
        <v>859</v>
      </c>
    </row>
    <row r="526" spans="1:5">
      <c r="A526" s="11">
        <v>42441</v>
      </c>
      <c r="B526" s="10" t="s">
        <v>1278</v>
      </c>
      <c r="C526" s="10" t="s">
        <v>1279</v>
      </c>
      <c r="D526" s="11">
        <v>42441.765266203707</v>
      </c>
      <c r="E526" s="10" t="s">
        <v>305</v>
      </c>
    </row>
    <row r="527" spans="1:5" ht="21.6">
      <c r="A527" s="11">
        <v>42441</v>
      </c>
      <c r="B527" s="10" t="s">
        <v>1280</v>
      </c>
      <c r="C527" s="10" t="s">
        <v>1281</v>
      </c>
      <c r="D527" s="11">
        <v>42441.797696759262</v>
      </c>
      <c r="E527" s="10" t="s">
        <v>661</v>
      </c>
    </row>
    <row r="528" spans="1:5">
      <c r="A528" s="11">
        <v>42441</v>
      </c>
      <c r="B528" s="10" t="s">
        <v>1282</v>
      </c>
      <c r="C528" s="10" t="s">
        <v>1283</v>
      </c>
      <c r="D528" s="11">
        <v>42441.78564814815</v>
      </c>
      <c r="E528" s="10" t="s">
        <v>152</v>
      </c>
    </row>
    <row r="529" spans="1:5">
      <c r="A529" s="11">
        <v>42441</v>
      </c>
      <c r="B529" s="10" t="s">
        <v>1284</v>
      </c>
      <c r="C529" s="10" t="s">
        <v>1285</v>
      </c>
      <c r="D529" s="11">
        <v>42441.788217592592</v>
      </c>
      <c r="E529" s="10" t="s">
        <v>105</v>
      </c>
    </row>
    <row r="530" spans="1:5">
      <c r="A530" s="11">
        <v>42441</v>
      </c>
      <c r="B530" s="10" t="s">
        <v>1286</v>
      </c>
      <c r="C530" s="10" t="s">
        <v>1287</v>
      </c>
      <c r="D530" s="11">
        <v>42441.792673611111</v>
      </c>
      <c r="E530" s="10" t="s">
        <v>178</v>
      </c>
    </row>
    <row r="531" spans="1:5" ht="21.6">
      <c r="A531" s="11">
        <v>42441</v>
      </c>
      <c r="B531" s="10" t="s">
        <v>1288</v>
      </c>
      <c r="C531" s="10" t="s">
        <v>1289</v>
      </c>
      <c r="D531" s="11">
        <v>42441.793935185182</v>
      </c>
      <c r="E531" s="10" t="s">
        <v>846</v>
      </c>
    </row>
    <row r="532" spans="1:5">
      <c r="A532" s="11">
        <v>42441</v>
      </c>
      <c r="B532" s="10" t="s">
        <v>1290</v>
      </c>
      <c r="C532" s="10" t="s">
        <v>1291</v>
      </c>
      <c r="D532" s="11">
        <v>42441.803113425929</v>
      </c>
      <c r="E532" s="10" t="s">
        <v>178</v>
      </c>
    </row>
    <row r="533" spans="1:5">
      <c r="A533" s="11">
        <v>42441</v>
      </c>
      <c r="B533" s="10" t="s">
        <v>1292</v>
      </c>
      <c r="C533" s="10" t="s">
        <v>1293</v>
      </c>
      <c r="D533" s="11">
        <v>42441.810011574074</v>
      </c>
      <c r="E533" s="10" t="s">
        <v>707</v>
      </c>
    </row>
    <row r="534" spans="1:5" ht="21.6">
      <c r="A534" s="11">
        <v>42441</v>
      </c>
      <c r="B534" s="10" t="s">
        <v>1294</v>
      </c>
      <c r="C534" s="10" t="s">
        <v>1295</v>
      </c>
      <c r="D534" s="11">
        <v>42441.812442129631</v>
      </c>
      <c r="E534" s="10" t="s">
        <v>146</v>
      </c>
    </row>
    <row r="535" spans="1:5" ht="21.6">
      <c r="A535" s="11">
        <v>42441</v>
      </c>
      <c r="B535" s="10" t="s">
        <v>1296</v>
      </c>
      <c r="C535" s="10" t="s">
        <v>1297</v>
      </c>
      <c r="D535" s="11">
        <v>42442.513807870368</v>
      </c>
      <c r="E535" s="10" t="s">
        <v>171</v>
      </c>
    </row>
    <row r="536" spans="1:5">
      <c r="A536" s="11">
        <v>42441</v>
      </c>
      <c r="B536" s="10" t="s">
        <v>1298</v>
      </c>
      <c r="C536" s="10" t="s">
        <v>1299</v>
      </c>
      <c r="D536" s="11">
        <v>42441.823472222219</v>
      </c>
      <c r="E536" s="10" t="s">
        <v>1300</v>
      </c>
    </row>
    <row r="537" spans="1:5">
      <c r="A537" s="11">
        <v>42441</v>
      </c>
      <c r="B537" s="10" t="s">
        <v>1301</v>
      </c>
      <c r="C537" s="10" t="s">
        <v>1302</v>
      </c>
      <c r="D537" s="11">
        <v>42441.826585648145</v>
      </c>
      <c r="E537" s="10" t="s">
        <v>707</v>
      </c>
    </row>
    <row r="538" spans="1:5" ht="21.6">
      <c r="A538" s="11">
        <v>42441</v>
      </c>
      <c r="B538" s="10" t="s">
        <v>1303</v>
      </c>
      <c r="C538" s="10" t="s">
        <v>1304</v>
      </c>
      <c r="D538" s="11">
        <v>42442.543993055559</v>
      </c>
      <c r="E538" s="10" t="s">
        <v>133</v>
      </c>
    </row>
    <row r="539" spans="1:5">
      <c r="A539" s="11">
        <v>42441</v>
      </c>
      <c r="B539" s="10" t="s">
        <v>1305</v>
      </c>
      <c r="C539" s="10" t="s">
        <v>1306</v>
      </c>
      <c r="D539" s="11">
        <v>42441.839733796296</v>
      </c>
      <c r="E539" s="10" t="s">
        <v>1307</v>
      </c>
    </row>
    <row r="540" spans="1:5" ht="21.6">
      <c r="A540" s="11">
        <v>42441</v>
      </c>
      <c r="B540" s="10" t="s">
        <v>1308</v>
      </c>
      <c r="C540" s="10" t="s">
        <v>1309</v>
      </c>
      <c r="D540" s="11">
        <v>42443.481446759259</v>
      </c>
      <c r="E540" s="10" t="s">
        <v>133</v>
      </c>
    </row>
    <row r="541" spans="1:5" ht="21.6">
      <c r="A541" s="11">
        <v>42441</v>
      </c>
      <c r="B541" s="10" t="s">
        <v>1310</v>
      </c>
      <c r="C541" s="10" t="s">
        <v>1311</v>
      </c>
      <c r="D541" s="11">
        <v>42441.852500000001</v>
      </c>
      <c r="E541" s="10" t="s">
        <v>582</v>
      </c>
    </row>
    <row r="542" spans="1:5" ht="21.6">
      <c r="A542" s="11">
        <v>42441</v>
      </c>
      <c r="B542" s="10" t="s">
        <v>1312</v>
      </c>
      <c r="C542" s="10" t="s">
        <v>1313</v>
      </c>
      <c r="D542" s="11">
        <v>42441.85900462963</v>
      </c>
      <c r="E542" s="10" t="s">
        <v>165</v>
      </c>
    </row>
    <row r="543" spans="1:5" ht="21.6">
      <c r="A543" s="11">
        <v>42441</v>
      </c>
      <c r="B543" s="10" t="s">
        <v>1314</v>
      </c>
      <c r="C543" s="10" t="s">
        <v>1315</v>
      </c>
      <c r="D543" s="11">
        <v>42441.860555555555</v>
      </c>
      <c r="E543" s="10" t="s">
        <v>1316</v>
      </c>
    </row>
    <row r="544" spans="1:5">
      <c r="A544" s="11">
        <v>42441</v>
      </c>
      <c r="B544" s="10" t="s">
        <v>1317</v>
      </c>
      <c r="C544" s="10" t="s">
        <v>1318</v>
      </c>
      <c r="D544" s="11">
        <v>42441.904641203706</v>
      </c>
      <c r="E544" s="10" t="s">
        <v>1319</v>
      </c>
    </row>
    <row r="545" spans="1:5" ht="21.6">
      <c r="A545" s="11">
        <v>42441</v>
      </c>
      <c r="B545" s="10" t="s">
        <v>1320</v>
      </c>
      <c r="C545" s="10" t="s">
        <v>1321</v>
      </c>
      <c r="D545" s="11">
        <v>42443.49559027778</v>
      </c>
      <c r="E545" s="10" t="s">
        <v>910</v>
      </c>
    </row>
    <row r="546" spans="1:5">
      <c r="A546" s="11">
        <v>42441</v>
      </c>
      <c r="B546" s="10" t="s">
        <v>1322</v>
      </c>
      <c r="C546" s="10" t="s">
        <v>1323</v>
      </c>
      <c r="D546" s="11">
        <v>42442.683368055557</v>
      </c>
      <c r="E546" s="10" t="s">
        <v>218</v>
      </c>
    </row>
    <row r="547" spans="1:5">
      <c r="A547" s="11">
        <v>42441</v>
      </c>
      <c r="B547" s="10" t="s">
        <v>1324</v>
      </c>
      <c r="C547" s="10" t="s">
        <v>1325</v>
      </c>
      <c r="D547" s="11">
        <v>42443.061956018515</v>
      </c>
      <c r="E547" s="10" t="s">
        <v>138</v>
      </c>
    </row>
    <row r="548" spans="1:5">
      <c r="A548" s="11">
        <v>42441</v>
      </c>
      <c r="B548" s="10" t="s">
        <v>1326</v>
      </c>
      <c r="C548" s="10" t="s">
        <v>1327</v>
      </c>
      <c r="D548" s="11">
        <v>42441.880150462966</v>
      </c>
      <c r="E548" s="10" t="s">
        <v>122</v>
      </c>
    </row>
    <row r="549" spans="1:5">
      <c r="A549" s="11">
        <v>42441</v>
      </c>
      <c r="B549" s="10" t="s">
        <v>1328</v>
      </c>
      <c r="C549" s="10" t="s">
        <v>1329</v>
      </c>
      <c r="D549" s="11">
        <v>42442.599050925928</v>
      </c>
      <c r="E549" s="10" t="s">
        <v>108</v>
      </c>
    </row>
    <row r="550" spans="1:5">
      <c r="A550" s="11">
        <v>42441</v>
      </c>
      <c r="B550" s="10" t="s">
        <v>1330</v>
      </c>
      <c r="C550" s="10" t="s">
        <v>1331</v>
      </c>
      <c r="D550" s="11">
        <v>42441.892951388887</v>
      </c>
      <c r="E550" s="10" t="s">
        <v>1092</v>
      </c>
    </row>
    <row r="551" spans="1:5">
      <c r="A551" s="11">
        <v>42441</v>
      </c>
      <c r="B551" s="10" t="s">
        <v>1332</v>
      </c>
      <c r="C551" s="10" t="s">
        <v>1333</v>
      </c>
      <c r="D551" s="11">
        <v>42442.584687499999</v>
      </c>
      <c r="E551" s="10" t="s">
        <v>143</v>
      </c>
    </row>
    <row r="552" spans="1:5">
      <c r="A552" s="11">
        <v>42441</v>
      </c>
      <c r="B552" s="10" t="s">
        <v>1334</v>
      </c>
      <c r="C552" s="10" t="s">
        <v>1335</v>
      </c>
      <c r="D552" s="11">
        <v>42441.93377314815</v>
      </c>
      <c r="E552" s="10" t="s">
        <v>152</v>
      </c>
    </row>
    <row r="553" spans="1:5" ht="21.6">
      <c r="A553" s="11">
        <v>42441</v>
      </c>
      <c r="B553" s="10" t="s">
        <v>1336</v>
      </c>
      <c r="C553" s="10" t="s">
        <v>1337</v>
      </c>
      <c r="D553" s="11">
        <v>42441.934074074074</v>
      </c>
      <c r="E553" s="10" t="s">
        <v>741</v>
      </c>
    </row>
    <row r="554" spans="1:5" ht="21.6">
      <c r="A554" s="11">
        <v>42441</v>
      </c>
      <c r="B554" s="10" t="s">
        <v>1338</v>
      </c>
      <c r="C554" s="10" t="s">
        <v>1339</v>
      </c>
      <c r="D554" s="11">
        <v>42441.9378125</v>
      </c>
      <c r="E554" s="10" t="s">
        <v>1340</v>
      </c>
    </row>
    <row r="555" spans="1:5" ht="21.6">
      <c r="A555" s="11">
        <v>42441</v>
      </c>
      <c r="B555" s="10" t="s">
        <v>1341</v>
      </c>
      <c r="C555" s="10" t="s">
        <v>1342</v>
      </c>
      <c r="D555" s="11">
        <v>42441.942349537036</v>
      </c>
      <c r="E555" s="10" t="s">
        <v>910</v>
      </c>
    </row>
    <row r="556" spans="1:5" ht="21.6">
      <c r="A556" s="11">
        <v>42441</v>
      </c>
      <c r="B556" s="10" t="s">
        <v>1343</v>
      </c>
      <c r="C556" s="10" t="s">
        <v>1344</v>
      </c>
      <c r="D556" s="11">
        <v>42441.947534722225</v>
      </c>
      <c r="E556" s="10" t="s">
        <v>661</v>
      </c>
    </row>
    <row r="557" spans="1:5" ht="21.6">
      <c r="A557" s="11">
        <v>42441</v>
      </c>
      <c r="B557" s="10" t="s">
        <v>1345</v>
      </c>
      <c r="C557" s="10" t="s">
        <v>1346</v>
      </c>
      <c r="D557" s="11">
        <v>42441.960914351854</v>
      </c>
      <c r="E557" s="10" t="s">
        <v>1265</v>
      </c>
    </row>
    <row r="558" spans="1:5">
      <c r="A558" s="11">
        <v>42441</v>
      </c>
      <c r="B558" s="10" t="s">
        <v>1347</v>
      </c>
      <c r="C558" s="10" t="s">
        <v>1348</v>
      </c>
      <c r="D558" s="11">
        <v>42441.975347222222</v>
      </c>
      <c r="E558" s="10" t="s">
        <v>152</v>
      </c>
    </row>
    <row r="559" spans="1:5" ht="21.6">
      <c r="A559" s="11">
        <v>42441</v>
      </c>
      <c r="B559" s="10" t="s">
        <v>1349</v>
      </c>
      <c r="C559" s="10" t="s">
        <v>1350</v>
      </c>
      <c r="D559" s="11">
        <v>42441.978391203702</v>
      </c>
      <c r="E559" s="10" t="s">
        <v>582</v>
      </c>
    </row>
    <row r="560" spans="1:5">
      <c r="A560" s="11">
        <v>42441</v>
      </c>
      <c r="B560" s="10" t="s">
        <v>1351</v>
      </c>
      <c r="C560" s="10" t="s">
        <v>1352</v>
      </c>
      <c r="D560" s="11">
        <v>42443.462395833332</v>
      </c>
      <c r="E560" s="10" t="s">
        <v>152</v>
      </c>
    </row>
    <row r="561" spans="1:5">
      <c r="A561" s="11">
        <v>42441</v>
      </c>
      <c r="B561" s="10" t="s">
        <v>1353</v>
      </c>
      <c r="C561" s="10" t="s">
        <v>1354</v>
      </c>
      <c r="D561" s="11">
        <v>42441.989537037036</v>
      </c>
      <c r="E561" s="10" t="s">
        <v>152</v>
      </c>
    </row>
    <row r="562" spans="1:5">
      <c r="A562" s="11">
        <v>42442</v>
      </c>
      <c r="B562" s="10" t="s">
        <v>1355</v>
      </c>
      <c r="C562" s="10" t="s">
        <v>1356</v>
      </c>
      <c r="D562" s="11">
        <v>42442.001956018517</v>
      </c>
      <c r="E562" s="10" t="s">
        <v>707</v>
      </c>
    </row>
    <row r="563" spans="1:5" ht="21.6">
      <c r="A563" s="11">
        <v>42442</v>
      </c>
      <c r="B563" s="10" t="s">
        <v>1357</v>
      </c>
      <c r="C563" s="10" t="s">
        <v>1358</v>
      </c>
      <c r="D563" s="11">
        <v>42442.004016203704</v>
      </c>
      <c r="E563" s="10" t="s">
        <v>830</v>
      </c>
    </row>
    <row r="564" spans="1:5">
      <c r="A564" s="11">
        <v>42442</v>
      </c>
      <c r="B564" s="10" t="s">
        <v>1359</v>
      </c>
      <c r="C564" s="10" t="s">
        <v>1360</v>
      </c>
      <c r="D564" s="11">
        <v>42442.007222222222</v>
      </c>
      <c r="E564" s="10" t="s">
        <v>1361</v>
      </c>
    </row>
    <row r="565" spans="1:5">
      <c r="A565" s="11">
        <v>42442</v>
      </c>
      <c r="B565" s="10" t="s">
        <v>1362</v>
      </c>
      <c r="C565" s="10" t="s">
        <v>1363</v>
      </c>
      <c r="D565" s="11">
        <v>42442.599444444444</v>
      </c>
      <c r="E565" s="10" t="s">
        <v>178</v>
      </c>
    </row>
    <row r="566" spans="1:5" ht="21.6">
      <c r="A566" s="11">
        <v>42442</v>
      </c>
      <c r="B566" s="10" t="s">
        <v>1364</v>
      </c>
      <c r="C566" s="10" t="s">
        <v>1365</v>
      </c>
      <c r="D566" s="11">
        <v>42442.072453703702</v>
      </c>
      <c r="E566" s="10" t="s">
        <v>165</v>
      </c>
    </row>
    <row r="567" spans="1:5">
      <c r="A567" s="11">
        <v>42442</v>
      </c>
      <c r="B567" s="10" t="s">
        <v>1366</v>
      </c>
      <c r="C567" s="10" t="s">
        <v>1367</v>
      </c>
      <c r="D567" s="11">
        <v>42442.910497685189</v>
      </c>
      <c r="E567" s="10" t="s">
        <v>143</v>
      </c>
    </row>
    <row r="568" spans="1:5">
      <c r="A568" s="11">
        <v>42442</v>
      </c>
      <c r="B568" s="10" t="s">
        <v>1368</v>
      </c>
      <c r="C568" s="10" t="s">
        <v>1369</v>
      </c>
      <c r="D568" s="11">
        <v>42442.258935185186</v>
      </c>
      <c r="E568" s="10" t="s">
        <v>99</v>
      </c>
    </row>
    <row r="569" spans="1:5" ht="21.6">
      <c r="A569" s="11">
        <v>42442</v>
      </c>
      <c r="B569" s="10" t="s">
        <v>1370</v>
      </c>
      <c r="C569" s="10" t="s">
        <v>1371</v>
      </c>
      <c r="D569" s="11">
        <v>42442.268275462964</v>
      </c>
      <c r="E569" s="10" t="s">
        <v>1372</v>
      </c>
    </row>
    <row r="570" spans="1:5" ht="21.6">
      <c r="A570" s="11">
        <v>42442</v>
      </c>
      <c r="B570" s="10" t="s">
        <v>1373</v>
      </c>
      <c r="C570" s="10" t="s">
        <v>1374</v>
      </c>
      <c r="D570" s="11">
        <v>42442.833703703705</v>
      </c>
      <c r="E570" s="10" t="s">
        <v>1375</v>
      </c>
    </row>
    <row r="571" spans="1:5">
      <c r="A571" s="11">
        <v>42442</v>
      </c>
      <c r="B571" s="10" t="s">
        <v>1376</v>
      </c>
      <c r="C571" s="10" t="s">
        <v>1377</v>
      </c>
      <c r="D571" s="11">
        <v>42442.279687499999</v>
      </c>
      <c r="E571" s="10" t="s">
        <v>122</v>
      </c>
    </row>
    <row r="572" spans="1:5">
      <c r="A572" s="11">
        <v>42442</v>
      </c>
      <c r="B572" s="10" t="s">
        <v>1378</v>
      </c>
      <c r="C572" s="10" t="s">
        <v>1379</v>
      </c>
      <c r="D572" s="11">
        <v>42442.290254629632</v>
      </c>
      <c r="E572" s="10" t="s">
        <v>625</v>
      </c>
    </row>
    <row r="573" spans="1:5" ht="21.6">
      <c r="A573" s="11">
        <v>42442</v>
      </c>
      <c r="B573" s="10" t="s">
        <v>1380</v>
      </c>
      <c r="C573" s="10" t="s">
        <v>1381</v>
      </c>
      <c r="D573" s="11">
        <v>42442.887013888889</v>
      </c>
      <c r="E573" s="10" t="s">
        <v>910</v>
      </c>
    </row>
    <row r="574" spans="1:5" ht="21.6">
      <c r="A574" s="11">
        <v>42442</v>
      </c>
      <c r="B574" s="10" t="s">
        <v>1382</v>
      </c>
      <c r="C574" s="10" t="s">
        <v>1383</v>
      </c>
      <c r="D574" s="11">
        <v>42442.311469907407</v>
      </c>
      <c r="E574" s="10" t="s">
        <v>1110</v>
      </c>
    </row>
    <row r="575" spans="1:5" ht="21.6">
      <c r="A575" s="11">
        <v>42442</v>
      </c>
      <c r="B575" s="10" t="s">
        <v>1384</v>
      </c>
      <c r="C575" s="10" t="s">
        <v>1385</v>
      </c>
      <c r="D575" s="11">
        <v>42442.314606481479</v>
      </c>
      <c r="E575" s="10" t="s">
        <v>582</v>
      </c>
    </row>
    <row r="576" spans="1:5">
      <c r="A576" s="11">
        <v>42442</v>
      </c>
      <c r="B576" s="10" t="s">
        <v>1386</v>
      </c>
      <c r="C576" s="10" t="s">
        <v>1387</v>
      </c>
      <c r="D576" s="11">
        <v>42442.327476851853</v>
      </c>
      <c r="E576" s="10" t="s">
        <v>707</v>
      </c>
    </row>
    <row r="577" spans="1:5">
      <c r="A577" s="11">
        <v>42442</v>
      </c>
      <c r="B577" s="10" t="s">
        <v>1388</v>
      </c>
      <c r="C577" s="10" t="s">
        <v>1389</v>
      </c>
      <c r="D577" s="11">
        <v>42442.342546296299</v>
      </c>
      <c r="E577" s="10" t="s">
        <v>608</v>
      </c>
    </row>
    <row r="578" spans="1:5" ht="21.6">
      <c r="A578" s="11">
        <v>42442</v>
      </c>
      <c r="B578" s="10" t="s">
        <v>1390</v>
      </c>
      <c r="C578" s="10" t="s">
        <v>1391</v>
      </c>
      <c r="D578" s="11">
        <v>42442.352777777778</v>
      </c>
      <c r="E578" s="10" t="s">
        <v>582</v>
      </c>
    </row>
    <row r="579" spans="1:5">
      <c r="A579" s="11">
        <v>42442</v>
      </c>
      <c r="B579" s="10" t="s">
        <v>1392</v>
      </c>
      <c r="C579" s="10" t="s">
        <v>1393</v>
      </c>
      <c r="D579" s="11">
        <v>42442.364907407406</v>
      </c>
      <c r="E579" s="10" t="s">
        <v>193</v>
      </c>
    </row>
    <row r="580" spans="1:5">
      <c r="A580" s="11">
        <v>42442</v>
      </c>
      <c r="B580" s="10" t="s">
        <v>1394</v>
      </c>
      <c r="C580" s="10" t="s">
        <v>1395</v>
      </c>
      <c r="D580" s="11">
        <v>42442.368078703701</v>
      </c>
      <c r="E580" s="10" t="s">
        <v>96</v>
      </c>
    </row>
    <row r="581" spans="1:5">
      <c r="A581" s="11">
        <v>42442</v>
      </c>
      <c r="B581" s="10" t="s">
        <v>1396</v>
      </c>
      <c r="C581" s="10" t="s">
        <v>1397</v>
      </c>
      <c r="D581" s="11">
        <v>42442.4766087963</v>
      </c>
      <c r="E581" s="10" t="s">
        <v>143</v>
      </c>
    </row>
    <row r="582" spans="1:5">
      <c r="A582" s="11">
        <v>42442</v>
      </c>
      <c r="B582" s="10" t="s">
        <v>1398</v>
      </c>
      <c r="C582" s="10" t="s">
        <v>1399</v>
      </c>
      <c r="D582" s="11">
        <v>42442.387060185189</v>
      </c>
      <c r="E582" s="10" t="s">
        <v>152</v>
      </c>
    </row>
    <row r="583" spans="1:5">
      <c r="A583" s="11">
        <v>42442</v>
      </c>
      <c r="B583" s="10" t="s">
        <v>1400</v>
      </c>
      <c r="C583" s="10" t="s">
        <v>1401</v>
      </c>
      <c r="D583" s="11">
        <v>42442.388969907406</v>
      </c>
      <c r="E583" s="10" t="s">
        <v>178</v>
      </c>
    </row>
    <row r="584" spans="1:5">
      <c r="A584" s="11">
        <v>42442</v>
      </c>
      <c r="B584" s="10" t="s">
        <v>1402</v>
      </c>
      <c r="C584" s="10" t="s">
        <v>1403</v>
      </c>
      <c r="D584" s="11">
        <v>42442.397337962961</v>
      </c>
      <c r="E584" s="10" t="s">
        <v>625</v>
      </c>
    </row>
    <row r="585" spans="1:5">
      <c r="A585" s="11">
        <v>42442</v>
      </c>
      <c r="B585" s="10" t="s">
        <v>1404</v>
      </c>
      <c r="C585" s="10" t="s">
        <v>1405</v>
      </c>
      <c r="D585" s="11">
        <v>42442.399768518517</v>
      </c>
      <c r="E585" s="10" t="s">
        <v>122</v>
      </c>
    </row>
    <row r="586" spans="1:5">
      <c r="A586" s="11">
        <v>42442</v>
      </c>
      <c r="B586" s="10" t="s">
        <v>1406</v>
      </c>
      <c r="C586" s="10" t="s">
        <v>1407</v>
      </c>
      <c r="D586" s="11">
        <v>42442.400462962964</v>
      </c>
      <c r="E586" s="10" t="s">
        <v>152</v>
      </c>
    </row>
    <row r="587" spans="1:5" ht="21.6">
      <c r="A587" s="11">
        <v>42442</v>
      </c>
      <c r="B587" s="10" t="s">
        <v>1408</v>
      </c>
      <c r="C587" s="10" t="s">
        <v>1409</v>
      </c>
      <c r="D587" s="11">
        <v>42442.401446759257</v>
      </c>
      <c r="E587" s="10" t="s">
        <v>1015</v>
      </c>
    </row>
    <row r="588" spans="1:5">
      <c r="A588" s="11">
        <v>42442</v>
      </c>
      <c r="B588" s="10" t="s">
        <v>1410</v>
      </c>
      <c r="C588" s="10" t="s">
        <v>1411</v>
      </c>
      <c r="D588" s="11">
        <v>42442.403391203705</v>
      </c>
      <c r="E588" s="10" t="s">
        <v>414</v>
      </c>
    </row>
    <row r="589" spans="1:5" ht="21.6">
      <c r="A589" s="11">
        <v>42442</v>
      </c>
      <c r="B589" s="10" t="s">
        <v>1412</v>
      </c>
      <c r="C589" s="10" t="s">
        <v>1413</v>
      </c>
      <c r="D589" s="11">
        <v>42442.405810185184</v>
      </c>
      <c r="E589" s="10" t="s">
        <v>582</v>
      </c>
    </row>
    <row r="590" spans="1:5">
      <c r="A590" s="11">
        <v>42442</v>
      </c>
      <c r="B590" s="10" t="s">
        <v>1414</v>
      </c>
      <c r="C590" s="10" t="s">
        <v>1415</v>
      </c>
      <c r="D590" s="11">
        <v>42442.414155092592</v>
      </c>
      <c r="E590" s="10" t="s">
        <v>625</v>
      </c>
    </row>
    <row r="591" spans="1:5">
      <c r="A591" s="11">
        <v>42442</v>
      </c>
      <c r="B591" s="10" t="s">
        <v>1416</v>
      </c>
      <c r="C591" s="10" t="s">
        <v>1417</v>
      </c>
      <c r="D591" s="11">
        <v>42442.408807870372</v>
      </c>
      <c r="E591" s="10" t="s">
        <v>108</v>
      </c>
    </row>
    <row r="592" spans="1:5">
      <c r="A592" s="11">
        <v>42442</v>
      </c>
      <c r="B592" s="10" t="s">
        <v>1418</v>
      </c>
      <c r="C592" s="10" t="s">
        <v>1419</v>
      </c>
      <c r="D592" s="11">
        <v>42442.425405092596</v>
      </c>
      <c r="E592" s="10" t="s">
        <v>209</v>
      </c>
    </row>
    <row r="593" spans="1:5" ht="21.6">
      <c r="A593" s="11">
        <v>42442</v>
      </c>
      <c r="B593" s="10" t="s">
        <v>1420</v>
      </c>
      <c r="C593" s="10" t="s">
        <v>1421</v>
      </c>
      <c r="D593" s="11">
        <v>42442.435057870367</v>
      </c>
      <c r="E593" s="10" t="s">
        <v>368</v>
      </c>
    </row>
    <row r="594" spans="1:5">
      <c r="A594" s="11">
        <v>42442</v>
      </c>
      <c r="B594" s="10" t="s">
        <v>1422</v>
      </c>
      <c r="C594" s="10" t="s">
        <v>1423</v>
      </c>
      <c r="D594" s="11">
        <v>42442.435787037037</v>
      </c>
      <c r="E594" s="10" t="s">
        <v>96</v>
      </c>
    </row>
    <row r="595" spans="1:5">
      <c r="A595" s="11">
        <v>42442</v>
      </c>
      <c r="B595" s="10" t="s">
        <v>1424</v>
      </c>
      <c r="C595" s="10" t="s">
        <v>1425</v>
      </c>
      <c r="D595" s="11">
        <v>42443.491365740738</v>
      </c>
      <c r="E595" s="10" t="s">
        <v>440</v>
      </c>
    </row>
    <row r="596" spans="1:5">
      <c r="A596" s="11">
        <v>42442</v>
      </c>
      <c r="B596" s="10" t="s">
        <v>1426</v>
      </c>
      <c r="C596" s="10" t="s">
        <v>1427</v>
      </c>
      <c r="D596" s="11">
        <v>42443.4452662037</v>
      </c>
      <c r="E596" s="10" t="s">
        <v>152</v>
      </c>
    </row>
    <row r="597" spans="1:5">
      <c r="A597" s="11">
        <v>42442</v>
      </c>
      <c r="B597" s="10" t="s">
        <v>1428</v>
      </c>
      <c r="C597" s="10" t="s">
        <v>1429</v>
      </c>
      <c r="D597" s="11">
        <v>42442.439745370371</v>
      </c>
      <c r="E597" s="10" t="s">
        <v>193</v>
      </c>
    </row>
    <row r="598" spans="1:5">
      <c r="A598" s="11">
        <v>42442</v>
      </c>
      <c r="B598" s="10" t="s">
        <v>1430</v>
      </c>
      <c r="C598" s="10" t="s">
        <v>1431</v>
      </c>
      <c r="D598" s="11">
        <v>42442.450624999998</v>
      </c>
      <c r="E598" s="10" t="s">
        <v>122</v>
      </c>
    </row>
    <row r="599" spans="1:5">
      <c r="A599" s="11">
        <v>42442</v>
      </c>
      <c r="B599" s="10" t="s">
        <v>1432</v>
      </c>
      <c r="C599" s="10" t="s">
        <v>1433</v>
      </c>
      <c r="D599" s="11">
        <v>42442.463923611111</v>
      </c>
      <c r="E599" s="10" t="s">
        <v>178</v>
      </c>
    </row>
    <row r="600" spans="1:5">
      <c r="A600" s="11">
        <v>42442</v>
      </c>
      <c r="B600" s="10" t="s">
        <v>1434</v>
      </c>
      <c r="C600" s="10" t="s">
        <v>1435</v>
      </c>
      <c r="D600" s="11">
        <v>42442.46230324074</v>
      </c>
      <c r="E600" s="10" t="s">
        <v>308</v>
      </c>
    </row>
    <row r="601" spans="1:5">
      <c r="A601" s="11">
        <v>42442</v>
      </c>
      <c r="B601" s="10" t="s">
        <v>1436</v>
      </c>
      <c r="C601" s="10" t="s">
        <v>1437</v>
      </c>
      <c r="D601" s="11">
        <v>42443.394004629627</v>
      </c>
      <c r="E601" s="10" t="s">
        <v>108</v>
      </c>
    </row>
    <row r="602" spans="1:5">
      <c r="A602" s="11">
        <v>42442</v>
      </c>
      <c r="B602" s="10" t="s">
        <v>1438</v>
      </c>
      <c r="C602" s="10" t="s">
        <v>1439</v>
      </c>
      <c r="D602" s="11">
        <v>42443.37327546296</v>
      </c>
      <c r="E602" s="10" t="s">
        <v>193</v>
      </c>
    </row>
    <row r="603" spans="1:5" ht="21.6">
      <c r="A603" s="11">
        <v>42442</v>
      </c>
      <c r="B603" s="10" t="s">
        <v>1440</v>
      </c>
      <c r="C603" s="10" t="s">
        <v>1441</v>
      </c>
      <c r="D603" s="11">
        <v>42442.472013888888</v>
      </c>
      <c r="E603" s="10" t="s">
        <v>146</v>
      </c>
    </row>
    <row r="604" spans="1:5">
      <c r="A604" s="11">
        <v>42442</v>
      </c>
      <c r="B604" s="10" t="s">
        <v>1442</v>
      </c>
      <c r="C604" s="10" t="s">
        <v>1443</v>
      </c>
      <c r="D604" s="11">
        <v>42442.779340277775</v>
      </c>
      <c r="E604" s="10" t="s">
        <v>608</v>
      </c>
    </row>
    <row r="605" spans="1:5">
      <c r="A605" s="11">
        <v>42442</v>
      </c>
      <c r="B605" s="10" t="s">
        <v>1444</v>
      </c>
      <c r="C605" s="10" t="s">
        <v>1445</v>
      </c>
      <c r="D605" s="11">
        <v>42442.476689814815</v>
      </c>
      <c r="E605" s="10" t="s">
        <v>335</v>
      </c>
    </row>
    <row r="606" spans="1:5" ht="21.6">
      <c r="A606" s="11">
        <v>42442</v>
      </c>
      <c r="B606" s="10" t="s">
        <v>1446</v>
      </c>
      <c r="C606" s="10" t="s">
        <v>1447</v>
      </c>
      <c r="D606" s="11">
        <v>42442.476863425924</v>
      </c>
      <c r="E606" s="10" t="s">
        <v>1004</v>
      </c>
    </row>
    <row r="607" spans="1:5">
      <c r="A607" s="11">
        <v>42442</v>
      </c>
      <c r="B607" s="10" t="s">
        <v>1448</v>
      </c>
      <c r="C607" s="10" t="s">
        <v>1449</v>
      </c>
      <c r="D607" s="11">
        <v>42442.484467592592</v>
      </c>
      <c r="E607" s="10" t="s">
        <v>707</v>
      </c>
    </row>
    <row r="608" spans="1:5">
      <c r="A608" s="11">
        <v>42442</v>
      </c>
      <c r="B608" s="10" t="s">
        <v>1450</v>
      </c>
      <c r="C608" s="10" t="s">
        <v>1451</v>
      </c>
      <c r="D608" s="11">
        <v>42442.484722222223</v>
      </c>
      <c r="E608" s="10" t="s">
        <v>707</v>
      </c>
    </row>
    <row r="609" spans="1:5">
      <c r="A609" s="11">
        <v>42442</v>
      </c>
      <c r="B609" s="10" t="s">
        <v>1452</v>
      </c>
      <c r="C609" s="10" t="s">
        <v>1453</v>
      </c>
      <c r="D609" s="11">
        <v>42442.487835648149</v>
      </c>
      <c r="E609" s="10" t="s">
        <v>111</v>
      </c>
    </row>
    <row r="610" spans="1:5">
      <c r="A610" s="11">
        <v>42442</v>
      </c>
      <c r="B610" s="10" t="s">
        <v>1454</v>
      </c>
      <c r="C610" s="10" t="s">
        <v>1455</v>
      </c>
      <c r="D610" s="11">
        <v>42442.48877314815</v>
      </c>
      <c r="E610" s="10" t="s">
        <v>111</v>
      </c>
    </row>
    <row r="611" spans="1:5">
      <c r="A611" s="11">
        <v>42442</v>
      </c>
      <c r="B611" s="10" t="s">
        <v>1456</v>
      </c>
      <c r="C611" s="10" t="s">
        <v>1457</v>
      </c>
      <c r="D611" s="11">
        <v>42443.264062499999</v>
      </c>
      <c r="E611" s="10" t="s">
        <v>946</v>
      </c>
    </row>
    <row r="612" spans="1:5">
      <c r="A612" s="11">
        <v>42442</v>
      </c>
      <c r="B612" s="10" t="s">
        <v>1458</v>
      </c>
      <c r="C612" s="10" t="s">
        <v>1459</v>
      </c>
      <c r="D612" s="11">
        <v>42442.492615740739</v>
      </c>
      <c r="E612" s="10" t="s">
        <v>232</v>
      </c>
    </row>
    <row r="613" spans="1:5">
      <c r="A613" s="11">
        <v>42442</v>
      </c>
      <c r="B613" s="10" t="s">
        <v>1460</v>
      </c>
      <c r="C613" s="10" t="s">
        <v>1461</v>
      </c>
      <c r="D613" s="11">
        <v>42443.372743055559</v>
      </c>
      <c r="E613" s="10" t="s">
        <v>99</v>
      </c>
    </row>
    <row r="614" spans="1:5">
      <c r="A614" s="11">
        <v>42442</v>
      </c>
      <c r="B614" s="10" t="s">
        <v>1462</v>
      </c>
      <c r="C614" s="10" t="s">
        <v>1463</v>
      </c>
      <c r="D614" s="11">
        <v>42443.408275462964</v>
      </c>
      <c r="E614" s="10" t="s">
        <v>380</v>
      </c>
    </row>
    <row r="615" spans="1:5" ht="21.6">
      <c r="A615" s="11">
        <v>42442</v>
      </c>
      <c r="B615" s="10" t="s">
        <v>1464</v>
      </c>
      <c r="C615" s="10" t="s">
        <v>1465</v>
      </c>
      <c r="D615" s="11">
        <v>42442.497789351852</v>
      </c>
      <c r="E615" s="10" t="s">
        <v>661</v>
      </c>
    </row>
    <row r="616" spans="1:5">
      <c r="A616" s="11">
        <v>42442</v>
      </c>
      <c r="B616" s="10" t="s">
        <v>1466</v>
      </c>
      <c r="C616" s="10" t="s">
        <v>1467</v>
      </c>
      <c r="D616" s="11">
        <v>42442.503472222219</v>
      </c>
      <c r="E616" s="10" t="s">
        <v>1319</v>
      </c>
    </row>
    <row r="617" spans="1:5">
      <c r="A617" s="11">
        <v>42442</v>
      </c>
      <c r="B617" s="10" t="s">
        <v>1468</v>
      </c>
      <c r="C617" s="10" t="s">
        <v>1469</v>
      </c>
      <c r="D617" s="11">
        <v>42442.511701388888</v>
      </c>
      <c r="E617" s="10" t="s">
        <v>472</v>
      </c>
    </row>
    <row r="618" spans="1:5">
      <c r="A618" s="11">
        <v>42442</v>
      </c>
      <c r="B618" s="10" t="s">
        <v>1470</v>
      </c>
      <c r="C618" s="10" t="s">
        <v>1471</v>
      </c>
      <c r="D618" s="11">
        <v>42442.564988425926</v>
      </c>
      <c r="E618" s="10" t="s">
        <v>96</v>
      </c>
    </row>
    <row r="619" spans="1:5">
      <c r="A619" s="11">
        <v>42442</v>
      </c>
      <c r="B619" s="10" t="s">
        <v>1472</v>
      </c>
      <c r="C619" s="10" t="s">
        <v>1473</v>
      </c>
      <c r="D619" s="11">
        <v>42442.556030092594</v>
      </c>
      <c r="E619" s="10" t="s">
        <v>411</v>
      </c>
    </row>
    <row r="620" spans="1:5">
      <c r="A620" s="11">
        <v>42442</v>
      </c>
      <c r="B620" s="10" t="s">
        <v>1474</v>
      </c>
      <c r="C620" s="10" t="s">
        <v>1475</v>
      </c>
      <c r="D620" s="11">
        <v>42442.520300925928</v>
      </c>
      <c r="E620" s="10" t="s">
        <v>1208</v>
      </c>
    </row>
    <row r="621" spans="1:5">
      <c r="A621" s="11">
        <v>42442</v>
      </c>
      <c r="B621" s="10" t="s">
        <v>1476</v>
      </c>
      <c r="C621" s="10" t="s">
        <v>1477</v>
      </c>
      <c r="D621" s="11">
        <v>42442.522465277776</v>
      </c>
      <c r="E621" s="10" t="s">
        <v>308</v>
      </c>
    </row>
    <row r="622" spans="1:5" ht="21.6">
      <c r="A622" s="11">
        <v>42442</v>
      </c>
      <c r="B622" s="10" t="s">
        <v>1478</v>
      </c>
      <c r="C622" s="10" t="s">
        <v>1479</v>
      </c>
      <c r="D622" s="11">
        <v>42442.559988425928</v>
      </c>
      <c r="E622" s="10" t="s">
        <v>171</v>
      </c>
    </row>
    <row r="623" spans="1:5">
      <c r="A623" s="11">
        <v>42442</v>
      </c>
      <c r="B623" s="10" t="s">
        <v>1480</v>
      </c>
      <c r="C623" s="10" t="s">
        <v>1481</v>
      </c>
      <c r="D623" s="11">
        <v>42442.525879629633</v>
      </c>
      <c r="E623" s="10" t="s">
        <v>308</v>
      </c>
    </row>
    <row r="624" spans="1:5">
      <c r="A624" s="11">
        <v>42442</v>
      </c>
      <c r="B624" s="10" t="s">
        <v>1482</v>
      </c>
      <c r="C624" s="10" t="s">
        <v>1483</v>
      </c>
      <c r="D624" s="11">
        <v>42443.496157407404</v>
      </c>
      <c r="E624" s="10" t="s">
        <v>380</v>
      </c>
    </row>
    <row r="625" spans="1:5">
      <c r="A625" s="11">
        <v>42442</v>
      </c>
      <c r="B625" s="10" t="s">
        <v>1484</v>
      </c>
      <c r="C625" s="10" t="s">
        <v>1485</v>
      </c>
      <c r="D625" s="11">
        <v>42442.528587962966</v>
      </c>
      <c r="E625" s="10" t="s">
        <v>383</v>
      </c>
    </row>
    <row r="626" spans="1:5" ht="21.6">
      <c r="A626" s="11">
        <v>42442</v>
      </c>
      <c r="B626" s="10" t="s">
        <v>1486</v>
      </c>
      <c r="C626" s="10" t="s">
        <v>1487</v>
      </c>
      <c r="D626" s="11">
        <v>42443.068668981483</v>
      </c>
      <c r="E626" s="10" t="s">
        <v>661</v>
      </c>
    </row>
    <row r="627" spans="1:5">
      <c r="A627" s="11">
        <v>42442</v>
      </c>
      <c r="B627" s="10" t="s">
        <v>1488</v>
      </c>
      <c r="C627" s="10" t="s">
        <v>1489</v>
      </c>
      <c r="D627" s="11">
        <v>42442.533877314818</v>
      </c>
      <c r="E627" s="10" t="s">
        <v>218</v>
      </c>
    </row>
    <row r="628" spans="1:5">
      <c r="A628" s="11">
        <v>42442</v>
      </c>
      <c r="B628" s="10" t="s">
        <v>1490</v>
      </c>
      <c r="C628" s="10" t="s">
        <v>1491</v>
      </c>
      <c r="D628" s="11">
        <v>42442.542615740742</v>
      </c>
      <c r="E628" s="10" t="s">
        <v>232</v>
      </c>
    </row>
    <row r="629" spans="1:5">
      <c r="A629" s="11">
        <v>42442</v>
      </c>
      <c r="B629" s="10" t="s">
        <v>1492</v>
      </c>
      <c r="C629" s="10" t="s">
        <v>1493</v>
      </c>
      <c r="D629" s="11">
        <v>42442.549444444441</v>
      </c>
      <c r="E629" s="10" t="s">
        <v>108</v>
      </c>
    </row>
    <row r="630" spans="1:5" ht="21.6">
      <c r="A630" s="11">
        <v>42442</v>
      </c>
      <c r="B630" s="10" t="s">
        <v>1494</v>
      </c>
      <c r="C630" s="10" t="s">
        <v>1495</v>
      </c>
      <c r="D630" s="11">
        <v>42442.552152777775</v>
      </c>
      <c r="E630" s="10" t="s">
        <v>257</v>
      </c>
    </row>
    <row r="631" spans="1:5">
      <c r="A631" s="11">
        <v>42442</v>
      </c>
      <c r="B631" s="10" t="s">
        <v>1496</v>
      </c>
      <c r="C631" s="10" t="s">
        <v>1497</v>
      </c>
      <c r="D631" s="11">
        <v>42442.643495370372</v>
      </c>
      <c r="E631" s="10" t="s">
        <v>1319</v>
      </c>
    </row>
    <row r="632" spans="1:5">
      <c r="A632" s="11">
        <v>42442</v>
      </c>
      <c r="B632" s="10" t="s">
        <v>1498</v>
      </c>
      <c r="C632" s="10" t="s">
        <v>1499</v>
      </c>
      <c r="D632" s="11">
        <v>42442.554409722223</v>
      </c>
      <c r="E632" s="10" t="s">
        <v>108</v>
      </c>
    </row>
    <row r="633" spans="1:5" ht="21.6">
      <c r="A633" s="11">
        <v>42442</v>
      </c>
      <c r="B633" s="10" t="s">
        <v>1500</v>
      </c>
      <c r="C633" s="10" t="s">
        <v>1501</v>
      </c>
      <c r="D633" s="11">
        <v>42442.556423611109</v>
      </c>
      <c r="E633" s="10" t="s">
        <v>582</v>
      </c>
    </row>
    <row r="634" spans="1:5" ht="21.6">
      <c r="A634" s="11">
        <v>42442</v>
      </c>
      <c r="B634" s="10" t="s">
        <v>1502</v>
      </c>
      <c r="C634" s="10" t="s">
        <v>1503</v>
      </c>
      <c r="D634" s="11">
        <v>42442.559675925928</v>
      </c>
      <c r="E634" s="10" t="s">
        <v>114</v>
      </c>
    </row>
    <row r="635" spans="1:5" ht="21.6">
      <c r="A635" s="11">
        <v>42442</v>
      </c>
      <c r="B635" s="10" t="s">
        <v>1504</v>
      </c>
      <c r="C635" s="10" t="s">
        <v>1505</v>
      </c>
      <c r="D635" s="11">
        <v>42443.484606481485</v>
      </c>
      <c r="E635" s="10" t="s">
        <v>171</v>
      </c>
    </row>
    <row r="636" spans="1:5" ht="21.6">
      <c r="A636" s="11">
        <v>42442</v>
      </c>
      <c r="B636" s="10" t="s">
        <v>1506</v>
      </c>
      <c r="C636" s="10" t="s">
        <v>1507</v>
      </c>
      <c r="D636" s="11">
        <v>42442.569756944446</v>
      </c>
      <c r="E636" s="10" t="s">
        <v>582</v>
      </c>
    </row>
    <row r="637" spans="1:5">
      <c r="A637" s="11">
        <v>42442</v>
      </c>
      <c r="B637" s="10" t="s">
        <v>1508</v>
      </c>
      <c r="C637" s="10" t="s">
        <v>1509</v>
      </c>
      <c r="D637" s="11">
        <v>42442.820532407408</v>
      </c>
      <c r="E637" s="10" t="s">
        <v>1510</v>
      </c>
    </row>
    <row r="638" spans="1:5">
      <c r="A638" s="11">
        <v>42442</v>
      </c>
      <c r="B638" s="10" t="s">
        <v>1511</v>
      </c>
      <c r="C638" s="10" t="s">
        <v>1512</v>
      </c>
      <c r="D638" s="11">
        <v>42443.023136574076</v>
      </c>
      <c r="E638" s="10" t="s">
        <v>383</v>
      </c>
    </row>
    <row r="639" spans="1:5" ht="21.6">
      <c r="A639" s="11">
        <v>42442</v>
      </c>
      <c r="B639" s="10" t="s">
        <v>1513</v>
      </c>
      <c r="C639" s="10" t="s">
        <v>1514</v>
      </c>
      <c r="D639" s="11">
        <v>42442.582476851851</v>
      </c>
      <c r="E639" s="10" t="s">
        <v>910</v>
      </c>
    </row>
    <row r="640" spans="1:5">
      <c r="A640" s="11">
        <v>42442</v>
      </c>
      <c r="B640" s="10" t="s">
        <v>1515</v>
      </c>
      <c r="C640" s="10" t="s">
        <v>1516</v>
      </c>
      <c r="D640" s="11">
        <v>42442.627314814818</v>
      </c>
      <c r="E640" s="10" t="s">
        <v>656</v>
      </c>
    </row>
    <row r="641" spans="1:5">
      <c r="A641" s="11">
        <v>42442</v>
      </c>
      <c r="B641" s="10" t="s">
        <v>1517</v>
      </c>
      <c r="C641" s="10" t="s">
        <v>1518</v>
      </c>
      <c r="D641" s="11">
        <v>42442.607708333337</v>
      </c>
      <c r="E641" s="10" t="s">
        <v>138</v>
      </c>
    </row>
    <row r="642" spans="1:5" ht="21.6">
      <c r="A642" s="11">
        <v>42442</v>
      </c>
      <c r="B642" s="10" t="s">
        <v>1519</v>
      </c>
      <c r="C642" s="10" t="s">
        <v>1520</v>
      </c>
      <c r="D642" s="11">
        <v>42442.697083333333</v>
      </c>
      <c r="E642" s="10" t="s">
        <v>910</v>
      </c>
    </row>
    <row r="643" spans="1:5">
      <c r="A643" s="11">
        <v>42442</v>
      </c>
      <c r="B643" s="10" t="s">
        <v>1521</v>
      </c>
      <c r="C643" s="10" t="s">
        <v>1522</v>
      </c>
      <c r="D643" s="11">
        <v>42442.598553240743</v>
      </c>
      <c r="E643" s="10" t="s">
        <v>143</v>
      </c>
    </row>
    <row r="644" spans="1:5">
      <c r="A644" s="11">
        <v>42442</v>
      </c>
      <c r="B644" s="10" t="s">
        <v>1523</v>
      </c>
      <c r="C644" s="10" t="s">
        <v>1524</v>
      </c>
      <c r="D644" s="11">
        <v>42442.596238425926</v>
      </c>
      <c r="E644" s="10" t="s">
        <v>292</v>
      </c>
    </row>
    <row r="645" spans="1:5">
      <c r="A645" s="11">
        <v>42442</v>
      </c>
      <c r="B645" s="10" t="s">
        <v>1525</v>
      </c>
      <c r="C645" s="10" t="s">
        <v>1526</v>
      </c>
      <c r="D645" s="11">
        <v>42442.596250000002</v>
      </c>
      <c r="E645" s="10" t="s">
        <v>108</v>
      </c>
    </row>
    <row r="646" spans="1:5" ht="21.6">
      <c r="A646" s="11">
        <v>42442</v>
      </c>
      <c r="B646" s="10" t="s">
        <v>1527</v>
      </c>
      <c r="C646" s="10" t="s">
        <v>1528</v>
      </c>
      <c r="D646" s="11">
        <v>42442.596261574072</v>
      </c>
      <c r="E646" s="10" t="s">
        <v>1110</v>
      </c>
    </row>
    <row r="647" spans="1:5">
      <c r="A647" s="11">
        <v>42442</v>
      </c>
      <c r="B647" s="10" t="s">
        <v>1529</v>
      </c>
      <c r="C647" s="10" t="s">
        <v>1530</v>
      </c>
      <c r="D647" s="11">
        <v>42443.400138888886</v>
      </c>
      <c r="E647" s="10" t="s">
        <v>215</v>
      </c>
    </row>
    <row r="648" spans="1:5" ht="21.6">
      <c r="A648" s="11">
        <v>42442</v>
      </c>
      <c r="B648" s="10" t="s">
        <v>1531</v>
      </c>
      <c r="C648" s="10" t="s">
        <v>1532</v>
      </c>
      <c r="D648" s="11">
        <v>42442.610497685186</v>
      </c>
      <c r="E648" s="10" t="s">
        <v>582</v>
      </c>
    </row>
    <row r="649" spans="1:5">
      <c r="A649" s="11">
        <v>42442</v>
      </c>
      <c r="B649" s="10" t="s">
        <v>1533</v>
      </c>
      <c r="C649" s="10" t="s">
        <v>1534</v>
      </c>
      <c r="D649" s="11">
        <v>42442.61109953704</v>
      </c>
      <c r="E649" s="10" t="s">
        <v>902</v>
      </c>
    </row>
    <row r="650" spans="1:5">
      <c r="A650" s="11">
        <v>42442</v>
      </c>
      <c r="B650" s="10" t="s">
        <v>1535</v>
      </c>
      <c r="C650" s="10" t="s">
        <v>1536</v>
      </c>
      <c r="D650" s="11">
        <v>42442.614178240743</v>
      </c>
      <c r="E650" s="10" t="s">
        <v>152</v>
      </c>
    </row>
    <row r="651" spans="1:5" ht="21.6">
      <c r="A651" s="11">
        <v>42442</v>
      </c>
      <c r="B651" s="10" t="s">
        <v>1537</v>
      </c>
      <c r="C651" s="10" t="s">
        <v>1538</v>
      </c>
      <c r="D651" s="11">
        <v>42442.629282407404</v>
      </c>
      <c r="E651" s="10" t="s">
        <v>1539</v>
      </c>
    </row>
    <row r="652" spans="1:5">
      <c r="A652" s="11">
        <v>42442</v>
      </c>
      <c r="B652" s="10" t="s">
        <v>1540</v>
      </c>
      <c r="C652" s="10" t="s">
        <v>1541</v>
      </c>
      <c r="D652" s="11">
        <v>42443.452037037037</v>
      </c>
      <c r="E652" s="10" t="s">
        <v>193</v>
      </c>
    </row>
    <row r="653" spans="1:5" ht="21.6">
      <c r="A653" s="11">
        <v>42442</v>
      </c>
      <c r="B653" s="10" t="s">
        <v>1542</v>
      </c>
      <c r="C653" s="10" t="s">
        <v>1543</v>
      </c>
      <c r="D653" s="11">
        <v>42442.616122685184</v>
      </c>
      <c r="E653" s="10" t="s">
        <v>146</v>
      </c>
    </row>
    <row r="654" spans="1:5">
      <c r="A654" s="11">
        <v>42442</v>
      </c>
      <c r="B654" s="10" t="s">
        <v>1544</v>
      </c>
      <c r="C654" s="10" t="s">
        <v>1545</v>
      </c>
      <c r="D654" s="11">
        <v>42442.620243055557</v>
      </c>
      <c r="E654" s="10" t="s">
        <v>736</v>
      </c>
    </row>
    <row r="655" spans="1:5">
      <c r="A655" s="11">
        <v>42442</v>
      </c>
      <c r="B655" s="10" t="s">
        <v>1546</v>
      </c>
      <c r="C655" s="10" t="s">
        <v>1547</v>
      </c>
      <c r="D655" s="11">
        <v>42442.622743055559</v>
      </c>
      <c r="E655" s="10" t="s">
        <v>608</v>
      </c>
    </row>
    <row r="656" spans="1:5">
      <c r="A656" s="11">
        <v>42442</v>
      </c>
      <c r="B656" s="10" t="s">
        <v>1548</v>
      </c>
      <c r="C656" s="10" t="s">
        <v>1549</v>
      </c>
      <c r="D656" s="11">
        <v>42442.721643518518</v>
      </c>
      <c r="E656" s="10" t="s">
        <v>108</v>
      </c>
    </row>
    <row r="657" spans="1:5" ht="21.6">
      <c r="A657" s="11">
        <v>42442</v>
      </c>
      <c r="B657" s="10" t="s">
        <v>1550</v>
      </c>
      <c r="C657" s="10" t="s">
        <v>1551</v>
      </c>
      <c r="D657" s="11">
        <v>42443.384432870371</v>
      </c>
      <c r="E657" s="10" t="s">
        <v>356</v>
      </c>
    </row>
    <row r="658" spans="1:5">
      <c r="A658" s="11">
        <v>42442</v>
      </c>
      <c r="B658" s="10" t="s">
        <v>1552</v>
      </c>
      <c r="C658" s="10" t="s">
        <v>1553</v>
      </c>
      <c r="D658" s="11">
        <v>42442.628622685188</v>
      </c>
      <c r="E658" s="10" t="s">
        <v>440</v>
      </c>
    </row>
    <row r="659" spans="1:5">
      <c r="A659" s="11">
        <v>42442</v>
      </c>
      <c r="B659" s="10" t="s">
        <v>1554</v>
      </c>
      <c r="C659" s="10" t="s">
        <v>1555</v>
      </c>
      <c r="D659" s="11">
        <v>42442.632847222223</v>
      </c>
      <c r="E659" s="10" t="s">
        <v>203</v>
      </c>
    </row>
    <row r="660" spans="1:5">
      <c r="A660" s="11">
        <v>42442</v>
      </c>
      <c r="B660" s="10" t="s">
        <v>1556</v>
      </c>
      <c r="C660" s="10" t="s">
        <v>1557</v>
      </c>
      <c r="D660" s="11">
        <v>42442.634398148148</v>
      </c>
      <c r="E660" s="10" t="s">
        <v>122</v>
      </c>
    </row>
    <row r="661" spans="1:5">
      <c r="A661" s="11">
        <v>42442</v>
      </c>
      <c r="B661" s="10" t="s">
        <v>1558</v>
      </c>
      <c r="C661" s="10" t="s">
        <v>1559</v>
      </c>
      <c r="D661" s="11">
        <v>42443.463275462964</v>
      </c>
      <c r="E661" s="10" t="s">
        <v>105</v>
      </c>
    </row>
    <row r="662" spans="1:5" ht="21.6">
      <c r="A662" s="11">
        <v>42442</v>
      </c>
      <c r="B662" s="10" t="s">
        <v>1560</v>
      </c>
      <c r="C662" s="10" t="s">
        <v>1561</v>
      </c>
      <c r="D662" s="11">
        <v>42442.63690972222</v>
      </c>
      <c r="E662" s="10" t="s">
        <v>661</v>
      </c>
    </row>
    <row r="663" spans="1:5">
      <c r="A663" s="11">
        <v>42442</v>
      </c>
      <c r="B663" s="10" t="s">
        <v>1562</v>
      </c>
      <c r="C663" s="10" t="s">
        <v>1563</v>
      </c>
      <c r="D663" s="11">
        <v>42442.637997685182</v>
      </c>
      <c r="E663" s="10" t="s">
        <v>625</v>
      </c>
    </row>
    <row r="664" spans="1:5">
      <c r="A664" s="11">
        <v>42442</v>
      </c>
      <c r="B664" s="10" t="s">
        <v>1564</v>
      </c>
      <c r="C664" s="10" t="s">
        <v>1565</v>
      </c>
      <c r="D664" s="11">
        <v>42442.641782407409</v>
      </c>
      <c r="E664" s="10" t="s">
        <v>902</v>
      </c>
    </row>
    <row r="665" spans="1:5">
      <c r="A665" s="11">
        <v>42442</v>
      </c>
      <c r="B665" s="10" t="s">
        <v>1566</v>
      </c>
      <c r="C665" s="10" t="s">
        <v>1567</v>
      </c>
      <c r="D665" s="11">
        <v>42442.642025462963</v>
      </c>
      <c r="E665" s="10" t="s">
        <v>736</v>
      </c>
    </row>
    <row r="666" spans="1:5" ht="21.6">
      <c r="A666" s="11">
        <v>42442</v>
      </c>
      <c r="B666" s="10" t="s">
        <v>1568</v>
      </c>
      <c r="C666" s="10" t="s">
        <v>1569</v>
      </c>
      <c r="D666" s="11">
        <v>42442.788171296299</v>
      </c>
      <c r="E666" s="10" t="s">
        <v>149</v>
      </c>
    </row>
    <row r="667" spans="1:5">
      <c r="A667" s="11">
        <v>42442</v>
      </c>
      <c r="B667" s="10" t="s">
        <v>1570</v>
      </c>
      <c r="C667" s="10" t="s">
        <v>1571</v>
      </c>
      <c r="D667" s="11">
        <v>42442.650034722225</v>
      </c>
      <c r="E667" s="10" t="s">
        <v>411</v>
      </c>
    </row>
    <row r="668" spans="1:5">
      <c r="A668" s="11">
        <v>42442</v>
      </c>
      <c r="B668" s="10" t="s">
        <v>1572</v>
      </c>
      <c r="C668" s="10" t="s">
        <v>1573</v>
      </c>
      <c r="D668" s="11">
        <v>42442.650254629632</v>
      </c>
      <c r="E668" s="10" t="s">
        <v>707</v>
      </c>
    </row>
    <row r="669" spans="1:5">
      <c r="A669" s="11">
        <v>42442</v>
      </c>
      <c r="B669" s="10" t="s">
        <v>1574</v>
      </c>
      <c r="C669" s="10" t="s">
        <v>1575</v>
      </c>
      <c r="D669" s="11">
        <v>42442.650960648149</v>
      </c>
      <c r="E669" s="10" t="s">
        <v>138</v>
      </c>
    </row>
    <row r="670" spans="1:5">
      <c r="A670" s="11">
        <v>42442</v>
      </c>
      <c r="B670" s="10" t="s">
        <v>1576</v>
      </c>
      <c r="C670" s="10" t="s">
        <v>1577</v>
      </c>
      <c r="D670" s="11">
        <v>42442.759652777779</v>
      </c>
      <c r="E670" s="10" t="s">
        <v>237</v>
      </c>
    </row>
    <row r="671" spans="1:5" ht="21.6">
      <c r="A671" s="11">
        <v>42442</v>
      </c>
      <c r="B671" s="10" t="s">
        <v>1578</v>
      </c>
      <c r="C671" s="10" t="s">
        <v>1579</v>
      </c>
      <c r="D671" s="11">
        <v>42442.663344907407</v>
      </c>
      <c r="E671" s="10" t="s">
        <v>1580</v>
      </c>
    </row>
    <row r="672" spans="1:5">
      <c r="A672" s="11">
        <v>42442</v>
      </c>
      <c r="B672" s="10" t="s">
        <v>1581</v>
      </c>
      <c r="C672" s="10" t="s">
        <v>1582</v>
      </c>
      <c r="D672" s="11">
        <v>42442.784675925926</v>
      </c>
      <c r="E672" s="10" t="s">
        <v>902</v>
      </c>
    </row>
    <row r="673" spans="1:5">
      <c r="A673" s="11">
        <v>42442</v>
      </c>
      <c r="B673" s="10" t="s">
        <v>1583</v>
      </c>
      <c r="C673" s="10" t="s">
        <v>1584</v>
      </c>
      <c r="D673" s="11">
        <v>42442.657569444447</v>
      </c>
      <c r="E673" s="10" t="s">
        <v>178</v>
      </c>
    </row>
    <row r="674" spans="1:5" ht="21.6">
      <c r="A674" s="11">
        <v>42442</v>
      </c>
      <c r="B674" s="10" t="s">
        <v>1585</v>
      </c>
      <c r="C674" s="10" t="s">
        <v>1586</v>
      </c>
      <c r="D674" s="11">
        <v>42442.658726851849</v>
      </c>
      <c r="E674" s="10" t="s">
        <v>146</v>
      </c>
    </row>
    <row r="675" spans="1:5" ht="21.6">
      <c r="A675" s="11">
        <v>42442</v>
      </c>
      <c r="B675" s="10" t="s">
        <v>1587</v>
      </c>
      <c r="C675" s="10" t="s">
        <v>1588</v>
      </c>
      <c r="D675" s="11">
        <v>42442.660474537035</v>
      </c>
      <c r="E675" s="10" t="s">
        <v>548</v>
      </c>
    </row>
    <row r="676" spans="1:5">
      <c r="A676" s="11">
        <v>42442</v>
      </c>
      <c r="B676" s="10" t="s">
        <v>1589</v>
      </c>
      <c r="C676" s="10" t="s">
        <v>1590</v>
      </c>
      <c r="D676" s="11">
        <v>42442.662708333337</v>
      </c>
      <c r="E676" s="10" t="s">
        <v>122</v>
      </c>
    </row>
    <row r="677" spans="1:5">
      <c r="A677" s="11">
        <v>42442</v>
      </c>
      <c r="B677" s="10" t="s">
        <v>1591</v>
      </c>
      <c r="C677" s="10" t="s">
        <v>1592</v>
      </c>
      <c r="D677" s="11">
        <v>42442.668368055558</v>
      </c>
      <c r="E677" s="10" t="s">
        <v>433</v>
      </c>
    </row>
    <row r="678" spans="1:5">
      <c r="A678" s="11">
        <v>42442</v>
      </c>
      <c r="B678" s="10" t="s">
        <v>1593</v>
      </c>
      <c r="C678" s="10" t="s">
        <v>1594</v>
      </c>
      <c r="D678" s="11">
        <v>42442.668599537035</v>
      </c>
      <c r="E678" s="10" t="s">
        <v>218</v>
      </c>
    </row>
    <row r="679" spans="1:5">
      <c r="A679" s="11">
        <v>42442</v>
      </c>
      <c r="B679" s="10" t="s">
        <v>1595</v>
      </c>
      <c r="C679" s="10" t="s">
        <v>1596</v>
      </c>
      <c r="D679" s="11">
        <v>42442.669791666667</v>
      </c>
      <c r="E679" s="10" t="s">
        <v>608</v>
      </c>
    </row>
    <row r="680" spans="1:5">
      <c r="A680" s="11">
        <v>42442</v>
      </c>
      <c r="B680" s="10" t="s">
        <v>1597</v>
      </c>
      <c r="C680" s="10" t="s">
        <v>1598</v>
      </c>
      <c r="D680" s="11">
        <v>42442.895960648151</v>
      </c>
      <c r="E680" s="10" t="s">
        <v>946</v>
      </c>
    </row>
    <row r="681" spans="1:5">
      <c r="A681" s="11">
        <v>42442</v>
      </c>
      <c r="B681" s="10" t="s">
        <v>1599</v>
      </c>
      <c r="C681" s="10" t="s">
        <v>1600</v>
      </c>
      <c r="D681" s="11">
        <v>42442.671423611115</v>
      </c>
      <c r="E681" s="10" t="s">
        <v>404</v>
      </c>
    </row>
    <row r="682" spans="1:5" ht="21.6">
      <c r="A682" s="11">
        <v>42442</v>
      </c>
      <c r="B682" s="10" t="s">
        <v>1601</v>
      </c>
      <c r="C682" s="10" t="s">
        <v>1602</v>
      </c>
      <c r="D682" s="11">
        <v>42442.671782407408</v>
      </c>
      <c r="E682" s="10" t="s">
        <v>1015</v>
      </c>
    </row>
    <row r="683" spans="1:5" ht="21.6">
      <c r="A683" s="11">
        <v>42442</v>
      </c>
      <c r="B683" s="10" t="s">
        <v>1603</v>
      </c>
      <c r="C683" s="10" t="s">
        <v>1604</v>
      </c>
      <c r="D683" s="11">
        <v>42442.67732638889</v>
      </c>
      <c r="E683" s="10" t="s">
        <v>165</v>
      </c>
    </row>
    <row r="684" spans="1:5">
      <c r="A684" s="11">
        <v>42442</v>
      </c>
      <c r="B684" s="10" t="s">
        <v>1605</v>
      </c>
      <c r="C684" s="10" t="s">
        <v>1606</v>
      </c>
      <c r="D684" s="11">
        <v>42442.680208333331</v>
      </c>
      <c r="E684" s="10" t="s">
        <v>1092</v>
      </c>
    </row>
    <row r="685" spans="1:5" ht="21.6">
      <c r="A685" s="11">
        <v>42442</v>
      </c>
      <c r="B685" s="10" t="s">
        <v>1607</v>
      </c>
      <c r="C685" s="10" t="s">
        <v>1608</v>
      </c>
      <c r="D685" s="11">
        <v>42442.684525462966</v>
      </c>
      <c r="E685" s="10" t="s">
        <v>133</v>
      </c>
    </row>
    <row r="686" spans="1:5">
      <c r="A686" s="11">
        <v>42442</v>
      </c>
      <c r="B686" s="10" t="s">
        <v>1609</v>
      </c>
      <c r="C686" s="10" t="s">
        <v>1610</v>
      </c>
      <c r="D686" s="11">
        <v>42442.685972222222</v>
      </c>
      <c r="E686" s="10" t="s">
        <v>707</v>
      </c>
    </row>
    <row r="687" spans="1:5">
      <c r="A687" s="11">
        <v>42442</v>
      </c>
      <c r="B687" s="10" t="s">
        <v>1611</v>
      </c>
      <c r="C687" s="10" t="s">
        <v>1612</v>
      </c>
      <c r="D687" s="11">
        <v>42442.686331018522</v>
      </c>
      <c r="E687" s="10" t="s">
        <v>108</v>
      </c>
    </row>
    <row r="688" spans="1:5">
      <c r="A688" s="11">
        <v>42442</v>
      </c>
      <c r="B688" s="10" t="s">
        <v>1613</v>
      </c>
      <c r="C688" s="10" t="s">
        <v>1614</v>
      </c>
      <c r="D688" s="11">
        <v>42442.687951388885</v>
      </c>
      <c r="E688" s="10" t="s">
        <v>433</v>
      </c>
    </row>
    <row r="689" spans="1:5">
      <c r="A689" s="11">
        <v>42442</v>
      </c>
      <c r="B689" s="10" t="s">
        <v>1615</v>
      </c>
      <c r="C689" s="10" t="s">
        <v>1616</v>
      </c>
      <c r="D689" s="11">
        <v>42442.691284722219</v>
      </c>
      <c r="E689" s="10" t="s">
        <v>221</v>
      </c>
    </row>
    <row r="690" spans="1:5">
      <c r="A690" s="11">
        <v>42442</v>
      </c>
      <c r="B690" s="10" t="s">
        <v>1617</v>
      </c>
      <c r="C690" s="10" t="s">
        <v>1618</v>
      </c>
      <c r="D690" s="11">
        <v>42442.757881944446</v>
      </c>
      <c r="E690" s="10" t="s">
        <v>122</v>
      </c>
    </row>
    <row r="691" spans="1:5">
      <c r="A691" s="11">
        <v>42442</v>
      </c>
      <c r="B691" s="10" t="s">
        <v>1619</v>
      </c>
      <c r="C691" s="10" t="s">
        <v>1620</v>
      </c>
      <c r="D691" s="11">
        <v>42442.916921296295</v>
      </c>
      <c r="E691" s="10" t="s">
        <v>108</v>
      </c>
    </row>
    <row r="692" spans="1:5">
      <c r="A692" s="11">
        <v>42442</v>
      </c>
      <c r="B692" s="10" t="s">
        <v>1621</v>
      </c>
      <c r="C692" s="10" t="s">
        <v>1622</v>
      </c>
      <c r="D692" s="11">
        <v>42442.689212962963</v>
      </c>
      <c r="E692" s="10" t="s">
        <v>218</v>
      </c>
    </row>
    <row r="693" spans="1:5" ht="21.6">
      <c r="A693" s="11">
        <v>42442</v>
      </c>
      <c r="B693" s="10" t="s">
        <v>1623</v>
      </c>
      <c r="C693" s="10" t="s">
        <v>1624</v>
      </c>
      <c r="D693" s="11">
        <v>42442.943287037036</v>
      </c>
      <c r="E693" s="10" t="s">
        <v>741</v>
      </c>
    </row>
    <row r="694" spans="1:5">
      <c r="A694" s="11">
        <v>42442</v>
      </c>
      <c r="B694" s="10" t="s">
        <v>1625</v>
      </c>
      <c r="C694" s="10" t="s">
        <v>1626</v>
      </c>
      <c r="D694" s="11">
        <v>42442.697534722225</v>
      </c>
      <c r="E694" s="10" t="s">
        <v>335</v>
      </c>
    </row>
    <row r="695" spans="1:5">
      <c r="A695" s="11">
        <v>42442</v>
      </c>
      <c r="B695" s="10" t="s">
        <v>1627</v>
      </c>
      <c r="C695" s="10" t="s">
        <v>1628</v>
      </c>
      <c r="D695" s="11">
        <v>42442.698761574073</v>
      </c>
      <c r="E695" s="10" t="s">
        <v>122</v>
      </c>
    </row>
    <row r="696" spans="1:5" ht="21.6">
      <c r="A696" s="11">
        <v>42442</v>
      </c>
      <c r="B696" s="10" t="s">
        <v>1629</v>
      </c>
      <c r="C696" s="10" t="s">
        <v>1630</v>
      </c>
      <c r="D696" s="11">
        <v>42442.698865740742</v>
      </c>
      <c r="E696" s="10" t="s">
        <v>171</v>
      </c>
    </row>
    <row r="697" spans="1:5" ht="21.6">
      <c r="A697" s="11">
        <v>42442</v>
      </c>
      <c r="B697" s="10" t="s">
        <v>1631</v>
      </c>
      <c r="C697" s="10" t="s">
        <v>1632</v>
      </c>
      <c r="D697" s="11">
        <v>42442.700289351851</v>
      </c>
      <c r="E697" s="10" t="s">
        <v>741</v>
      </c>
    </row>
    <row r="698" spans="1:5">
      <c r="A698" s="11">
        <v>42442</v>
      </c>
      <c r="B698" s="10" t="s">
        <v>1633</v>
      </c>
      <c r="C698" s="10" t="s">
        <v>1634</v>
      </c>
      <c r="D698" s="11">
        <v>42442.700856481482</v>
      </c>
      <c r="E698" s="10" t="s">
        <v>380</v>
      </c>
    </row>
    <row r="699" spans="1:5" ht="21.6">
      <c r="A699" s="11">
        <v>42442</v>
      </c>
      <c r="B699" s="10" t="s">
        <v>1635</v>
      </c>
      <c r="C699" s="10" t="s">
        <v>1636</v>
      </c>
      <c r="D699" s="11">
        <v>42442.704305555555</v>
      </c>
      <c r="E699" s="10" t="s">
        <v>1069</v>
      </c>
    </row>
    <row r="700" spans="1:5" ht="21.6">
      <c r="A700" s="11">
        <v>42442</v>
      </c>
      <c r="B700" s="10" t="s">
        <v>1637</v>
      </c>
      <c r="C700" s="10" t="s">
        <v>1638</v>
      </c>
      <c r="D700" s="11">
        <v>42442.705821759257</v>
      </c>
      <c r="E700" s="10" t="s">
        <v>165</v>
      </c>
    </row>
    <row r="701" spans="1:5">
      <c r="A701" s="11">
        <v>42442</v>
      </c>
      <c r="B701" s="10" t="s">
        <v>1639</v>
      </c>
      <c r="C701" s="10" t="s">
        <v>1640</v>
      </c>
      <c r="D701" s="11">
        <v>42442.716805555552</v>
      </c>
      <c r="E701" s="10" t="s">
        <v>380</v>
      </c>
    </row>
    <row r="702" spans="1:5">
      <c r="A702" s="11">
        <v>42442</v>
      </c>
      <c r="B702" s="10" t="s">
        <v>1641</v>
      </c>
      <c r="C702" s="10" t="s">
        <v>1642</v>
      </c>
      <c r="D702" s="11">
        <v>42442.707615740743</v>
      </c>
      <c r="E702" s="10" t="s">
        <v>707</v>
      </c>
    </row>
    <row r="703" spans="1:5" ht="21.6">
      <c r="A703" s="11">
        <v>42442</v>
      </c>
      <c r="B703" s="10" t="s">
        <v>1643</v>
      </c>
      <c r="C703" s="10" t="s">
        <v>1644</v>
      </c>
      <c r="D703" s="11">
        <v>42442.709444444445</v>
      </c>
      <c r="E703" s="10" t="s">
        <v>1340</v>
      </c>
    </row>
    <row r="704" spans="1:5">
      <c r="A704" s="11">
        <v>42442</v>
      </c>
      <c r="B704" s="10" t="s">
        <v>1645</v>
      </c>
      <c r="C704" s="10" t="s">
        <v>1646</v>
      </c>
      <c r="D704" s="11">
        <v>42442.713680555556</v>
      </c>
      <c r="E704" s="10" t="s">
        <v>178</v>
      </c>
    </row>
    <row r="705" spans="1:5" ht="21.6">
      <c r="A705" s="11">
        <v>42442</v>
      </c>
      <c r="B705" s="10" t="s">
        <v>1647</v>
      </c>
      <c r="C705" s="10" t="s">
        <v>1648</v>
      </c>
      <c r="D705" s="11">
        <v>42442.714108796295</v>
      </c>
      <c r="E705" s="10" t="s">
        <v>149</v>
      </c>
    </row>
    <row r="706" spans="1:5">
      <c r="A706" s="11">
        <v>42442</v>
      </c>
      <c r="B706" s="10" t="s">
        <v>1649</v>
      </c>
      <c r="C706" s="10" t="s">
        <v>1650</v>
      </c>
      <c r="D706" s="11">
        <v>42442.715254629627</v>
      </c>
      <c r="E706" s="10" t="s">
        <v>440</v>
      </c>
    </row>
    <row r="707" spans="1:5" ht="21.6">
      <c r="A707" s="11">
        <v>42442</v>
      </c>
      <c r="B707" s="10" t="s">
        <v>1651</v>
      </c>
      <c r="C707" s="10" t="s">
        <v>1652</v>
      </c>
      <c r="D707" s="11">
        <v>42442.720092592594</v>
      </c>
      <c r="E707" s="10" t="s">
        <v>165</v>
      </c>
    </row>
    <row r="708" spans="1:5">
      <c r="A708" s="11">
        <v>42442</v>
      </c>
      <c r="B708" s="10" t="s">
        <v>1653</v>
      </c>
      <c r="C708" s="10" t="s">
        <v>1654</v>
      </c>
      <c r="D708" s="11">
        <v>42442.720243055555</v>
      </c>
      <c r="E708" s="10" t="s">
        <v>1655</v>
      </c>
    </row>
    <row r="709" spans="1:5">
      <c r="A709" s="11">
        <v>42442</v>
      </c>
      <c r="B709" s="10" t="s">
        <v>1656</v>
      </c>
      <c r="C709" s="10" t="s">
        <v>1657</v>
      </c>
      <c r="D709" s="11">
        <v>42442.721250000002</v>
      </c>
      <c r="E709" s="10" t="s">
        <v>1658</v>
      </c>
    </row>
    <row r="710" spans="1:5" ht="21.6">
      <c r="A710" s="11">
        <v>42442</v>
      </c>
      <c r="B710" s="10" t="s">
        <v>1659</v>
      </c>
      <c r="C710" s="10" t="s">
        <v>1660</v>
      </c>
      <c r="D710" s="11">
        <v>42442.721331018518</v>
      </c>
      <c r="E710" s="10" t="s">
        <v>1110</v>
      </c>
    </row>
    <row r="711" spans="1:5">
      <c r="A711" s="11">
        <v>42442</v>
      </c>
      <c r="B711" s="10" t="s">
        <v>1661</v>
      </c>
      <c r="C711" s="10" t="s">
        <v>1662</v>
      </c>
      <c r="D711" s="11">
        <v>42442.721747685187</v>
      </c>
      <c r="E711" s="10" t="s">
        <v>292</v>
      </c>
    </row>
    <row r="712" spans="1:5" ht="21.6">
      <c r="A712" s="11">
        <v>42442</v>
      </c>
      <c r="B712" s="10" t="s">
        <v>1663</v>
      </c>
      <c r="C712" s="10" t="s">
        <v>1664</v>
      </c>
      <c r="D712" s="11">
        <v>42442.734444444446</v>
      </c>
      <c r="E712" s="10" t="s">
        <v>1665</v>
      </c>
    </row>
    <row r="713" spans="1:5">
      <c r="A713" s="11">
        <v>42442</v>
      </c>
      <c r="B713" s="10" t="s">
        <v>1666</v>
      </c>
      <c r="C713" s="10" t="s">
        <v>1667</v>
      </c>
      <c r="D713" s="11">
        <v>42442.733865740738</v>
      </c>
      <c r="E713" s="10" t="s">
        <v>707</v>
      </c>
    </row>
    <row r="714" spans="1:5">
      <c r="A714" s="11">
        <v>42442</v>
      </c>
      <c r="B714" s="10" t="s">
        <v>1668</v>
      </c>
      <c r="C714" s="10" t="s">
        <v>1669</v>
      </c>
      <c r="D714" s="11">
        <v>42442.736180555556</v>
      </c>
      <c r="E714" s="10" t="s">
        <v>859</v>
      </c>
    </row>
    <row r="715" spans="1:5">
      <c r="A715" s="11">
        <v>42442</v>
      </c>
      <c r="B715" s="10" t="s">
        <v>1670</v>
      </c>
      <c r="C715" s="10" t="s">
        <v>1671</v>
      </c>
      <c r="D715" s="11">
        <v>42443.496412037035</v>
      </c>
      <c r="E715" s="10" t="s">
        <v>108</v>
      </c>
    </row>
    <row r="716" spans="1:5">
      <c r="A716" s="11">
        <v>42442</v>
      </c>
      <c r="B716" s="10" t="s">
        <v>1672</v>
      </c>
      <c r="C716" s="10" t="s">
        <v>1673</v>
      </c>
      <c r="D716" s="11">
        <v>42442.737650462965</v>
      </c>
      <c r="E716" s="10" t="s">
        <v>414</v>
      </c>
    </row>
    <row r="717" spans="1:5">
      <c r="A717" s="11">
        <v>42442</v>
      </c>
      <c r="B717" s="10" t="s">
        <v>1674</v>
      </c>
      <c r="C717" s="10" t="s">
        <v>1675</v>
      </c>
      <c r="D717" s="11">
        <v>42442.73773148148</v>
      </c>
      <c r="E717" s="10" t="s">
        <v>411</v>
      </c>
    </row>
    <row r="718" spans="1:5" ht="21.6">
      <c r="A718" s="11">
        <v>42442</v>
      </c>
      <c r="B718" s="10" t="s">
        <v>1676</v>
      </c>
      <c r="C718" s="10" t="s">
        <v>1677</v>
      </c>
      <c r="D718" s="11">
        <v>42443.454004629632</v>
      </c>
      <c r="E718" s="10" t="s">
        <v>171</v>
      </c>
    </row>
    <row r="719" spans="1:5">
      <c r="A719" s="11">
        <v>42442</v>
      </c>
      <c r="B719" s="10" t="s">
        <v>1678</v>
      </c>
      <c r="C719" s="10" t="s">
        <v>1679</v>
      </c>
      <c r="D719" s="11">
        <v>42442.740844907406</v>
      </c>
      <c r="E719" s="10" t="s">
        <v>1680</v>
      </c>
    </row>
    <row r="720" spans="1:5">
      <c r="A720" s="11">
        <v>42442</v>
      </c>
      <c r="B720" s="10" t="s">
        <v>1681</v>
      </c>
      <c r="C720" s="10" t="s">
        <v>1682</v>
      </c>
      <c r="D720" s="11">
        <v>42442.740902777776</v>
      </c>
      <c r="E720" s="10" t="s">
        <v>1683</v>
      </c>
    </row>
    <row r="721" spans="1:5">
      <c r="A721" s="11">
        <v>42442</v>
      </c>
      <c r="B721" s="10" t="s">
        <v>1684</v>
      </c>
      <c r="C721" s="10" t="s">
        <v>1685</v>
      </c>
      <c r="D721" s="11">
        <v>42442.741087962961</v>
      </c>
      <c r="E721" s="10" t="s">
        <v>472</v>
      </c>
    </row>
    <row r="722" spans="1:5" ht="21.6">
      <c r="A722" s="11">
        <v>42442</v>
      </c>
      <c r="B722" s="10" t="s">
        <v>1686</v>
      </c>
      <c r="C722" s="10" t="s">
        <v>1687</v>
      </c>
      <c r="D722" s="11">
        <v>42442.746006944442</v>
      </c>
      <c r="E722" s="10" t="s">
        <v>661</v>
      </c>
    </row>
    <row r="723" spans="1:5">
      <c r="A723" s="11">
        <v>42442</v>
      </c>
      <c r="B723" s="10" t="s">
        <v>1688</v>
      </c>
      <c r="C723" s="10" t="s">
        <v>1689</v>
      </c>
      <c r="D723" s="11">
        <v>42442.748136574075</v>
      </c>
      <c r="E723" s="10" t="s">
        <v>138</v>
      </c>
    </row>
    <row r="724" spans="1:5">
      <c r="A724" s="11">
        <v>42442</v>
      </c>
      <c r="B724" s="10" t="s">
        <v>1690</v>
      </c>
      <c r="C724" s="10" t="s">
        <v>1691</v>
      </c>
      <c r="D724" s="11">
        <v>42443.282951388886</v>
      </c>
      <c r="E724" s="10" t="s">
        <v>152</v>
      </c>
    </row>
    <row r="725" spans="1:5" ht="21.6">
      <c r="A725" s="11">
        <v>42442</v>
      </c>
      <c r="B725" s="10" t="s">
        <v>1692</v>
      </c>
      <c r="C725" s="10" t="s">
        <v>1693</v>
      </c>
      <c r="D725" s="11">
        <v>42442.749965277777</v>
      </c>
      <c r="E725" s="10" t="s">
        <v>910</v>
      </c>
    </row>
    <row r="726" spans="1:5">
      <c r="A726" s="11">
        <v>42442</v>
      </c>
      <c r="B726" s="10" t="s">
        <v>1694</v>
      </c>
      <c r="C726" s="10" t="s">
        <v>1695</v>
      </c>
      <c r="D726" s="11">
        <v>42442.753125000003</v>
      </c>
      <c r="E726" s="10" t="s">
        <v>1696</v>
      </c>
    </row>
    <row r="727" spans="1:5" ht="21.6">
      <c r="A727" s="11">
        <v>42442</v>
      </c>
      <c r="B727" s="10" t="s">
        <v>1697</v>
      </c>
      <c r="C727" s="10" t="s">
        <v>1698</v>
      </c>
      <c r="D727" s="11">
        <v>42442.753692129627</v>
      </c>
      <c r="E727" s="10" t="s">
        <v>582</v>
      </c>
    </row>
    <row r="728" spans="1:5">
      <c r="A728" s="11">
        <v>42442</v>
      </c>
      <c r="B728" s="10" t="s">
        <v>1699</v>
      </c>
      <c r="C728" s="10" t="s">
        <v>1700</v>
      </c>
      <c r="D728" s="11">
        <v>42442.754490740743</v>
      </c>
      <c r="E728" s="10" t="s">
        <v>178</v>
      </c>
    </row>
    <row r="729" spans="1:5">
      <c r="A729" s="11">
        <v>42442</v>
      </c>
      <c r="B729" s="10" t="s">
        <v>1701</v>
      </c>
      <c r="C729" s="10" t="s">
        <v>1702</v>
      </c>
      <c r="D729" s="11">
        <v>42442.756203703706</v>
      </c>
      <c r="E729" s="10" t="s">
        <v>152</v>
      </c>
    </row>
    <row r="730" spans="1:5">
      <c r="A730" s="11">
        <v>42442</v>
      </c>
      <c r="B730" s="10" t="s">
        <v>1703</v>
      </c>
      <c r="C730" s="10" t="s">
        <v>1704</v>
      </c>
      <c r="D730" s="11">
        <v>42442.761724537035</v>
      </c>
      <c r="E730" s="10" t="s">
        <v>411</v>
      </c>
    </row>
    <row r="731" spans="1:5">
      <c r="A731" s="11">
        <v>42442</v>
      </c>
      <c r="B731" s="10" t="s">
        <v>1705</v>
      </c>
      <c r="C731" s="10" t="s">
        <v>1706</v>
      </c>
      <c r="D731" s="11">
        <v>42442.761956018519</v>
      </c>
      <c r="E731" s="10" t="s">
        <v>152</v>
      </c>
    </row>
    <row r="732" spans="1:5">
      <c r="A732" s="11">
        <v>42442</v>
      </c>
      <c r="B732" s="10" t="s">
        <v>1707</v>
      </c>
      <c r="C732" s="10" t="s">
        <v>1708</v>
      </c>
      <c r="D732" s="11">
        <v>42442.762488425928</v>
      </c>
      <c r="E732" s="10" t="s">
        <v>707</v>
      </c>
    </row>
    <row r="733" spans="1:5" ht="21.6">
      <c r="A733" s="11">
        <v>42442</v>
      </c>
      <c r="B733" s="10" t="s">
        <v>1709</v>
      </c>
      <c r="C733" s="10" t="s">
        <v>1710</v>
      </c>
      <c r="D733" s="11">
        <v>42442.76321759259</v>
      </c>
      <c r="E733" s="10" t="s">
        <v>133</v>
      </c>
    </row>
    <row r="734" spans="1:5">
      <c r="A734" s="11">
        <v>42442</v>
      </c>
      <c r="B734" s="10" t="s">
        <v>1711</v>
      </c>
      <c r="C734" s="10" t="s">
        <v>1712</v>
      </c>
      <c r="D734" s="11">
        <v>42442.839965277781</v>
      </c>
      <c r="E734" s="10" t="s">
        <v>96</v>
      </c>
    </row>
    <row r="735" spans="1:5" ht="21.6">
      <c r="A735" s="11">
        <v>42442</v>
      </c>
      <c r="B735" s="10" t="s">
        <v>1713</v>
      </c>
      <c r="C735" s="10" t="s">
        <v>1714</v>
      </c>
      <c r="D735" s="11">
        <v>42442.770208333335</v>
      </c>
      <c r="E735" s="10" t="s">
        <v>454</v>
      </c>
    </row>
    <row r="736" spans="1:5">
      <c r="A736" s="11">
        <v>42442</v>
      </c>
      <c r="B736" s="10" t="s">
        <v>1715</v>
      </c>
      <c r="C736" s="10" t="s">
        <v>1716</v>
      </c>
      <c r="D736" s="11">
        <v>42442.766759259262</v>
      </c>
      <c r="E736" s="10" t="s">
        <v>929</v>
      </c>
    </row>
    <row r="737" spans="1:5">
      <c r="A737" s="11">
        <v>42442</v>
      </c>
      <c r="B737" s="10" t="s">
        <v>1717</v>
      </c>
      <c r="C737" s="10" t="s">
        <v>1718</v>
      </c>
      <c r="D737" s="11">
        <v>42442.768935185188</v>
      </c>
      <c r="E737" s="10" t="s">
        <v>178</v>
      </c>
    </row>
    <row r="738" spans="1:5" ht="21.6">
      <c r="A738" s="11">
        <v>42442</v>
      </c>
      <c r="B738" s="10" t="s">
        <v>1719</v>
      </c>
      <c r="C738" s="10" t="s">
        <v>1720</v>
      </c>
      <c r="D738" s="11">
        <v>42442.770555555559</v>
      </c>
      <c r="E738" s="10" t="s">
        <v>1029</v>
      </c>
    </row>
    <row r="739" spans="1:5" ht="21.6">
      <c r="A739" s="11">
        <v>42442</v>
      </c>
      <c r="B739" s="10" t="s">
        <v>1721</v>
      </c>
      <c r="C739" s="10" t="s">
        <v>1722</v>
      </c>
      <c r="D739" s="11">
        <v>42442.813680555555</v>
      </c>
      <c r="E739" s="10" t="s">
        <v>910</v>
      </c>
    </row>
    <row r="740" spans="1:5">
      <c r="A740" s="11">
        <v>42442</v>
      </c>
      <c r="B740" s="10" t="s">
        <v>1723</v>
      </c>
      <c r="C740" s="10" t="s">
        <v>1724</v>
      </c>
      <c r="D740" s="11">
        <v>42442.777604166666</v>
      </c>
      <c r="E740" s="10" t="s">
        <v>152</v>
      </c>
    </row>
    <row r="741" spans="1:5" ht="21.6">
      <c r="A741" s="11">
        <v>42442</v>
      </c>
      <c r="B741" s="10" t="s">
        <v>1725</v>
      </c>
      <c r="C741" s="10" t="s">
        <v>1726</v>
      </c>
      <c r="D741" s="11">
        <v>42442.785752314812</v>
      </c>
      <c r="E741" s="10" t="s">
        <v>368</v>
      </c>
    </row>
    <row r="742" spans="1:5">
      <c r="A742" s="11">
        <v>42442</v>
      </c>
      <c r="B742" s="10" t="s">
        <v>1727</v>
      </c>
      <c r="C742" s="10" t="s">
        <v>1728</v>
      </c>
      <c r="D742" s="11">
        <v>42442.78056712963</v>
      </c>
      <c r="E742" s="10" t="s">
        <v>414</v>
      </c>
    </row>
    <row r="743" spans="1:5">
      <c r="A743" s="11">
        <v>42442</v>
      </c>
      <c r="B743" s="10" t="s">
        <v>1729</v>
      </c>
      <c r="C743" s="10" t="s">
        <v>1730</v>
      </c>
      <c r="D743" s="11">
        <v>42442.799363425926</v>
      </c>
      <c r="E743" s="10" t="s">
        <v>380</v>
      </c>
    </row>
    <row r="744" spans="1:5">
      <c r="A744" s="11">
        <v>42442</v>
      </c>
      <c r="B744" s="10" t="s">
        <v>1731</v>
      </c>
      <c r="C744" s="10" t="s">
        <v>1732</v>
      </c>
      <c r="D744" s="11">
        <v>42442.782326388886</v>
      </c>
      <c r="E744" s="10" t="s">
        <v>1733</v>
      </c>
    </row>
    <row r="745" spans="1:5" ht="21.6">
      <c r="A745" s="11">
        <v>42442</v>
      </c>
      <c r="B745" s="10" t="s">
        <v>1734</v>
      </c>
      <c r="C745" s="10" t="s">
        <v>1735</v>
      </c>
      <c r="D745" s="11">
        <v>42442.78565972222</v>
      </c>
      <c r="E745" s="10" t="s">
        <v>846</v>
      </c>
    </row>
    <row r="746" spans="1:5" ht="21.6">
      <c r="A746" s="11">
        <v>42442</v>
      </c>
      <c r="B746" s="10" t="s">
        <v>1736</v>
      </c>
      <c r="C746" s="10" t="s">
        <v>1737</v>
      </c>
      <c r="D746" s="11">
        <v>42442.839699074073</v>
      </c>
      <c r="E746" s="10" t="s">
        <v>226</v>
      </c>
    </row>
    <row r="747" spans="1:5">
      <c r="A747" s="11">
        <v>42442</v>
      </c>
      <c r="B747" s="10" t="s">
        <v>1738</v>
      </c>
      <c r="C747" s="10" t="s">
        <v>1739</v>
      </c>
      <c r="D747" s="11">
        <v>42442.787812499999</v>
      </c>
      <c r="E747" s="10" t="s">
        <v>373</v>
      </c>
    </row>
    <row r="748" spans="1:5">
      <c r="A748" s="11">
        <v>42442</v>
      </c>
      <c r="B748" s="10" t="s">
        <v>1740</v>
      </c>
      <c r="C748" s="10" t="s">
        <v>1741</v>
      </c>
      <c r="D748" s="11">
        <v>42442.788541666669</v>
      </c>
      <c r="E748" s="10" t="s">
        <v>122</v>
      </c>
    </row>
    <row r="749" spans="1:5">
      <c r="A749" s="11">
        <v>42442</v>
      </c>
      <c r="B749" s="10" t="s">
        <v>1742</v>
      </c>
      <c r="C749" s="10" t="s">
        <v>1743</v>
      </c>
      <c r="D749" s="11">
        <v>42442.790046296293</v>
      </c>
      <c r="E749" s="10" t="s">
        <v>859</v>
      </c>
    </row>
    <row r="750" spans="1:5" ht="21.6">
      <c r="A750" s="11">
        <v>42442</v>
      </c>
      <c r="B750" s="10" t="s">
        <v>1744</v>
      </c>
      <c r="C750" s="10" t="s">
        <v>1745</v>
      </c>
      <c r="D750" s="11">
        <v>42442.790219907409</v>
      </c>
      <c r="E750" s="10" t="s">
        <v>165</v>
      </c>
    </row>
    <row r="751" spans="1:5" ht="21.6">
      <c r="A751" s="11">
        <v>42442</v>
      </c>
      <c r="B751" s="10" t="s">
        <v>1746</v>
      </c>
      <c r="C751" s="10" t="s">
        <v>1747</v>
      </c>
      <c r="D751" s="11">
        <v>42442.791064814817</v>
      </c>
      <c r="E751" s="10" t="s">
        <v>597</v>
      </c>
    </row>
    <row r="752" spans="1:5">
      <c r="A752" s="11">
        <v>42442</v>
      </c>
      <c r="B752" s="10" t="s">
        <v>1748</v>
      </c>
      <c r="C752" s="10" t="s">
        <v>1749</v>
      </c>
      <c r="D752" s="11">
        <v>42442.79859953704</v>
      </c>
      <c r="E752" s="10" t="s">
        <v>193</v>
      </c>
    </row>
    <row r="753" spans="1:5">
      <c r="A753" s="11">
        <v>42442</v>
      </c>
      <c r="B753" s="10" t="s">
        <v>1750</v>
      </c>
      <c r="C753" s="10" t="s">
        <v>1751</v>
      </c>
      <c r="D753" s="11">
        <v>42442.79886574074</v>
      </c>
      <c r="E753" s="10" t="s">
        <v>178</v>
      </c>
    </row>
    <row r="754" spans="1:5" ht="21.6">
      <c r="A754" s="11">
        <v>42442</v>
      </c>
      <c r="B754" s="10" t="s">
        <v>1752</v>
      </c>
      <c r="C754" s="10" t="s">
        <v>1753</v>
      </c>
      <c r="D754" s="11">
        <v>42442.799664351849</v>
      </c>
      <c r="E754" s="10" t="s">
        <v>1265</v>
      </c>
    </row>
    <row r="755" spans="1:5">
      <c r="A755" s="11">
        <v>42442</v>
      </c>
      <c r="B755" s="10" t="s">
        <v>1754</v>
      </c>
      <c r="C755" s="10" t="s">
        <v>1755</v>
      </c>
      <c r="D755" s="11">
        <v>42442.801388888889</v>
      </c>
      <c r="E755" s="10" t="s">
        <v>414</v>
      </c>
    </row>
    <row r="756" spans="1:5">
      <c r="A756" s="11">
        <v>42442</v>
      </c>
      <c r="B756" s="10" t="s">
        <v>1756</v>
      </c>
      <c r="C756" s="10" t="s">
        <v>1757</v>
      </c>
      <c r="D756" s="11">
        <v>42442.801493055558</v>
      </c>
      <c r="E756" s="10" t="s">
        <v>1758</v>
      </c>
    </row>
    <row r="757" spans="1:5" ht="21.6">
      <c r="A757" s="11">
        <v>42442</v>
      </c>
      <c r="B757" s="10" t="s">
        <v>1759</v>
      </c>
      <c r="C757" s="10" t="s">
        <v>1760</v>
      </c>
      <c r="D757" s="11">
        <v>42442.803067129629</v>
      </c>
      <c r="E757" s="10" t="s">
        <v>1761</v>
      </c>
    </row>
    <row r="758" spans="1:5" ht="21.6">
      <c r="A758" s="11">
        <v>42442</v>
      </c>
      <c r="B758" s="10" t="s">
        <v>1762</v>
      </c>
      <c r="C758" s="10" t="s">
        <v>1763</v>
      </c>
      <c r="D758" s="11">
        <v>42442.804305555554</v>
      </c>
      <c r="E758" s="10" t="s">
        <v>966</v>
      </c>
    </row>
    <row r="759" spans="1:5">
      <c r="A759" s="11">
        <v>42442</v>
      </c>
      <c r="B759" s="10" t="s">
        <v>1764</v>
      </c>
      <c r="C759" s="10" t="s">
        <v>1765</v>
      </c>
      <c r="D759" s="11">
        <v>42442.8046875</v>
      </c>
      <c r="E759" s="10" t="s">
        <v>193</v>
      </c>
    </row>
    <row r="760" spans="1:5" ht="21.6">
      <c r="A760" s="11">
        <v>42442</v>
      </c>
      <c r="B760" s="10" t="s">
        <v>1766</v>
      </c>
      <c r="C760" s="10" t="s">
        <v>1767</v>
      </c>
      <c r="D760" s="11">
        <v>42442.806504629632</v>
      </c>
      <c r="E760" s="10" t="s">
        <v>368</v>
      </c>
    </row>
    <row r="761" spans="1:5">
      <c r="A761" s="11">
        <v>42442</v>
      </c>
      <c r="B761" s="10" t="s">
        <v>1768</v>
      </c>
      <c r="C761" s="10" t="s">
        <v>1769</v>
      </c>
      <c r="D761" s="11">
        <v>42442.80673611111</v>
      </c>
      <c r="E761" s="10" t="s">
        <v>1770</v>
      </c>
    </row>
    <row r="762" spans="1:5" ht="21.6">
      <c r="A762" s="11">
        <v>42442</v>
      </c>
      <c r="B762" s="10" t="s">
        <v>1771</v>
      </c>
      <c r="C762" s="10" t="s">
        <v>1772</v>
      </c>
      <c r="D762" s="11">
        <v>42442.834849537037</v>
      </c>
      <c r="E762" s="10" t="s">
        <v>1004</v>
      </c>
    </row>
    <row r="763" spans="1:5">
      <c r="A763" s="11">
        <v>42442</v>
      </c>
      <c r="B763" s="10" t="s">
        <v>1773</v>
      </c>
      <c r="C763" s="10" t="s">
        <v>1774</v>
      </c>
      <c r="D763" s="11">
        <v>42442.812384259261</v>
      </c>
      <c r="E763" s="10" t="s">
        <v>707</v>
      </c>
    </row>
    <row r="764" spans="1:5" ht="21.6">
      <c r="A764" s="11">
        <v>42442</v>
      </c>
      <c r="B764" s="10" t="s">
        <v>1775</v>
      </c>
      <c r="C764" s="10" t="s">
        <v>1776</v>
      </c>
      <c r="D764" s="11">
        <v>42442.814837962964</v>
      </c>
      <c r="E764" s="10" t="s">
        <v>1539</v>
      </c>
    </row>
    <row r="765" spans="1:5">
      <c r="A765" s="11">
        <v>42442</v>
      </c>
      <c r="B765" s="10" t="s">
        <v>1777</v>
      </c>
      <c r="C765" s="10" t="s">
        <v>1778</v>
      </c>
      <c r="D765" s="11">
        <v>42442.892708333333</v>
      </c>
      <c r="E765" s="10" t="s">
        <v>99</v>
      </c>
    </row>
    <row r="766" spans="1:5">
      <c r="A766" s="11">
        <v>42442</v>
      </c>
      <c r="B766" s="10" t="s">
        <v>1779</v>
      </c>
      <c r="C766" s="10" t="s">
        <v>1780</v>
      </c>
      <c r="D766" s="11">
        <v>42442.820694444446</v>
      </c>
      <c r="E766" s="10" t="s">
        <v>625</v>
      </c>
    </row>
    <row r="767" spans="1:5" ht="21.6">
      <c r="A767" s="11">
        <v>42442</v>
      </c>
      <c r="B767" s="10" t="s">
        <v>1781</v>
      </c>
      <c r="C767" s="10" t="s">
        <v>1782</v>
      </c>
      <c r="D767" s="11">
        <v>42442.822488425925</v>
      </c>
      <c r="E767" s="10" t="s">
        <v>1340</v>
      </c>
    </row>
    <row r="768" spans="1:5">
      <c r="A768" s="11">
        <v>42442</v>
      </c>
      <c r="B768" s="10" t="s">
        <v>1783</v>
      </c>
      <c r="C768" s="10" t="s">
        <v>1784</v>
      </c>
      <c r="D768" s="11">
        <v>42442.823310185187</v>
      </c>
      <c r="E768" s="10" t="s">
        <v>383</v>
      </c>
    </row>
    <row r="769" spans="1:5" ht="21.6">
      <c r="A769" s="11">
        <v>42442</v>
      </c>
      <c r="B769" s="10" t="s">
        <v>1785</v>
      </c>
      <c r="C769" s="10" t="s">
        <v>1786</v>
      </c>
      <c r="D769" s="11">
        <v>42442.827847222223</v>
      </c>
      <c r="E769" s="10" t="s">
        <v>171</v>
      </c>
    </row>
    <row r="770" spans="1:5">
      <c r="A770" s="11">
        <v>42442</v>
      </c>
      <c r="B770" s="10" t="s">
        <v>1787</v>
      </c>
      <c r="C770" s="10" t="s">
        <v>1788</v>
      </c>
      <c r="D770" s="11">
        <v>42442.828032407408</v>
      </c>
      <c r="E770" s="10" t="s">
        <v>414</v>
      </c>
    </row>
    <row r="771" spans="1:5">
      <c r="A771" s="11">
        <v>42442</v>
      </c>
      <c r="B771" s="10" t="s">
        <v>1789</v>
      </c>
      <c r="C771" s="10" t="s">
        <v>1790</v>
      </c>
      <c r="D771" s="11">
        <v>42442.83326388889</v>
      </c>
      <c r="E771" s="10" t="s">
        <v>707</v>
      </c>
    </row>
    <row r="772" spans="1:5">
      <c r="A772" s="11">
        <v>42442</v>
      </c>
      <c r="B772" s="10" t="s">
        <v>1791</v>
      </c>
      <c r="C772" s="10" t="s">
        <v>1792</v>
      </c>
      <c r="D772" s="11">
        <v>42442.847638888888</v>
      </c>
      <c r="E772" s="10" t="s">
        <v>902</v>
      </c>
    </row>
    <row r="773" spans="1:5">
      <c r="A773" s="11">
        <v>42442</v>
      </c>
      <c r="B773" s="10" t="s">
        <v>1793</v>
      </c>
      <c r="C773" s="10" t="s">
        <v>1794</v>
      </c>
      <c r="D773" s="11">
        <v>42442.945509259262</v>
      </c>
      <c r="E773" s="10" t="s">
        <v>292</v>
      </c>
    </row>
    <row r="774" spans="1:5" ht="21.6">
      <c r="A774" s="11">
        <v>42442</v>
      </c>
      <c r="B774" s="10" t="s">
        <v>1795</v>
      </c>
      <c r="C774" s="10" t="s">
        <v>1796</v>
      </c>
      <c r="D774" s="11">
        <v>42442.838854166665</v>
      </c>
      <c r="E774" s="10" t="s">
        <v>257</v>
      </c>
    </row>
    <row r="775" spans="1:5" ht="21.6">
      <c r="A775" s="11">
        <v>42442</v>
      </c>
      <c r="B775" s="10" t="s">
        <v>1797</v>
      </c>
      <c r="C775" s="10" t="s">
        <v>1798</v>
      </c>
      <c r="D775" s="11">
        <v>42442.839085648149</v>
      </c>
      <c r="E775" s="10" t="s">
        <v>257</v>
      </c>
    </row>
    <row r="776" spans="1:5">
      <c r="A776" s="11">
        <v>42442</v>
      </c>
      <c r="B776" s="10" t="s">
        <v>1799</v>
      </c>
      <c r="C776" s="10" t="s">
        <v>1800</v>
      </c>
      <c r="D776" s="11">
        <v>42442.839548611111</v>
      </c>
      <c r="E776" s="10" t="s">
        <v>193</v>
      </c>
    </row>
    <row r="777" spans="1:5" ht="21.6">
      <c r="A777" s="11">
        <v>42442</v>
      </c>
      <c r="B777" s="10" t="s">
        <v>1801</v>
      </c>
      <c r="C777" s="10" t="s">
        <v>1802</v>
      </c>
      <c r="D777" s="11">
        <v>42442.839687500003</v>
      </c>
      <c r="E777" s="10" t="s">
        <v>582</v>
      </c>
    </row>
    <row r="778" spans="1:5">
      <c r="A778" s="11">
        <v>42442</v>
      </c>
      <c r="B778" s="10" t="s">
        <v>1803</v>
      </c>
      <c r="C778" s="10" t="s">
        <v>1804</v>
      </c>
      <c r="D778" s="11">
        <v>42442.841053240743</v>
      </c>
      <c r="E778" s="10" t="s">
        <v>108</v>
      </c>
    </row>
    <row r="779" spans="1:5" ht="21.6">
      <c r="A779" s="11">
        <v>42442</v>
      </c>
      <c r="B779" s="10" t="s">
        <v>1805</v>
      </c>
      <c r="C779" s="10" t="s">
        <v>1806</v>
      </c>
      <c r="D779" s="11">
        <v>42442.841215277775</v>
      </c>
      <c r="E779" s="10" t="s">
        <v>582</v>
      </c>
    </row>
    <row r="780" spans="1:5">
      <c r="A780" s="11">
        <v>42442</v>
      </c>
      <c r="B780" s="10" t="s">
        <v>1807</v>
      </c>
      <c r="C780" s="10" t="s">
        <v>1808</v>
      </c>
      <c r="D780" s="11">
        <v>42442.841284722221</v>
      </c>
      <c r="E780" s="10" t="s">
        <v>353</v>
      </c>
    </row>
    <row r="781" spans="1:5">
      <c r="A781" s="11">
        <v>42442</v>
      </c>
      <c r="B781" s="10" t="s">
        <v>1809</v>
      </c>
      <c r="C781" s="10" t="s">
        <v>1810</v>
      </c>
      <c r="D781" s="11">
        <v>42442.841805555552</v>
      </c>
      <c r="E781" s="10" t="s">
        <v>929</v>
      </c>
    </row>
    <row r="782" spans="1:5">
      <c r="A782" s="11">
        <v>42442</v>
      </c>
      <c r="B782" s="10" t="s">
        <v>1811</v>
      </c>
      <c r="C782" s="10" t="s">
        <v>1812</v>
      </c>
      <c r="D782" s="11">
        <v>42442.849768518521</v>
      </c>
      <c r="E782" s="10" t="s">
        <v>122</v>
      </c>
    </row>
    <row r="783" spans="1:5" ht="21.6">
      <c r="A783" s="11">
        <v>42442</v>
      </c>
      <c r="B783" s="10" t="s">
        <v>1813</v>
      </c>
      <c r="C783" s="10" t="s">
        <v>1814</v>
      </c>
      <c r="D783" s="11">
        <v>42442.850763888891</v>
      </c>
      <c r="E783" s="10" t="s">
        <v>910</v>
      </c>
    </row>
    <row r="784" spans="1:5">
      <c r="A784" s="11">
        <v>42442</v>
      </c>
      <c r="B784" s="10" t="s">
        <v>1815</v>
      </c>
      <c r="C784" s="10" t="s">
        <v>1816</v>
      </c>
      <c r="D784" s="11">
        <v>42442.852523148147</v>
      </c>
      <c r="E784" s="10" t="s">
        <v>108</v>
      </c>
    </row>
    <row r="785" spans="1:5" ht="21.6">
      <c r="A785" s="11">
        <v>42442</v>
      </c>
      <c r="B785" s="10" t="s">
        <v>1817</v>
      </c>
      <c r="C785" s="10" t="s">
        <v>1818</v>
      </c>
      <c r="D785" s="11">
        <v>42442.854618055557</v>
      </c>
      <c r="E785" s="10" t="s">
        <v>1152</v>
      </c>
    </row>
    <row r="786" spans="1:5">
      <c r="A786" s="11">
        <v>42442</v>
      </c>
      <c r="B786" s="10" t="s">
        <v>1819</v>
      </c>
      <c r="C786" s="10" t="s">
        <v>1820</v>
      </c>
      <c r="D786" s="11">
        <v>42443.368449074071</v>
      </c>
      <c r="E786" s="10" t="s">
        <v>335</v>
      </c>
    </row>
    <row r="787" spans="1:5" ht="21.6">
      <c r="A787" s="11">
        <v>42442</v>
      </c>
      <c r="B787" s="10" t="s">
        <v>1821</v>
      </c>
      <c r="C787" s="10" t="s">
        <v>1822</v>
      </c>
      <c r="D787" s="11">
        <v>42442.855127314811</v>
      </c>
      <c r="E787" s="10" t="s">
        <v>1823</v>
      </c>
    </row>
    <row r="788" spans="1:5" ht="21.6">
      <c r="A788" s="11">
        <v>42442</v>
      </c>
      <c r="B788" s="10" t="s">
        <v>1824</v>
      </c>
      <c r="C788" s="10" t="s">
        <v>1825</v>
      </c>
      <c r="D788" s="11">
        <v>42442.856087962966</v>
      </c>
      <c r="E788" s="10" t="s">
        <v>582</v>
      </c>
    </row>
    <row r="789" spans="1:5">
      <c r="A789" s="11">
        <v>42442</v>
      </c>
      <c r="B789" s="10" t="s">
        <v>1826</v>
      </c>
      <c r="C789" s="10" t="s">
        <v>1827</v>
      </c>
      <c r="D789" s="11">
        <v>42442.856377314813</v>
      </c>
      <c r="E789" s="10" t="s">
        <v>152</v>
      </c>
    </row>
    <row r="790" spans="1:5">
      <c r="A790" s="11">
        <v>42442</v>
      </c>
      <c r="B790" s="10" t="s">
        <v>1828</v>
      </c>
      <c r="C790" s="10" t="s">
        <v>1829</v>
      </c>
      <c r="D790" s="11">
        <v>42442.922291666669</v>
      </c>
      <c r="E790" s="10" t="s">
        <v>707</v>
      </c>
    </row>
    <row r="791" spans="1:5">
      <c r="A791" s="11">
        <v>42442</v>
      </c>
      <c r="B791" s="10" t="s">
        <v>1830</v>
      </c>
      <c r="C791" s="10" t="s">
        <v>1831</v>
      </c>
      <c r="D791" s="11">
        <v>42442.857835648145</v>
      </c>
      <c r="E791" s="10" t="s">
        <v>383</v>
      </c>
    </row>
    <row r="792" spans="1:5" ht="21.6">
      <c r="A792" s="11">
        <v>42442</v>
      </c>
      <c r="B792" s="10" t="s">
        <v>1832</v>
      </c>
      <c r="C792" s="10" t="s">
        <v>1833</v>
      </c>
      <c r="D792" s="11">
        <v>42442.8593287037</v>
      </c>
      <c r="E792" s="10" t="s">
        <v>1834</v>
      </c>
    </row>
    <row r="793" spans="1:5">
      <c r="A793" s="11">
        <v>42442</v>
      </c>
      <c r="B793" s="10" t="s">
        <v>1835</v>
      </c>
      <c r="C793" s="10" t="s">
        <v>1836</v>
      </c>
      <c r="D793" s="11">
        <v>42442.86005787037</v>
      </c>
      <c r="E793" s="10" t="s">
        <v>736</v>
      </c>
    </row>
    <row r="794" spans="1:5">
      <c r="A794" s="11">
        <v>42442</v>
      </c>
      <c r="B794" s="10" t="s">
        <v>1837</v>
      </c>
      <c r="C794" s="10" t="s">
        <v>1838</v>
      </c>
      <c r="D794" s="11">
        <v>42442.862337962964</v>
      </c>
      <c r="E794" s="10" t="s">
        <v>736</v>
      </c>
    </row>
    <row r="795" spans="1:5" ht="21.6">
      <c r="A795" s="11">
        <v>42442</v>
      </c>
      <c r="B795" s="10" t="s">
        <v>1839</v>
      </c>
      <c r="C795" s="10" t="s">
        <v>1840</v>
      </c>
      <c r="D795" s="11">
        <v>42442.862546296295</v>
      </c>
      <c r="E795" s="10" t="s">
        <v>582</v>
      </c>
    </row>
    <row r="796" spans="1:5" ht="21.6">
      <c r="A796" s="11">
        <v>42442</v>
      </c>
      <c r="B796" s="10" t="s">
        <v>1841</v>
      </c>
      <c r="C796" s="10" t="s">
        <v>1842</v>
      </c>
      <c r="D796" s="11">
        <v>42442.863263888888</v>
      </c>
      <c r="E796" s="10" t="s">
        <v>582</v>
      </c>
    </row>
    <row r="797" spans="1:5" ht="21.6">
      <c r="A797" s="11">
        <v>42442</v>
      </c>
      <c r="B797" s="10" t="s">
        <v>1843</v>
      </c>
      <c r="C797" s="10" t="s">
        <v>1844</v>
      </c>
      <c r="D797" s="11">
        <v>42442.863483796296</v>
      </c>
      <c r="E797" s="10" t="s">
        <v>1845</v>
      </c>
    </row>
    <row r="798" spans="1:5" ht="21.6">
      <c r="A798" s="11">
        <v>42442</v>
      </c>
      <c r="B798" s="10" t="s">
        <v>1846</v>
      </c>
      <c r="C798" s="10" t="s">
        <v>1847</v>
      </c>
      <c r="D798" s="11">
        <v>42442.864259259259</v>
      </c>
      <c r="E798" s="10" t="s">
        <v>582</v>
      </c>
    </row>
    <row r="799" spans="1:5" ht="21.6">
      <c r="A799" s="11">
        <v>42442</v>
      </c>
      <c r="B799" s="10" t="s">
        <v>1848</v>
      </c>
      <c r="C799" s="10" t="s">
        <v>1849</v>
      </c>
      <c r="D799" s="11">
        <v>42442.866608796299</v>
      </c>
      <c r="E799" s="10" t="s">
        <v>368</v>
      </c>
    </row>
    <row r="800" spans="1:5" ht="21.6">
      <c r="A800" s="11">
        <v>42442</v>
      </c>
      <c r="B800" s="10" t="s">
        <v>1850</v>
      </c>
      <c r="C800" s="10" t="s">
        <v>1851</v>
      </c>
      <c r="D800" s="11">
        <v>42442.867002314815</v>
      </c>
      <c r="E800" s="10" t="s">
        <v>582</v>
      </c>
    </row>
    <row r="801" spans="1:5" ht="21.6">
      <c r="A801" s="11">
        <v>42442</v>
      </c>
      <c r="B801" s="10" t="s">
        <v>1852</v>
      </c>
      <c r="C801" s="10" t="s">
        <v>1853</v>
      </c>
      <c r="D801" s="11">
        <v>42442.867534722223</v>
      </c>
      <c r="E801" s="10" t="s">
        <v>1265</v>
      </c>
    </row>
    <row r="802" spans="1:5">
      <c r="A802" s="11">
        <v>42442</v>
      </c>
      <c r="B802" s="10" t="s">
        <v>1854</v>
      </c>
      <c r="C802" s="10" t="s">
        <v>1855</v>
      </c>
      <c r="D802" s="11">
        <v>42442.868101851855</v>
      </c>
      <c r="E802" s="10" t="s">
        <v>1856</v>
      </c>
    </row>
    <row r="803" spans="1:5">
      <c r="A803" s="11">
        <v>42442</v>
      </c>
      <c r="B803" s="10" t="s">
        <v>1857</v>
      </c>
      <c r="C803" s="10" t="s">
        <v>1858</v>
      </c>
      <c r="D803" s="11">
        <v>42442.869756944441</v>
      </c>
      <c r="E803" s="10" t="s">
        <v>193</v>
      </c>
    </row>
    <row r="804" spans="1:5" ht="21.6">
      <c r="A804" s="11">
        <v>42442</v>
      </c>
      <c r="B804" s="10" t="s">
        <v>1859</v>
      </c>
      <c r="C804" s="10" t="s">
        <v>1860</v>
      </c>
      <c r="D804" s="11">
        <v>42442.870069444441</v>
      </c>
      <c r="E804" s="10" t="s">
        <v>1110</v>
      </c>
    </row>
    <row r="805" spans="1:5">
      <c r="A805" s="11">
        <v>42442</v>
      </c>
      <c r="B805" s="10" t="s">
        <v>1861</v>
      </c>
      <c r="C805" s="10" t="s">
        <v>1862</v>
      </c>
      <c r="D805" s="11">
        <v>42442.870925925927</v>
      </c>
      <c r="E805" s="10" t="s">
        <v>152</v>
      </c>
    </row>
    <row r="806" spans="1:5">
      <c r="A806" s="11">
        <v>42442</v>
      </c>
      <c r="B806" s="10" t="s">
        <v>1863</v>
      </c>
      <c r="C806" s="10" t="s">
        <v>1864</v>
      </c>
      <c r="D806" s="11">
        <v>42442.871215277781</v>
      </c>
      <c r="E806" s="10" t="s">
        <v>283</v>
      </c>
    </row>
    <row r="807" spans="1:5">
      <c r="A807" s="11">
        <v>42442</v>
      </c>
      <c r="B807" s="10" t="s">
        <v>1865</v>
      </c>
      <c r="C807" s="10" t="s">
        <v>1866</v>
      </c>
      <c r="D807" s="11">
        <v>42442.871527777781</v>
      </c>
      <c r="E807" s="10" t="s">
        <v>1867</v>
      </c>
    </row>
    <row r="808" spans="1:5">
      <c r="A808" s="11">
        <v>42442</v>
      </c>
      <c r="B808" s="10" t="s">
        <v>1868</v>
      </c>
      <c r="C808" s="10" t="s">
        <v>1869</v>
      </c>
      <c r="D808" s="11">
        <v>42442.873935185184</v>
      </c>
      <c r="E808" s="10" t="s">
        <v>168</v>
      </c>
    </row>
    <row r="809" spans="1:5">
      <c r="A809" s="11">
        <v>42442</v>
      </c>
      <c r="B809" s="10" t="s">
        <v>1870</v>
      </c>
      <c r="C809" s="10" t="s">
        <v>1871</v>
      </c>
      <c r="D809" s="11">
        <v>42442.874756944446</v>
      </c>
      <c r="E809" s="10" t="s">
        <v>1867</v>
      </c>
    </row>
    <row r="810" spans="1:5">
      <c r="A810" s="11">
        <v>42442</v>
      </c>
      <c r="B810" s="10" t="s">
        <v>1872</v>
      </c>
      <c r="C810" s="10" t="s">
        <v>1873</v>
      </c>
      <c r="D810" s="11">
        <v>42442.877766203703</v>
      </c>
      <c r="E810" s="10" t="s">
        <v>383</v>
      </c>
    </row>
    <row r="811" spans="1:5" ht="21.6">
      <c r="A811" s="11">
        <v>42442</v>
      </c>
      <c r="B811" s="10" t="s">
        <v>1874</v>
      </c>
      <c r="C811" s="10" t="s">
        <v>1875</v>
      </c>
      <c r="D811" s="11">
        <v>42442.879305555558</v>
      </c>
      <c r="E811" s="10" t="s">
        <v>741</v>
      </c>
    </row>
    <row r="812" spans="1:5">
      <c r="A812" s="11">
        <v>42442</v>
      </c>
      <c r="B812" s="10" t="s">
        <v>1876</v>
      </c>
      <c r="C812" s="10" t="s">
        <v>1877</v>
      </c>
      <c r="D812" s="11">
        <v>42442.881076388891</v>
      </c>
      <c r="E812" s="10" t="s">
        <v>411</v>
      </c>
    </row>
    <row r="813" spans="1:5">
      <c r="A813" s="11">
        <v>42442</v>
      </c>
      <c r="B813" s="10" t="s">
        <v>1878</v>
      </c>
      <c r="C813" s="10" t="s">
        <v>1879</v>
      </c>
      <c r="D813" s="11">
        <v>42442.886122685188</v>
      </c>
      <c r="E813" s="10" t="s">
        <v>414</v>
      </c>
    </row>
    <row r="814" spans="1:5">
      <c r="A814" s="11">
        <v>42442</v>
      </c>
      <c r="B814" s="10" t="s">
        <v>1880</v>
      </c>
      <c r="C814" s="10" t="s">
        <v>1881</v>
      </c>
      <c r="D814" s="11">
        <v>42442.88894675926</v>
      </c>
      <c r="E814" s="10" t="s">
        <v>152</v>
      </c>
    </row>
    <row r="815" spans="1:5">
      <c r="A815" s="11">
        <v>42442</v>
      </c>
      <c r="B815" s="10" t="s">
        <v>1882</v>
      </c>
      <c r="C815" s="10" t="s">
        <v>1883</v>
      </c>
      <c r="D815" s="11">
        <v>42442.90965277778</v>
      </c>
      <c r="E815" s="10" t="s">
        <v>96</v>
      </c>
    </row>
    <row r="816" spans="1:5" ht="21.6">
      <c r="A816" s="11">
        <v>42442</v>
      </c>
      <c r="B816" s="10" t="s">
        <v>1884</v>
      </c>
      <c r="C816" s="10" t="s">
        <v>1885</v>
      </c>
      <c r="D816" s="11">
        <v>42442.890694444446</v>
      </c>
      <c r="E816" s="10" t="s">
        <v>146</v>
      </c>
    </row>
    <row r="817" spans="1:5">
      <c r="A817" s="11">
        <v>42442</v>
      </c>
      <c r="B817" s="10" t="s">
        <v>1886</v>
      </c>
      <c r="C817" s="10" t="s">
        <v>1887</v>
      </c>
      <c r="D817" s="11">
        <v>42442.890844907408</v>
      </c>
      <c r="E817" s="10" t="s">
        <v>193</v>
      </c>
    </row>
    <row r="818" spans="1:5" ht="21.6">
      <c r="A818" s="11">
        <v>42442</v>
      </c>
      <c r="B818" s="10" t="s">
        <v>1888</v>
      </c>
      <c r="C818" s="10" t="s">
        <v>1889</v>
      </c>
      <c r="D818" s="11">
        <v>42442.891192129631</v>
      </c>
      <c r="E818" s="10" t="s">
        <v>582</v>
      </c>
    </row>
    <row r="819" spans="1:5" ht="21.6">
      <c r="A819" s="11">
        <v>42442</v>
      </c>
      <c r="B819" s="10" t="s">
        <v>1890</v>
      </c>
      <c r="C819" s="10" t="s">
        <v>1891</v>
      </c>
      <c r="D819" s="11">
        <v>42442.891840277778</v>
      </c>
      <c r="E819" s="10" t="s">
        <v>582</v>
      </c>
    </row>
    <row r="820" spans="1:5">
      <c r="A820" s="11">
        <v>42442</v>
      </c>
      <c r="B820" s="10" t="s">
        <v>1892</v>
      </c>
      <c r="C820" s="10" t="s">
        <v>1893</v>
      </c>
      <c r="D820" s="11">
        <v>42442.893854166665</v>
      </c>
      <c r="E820" s="10" t="s">
        <v>152</v>
      </c>
    </row>
    <row r="821" spans="1:5" ht="21.6">
      <c r="A821" s="11">
        <v>42442</v>
      </c>
      <c r="B821" s="10" t="s">
        <v>1894</v>
      </c>
      <c r="C821" s="10" t="s">
        <v>1895</v>
      </c>
      <c r="D821" s="11">
        <v>42442.89503472222</v>
      </c>
      <c r="E821" s="10" t="s">
        <v>846</v>
      </c>
    </row>
    <row r="822" spans="1:5">
      <c r="A822" s="11">
        <v>42442</v>
      </c>
      <c r="B822" s="10" t="s">
        <v>1896</v>
      </c>
      <c r="C822" s="10" t="s">
        <v>1897</v>
      </c>
      <c r="D822" s="11">
        <v>42442.89806712963</v>
      </c>
      <c r="E822" s="10" t="s">
        <v>152</v>
      </c>
    </row>
    <row r="823" spans="1:5" ht="21.6">
      <c r="A823" s="11">
        <v>42442</v>
      </c>
      <c r="B823" s="10" t="s">
        <v>1898</v>
      </c>
      <c r="C823" s="10" t="s">
        <v>1899</v>
      </c>
      <c r="D823" s="11">
        <v>42442.898449074077</v>
      </c>
      <c r="E823" s="10" t="s">
        <v>165</v>
      </c>
    </row>
    <row r="824" spans="1:5">
      <c r="A824" s="11">
        <v>42442</v>
      </c>
      <c r="B824" s="10" t="s">
        <v>1900</v>
      </c>
      <c r="C824" s="10" t="s">
        <v>1901</v>
      </c>
      <c r="D824" s="11">
        <v>42442.898715277777</v>
      </c>
      <c r="E824" s="10" t="s">
        <v>736</v>
      </c>
    </row>
    <row r="825" spans="1:5" ht="21.6">
      <c r="A825" s="11">
        <v>42442</v>
      </c>
      <c r="B825" s="10" t="s">
        <v>1902</v>
      </c>
      <c r="C825" s="10" t="s">
        <v>1903</v>
      </c>
      <c r="D825" s="11">
        <v>42442.899513888886</v>
      </c>
      <c r="E825" s="10" t="s">
        <v>171</v>
      </c>
    </row>
    <row r="826" spans="1:5">
      <c r="A826" s="11">
        <v>42442</v>
      </c>
      <c r="B826" s="10" t="s">
        <v>1904</v>
      </c>
      <c r="C826" s="10" t="s">
        <v>1905</v>
      </c>
      <c r="D826" s="11">
        <v>42442.900567129633</v>
      </c>
      <c r="E826" s="10" t="s">
        <v>108</v>
      </c>
    </row>
    <row r="827" spans="1:5">
      <c r="A827" s="11">
        <v>42442</v>
      </c>
      <c r="B827" s="10" t="s">
        <v>1906</v>
      </c>
      <c r="C827" s="10" t="s">
        <v>1907</v>
      </c>
      <c r="D827" s="11">
        <v>42442.901932870373</v>
      </c>
      <c r="E827" s="10" t="s">
        <v>178</v>
      </c>
    </row>
    <row r="828" spans="1:5" ht="21.6">
      <c r="A828" s="11">
        <v>42442</v>
      </c>
      <c r="B828" s="10" t="s">
        <v>1908</v>
      </c>
      <c r="C828" s="10" t="s">
        <v>1909</v>
      </c>
      <c r="D828" s="11">
        <v>42442.90216435185</v>
      </c>
      <c r="E828" s="10" t="s">
        <v>846</v>
      </c>
    </row>
    <row r="829" spans="1:5">
      <c r="A829" s="11">
        <v>42442</v>
      </c>
      <c r="B829" s="10" t="s">
        <v>1910</v>
      </c>
      <c r="C829" s="10" t="s">
        <v>1911</v>
      </c>
      <c r="D829" s="11">
        <v>42442.903634259259</v>
      </c>
      <c r="E829" s="10" t="s">
        <v>929</v>
      </c>
    </row>
    <row r="830" spans="1:5">
      <c r="A830" s="11">
        <v>42442</v>
      </c>
      <c r="B830" s="10" t="s">
        <v>1912</v>
      </c>
      <c r="C830" s="10" t="s">
        <v>1913</v>
      </c>
      <c r="D830" s="11">
        <v>42442.904039351852</v>
      </c>
      <c r="E830" s="10" t="s">
        <v>707</v>
      </c>
    </row>
    <row r="831" spans="1:5">
      <c r="A831" s="11">
        <v>42442</v>
      </c>
      <c r="B831" s="10" t="s">
        <v>1914</v>
      </c>
      <c r="C831" s="10" t="s">
        <v>1915</v>
      </c>
      <c r="D831" s="11">
        <v>42442.904293981483</v>
      </c>
      <c r="E831" s="10" t="s">
        <v>608</v>
      </c>
    </row>
    <row r="832" spans="1:5">
      <c r="A832" s="11">
        <v>42442</v>
      </c>
      <c r="B832" s="10" t="s">
        <v>1916</v>
      </c>
      <c r="C832" s="10" t="s">
        <v>1917</v>
      </c>
      <c r="D832" s="11">
        <v>42442.904664351852</v>
      </c>
      <c r="E832" s="10" t="s">
        <v>292</v>
      </c>
    </row>
    <row r="833" spans="1:5">
      <c r="A833" s="11">
        <v>42442</v>
      </c>
      <c r="B833" s="10" t="s">
        <v>1918</v>
      </c>
      <c r="C833" s="10" t="s">
        <v>1919</v>
      </c>
      <c r="D833" s="11">
        <v>42442.906574074077</v>
      </c>
      <c r="E833" s="10" t="s">
        <v>99</v>
      </c>
    </row>
    <row r="834" spans="1:5">
      <c r="A834" s="11">
        <v>42442</v>
      </c>
      <c r="B834" s="10" t="s">
        <v>1920</v>
      </c>
      <c r="C834" s="10" t="s">
        <v>1921</v>
      </c>
      <c r="D834" s="11">
        <v>42442.909305555557</v>
      </c>
      <c r="E834" s="10" t="s">
        <v>108</v>
      </c>
    </row>
    <row r="835" spans="1:5">
      <c r="A835" s="11">
        <v>42442</v>
      </c>
      <c r="B835" s="10" t="s">
        <v>1922</v>
      </c>
      <c r="C835" s="10" t="s">
        <v>1923</v>
      </c>
      <c r="D835" s="11">
        <v>42442.909490740742</v>
      </c>
      <c r="E835" s="10" t="s">
        <v>108</v>
      </c>
    </row>
    <row r="836" spans="1:5">
      <c r="A836" s="11">
        <v>42442</v>
      </c>
      <c r="B836" s="10" t="s">
        <v>1924</v>
      </c>
      <c r="C836" s="10" t="s">
        <v>1925</v>
      </c>
      <c r="D836" s="11">
        <v>42442.909745370373</v>
      </c>
      <c r="E836" s="10" t="s">
        <v>108</v>
      </c>
    </row>
    <row r="837" spans="1:5">
      <c r="A837" s="11">
        <v>42442</v>
      </c>
      <c r="B837" s="10" t="s">
        <v>1926</v>
      </c>
      <c r="C837" s="10" t="s">
        <v>1927</v>
      </c>
      <c r="D837" s="11">
        <v>42442.909756944442</v>
      </c>
      <c r="E837" s="10" t="s">
        <v>108</v>
      </c>
    </row>
    <row r="838" spans="1:5" ht="21.6">
      <c r="A838" s="11">
        <v>42442</v>
      </c>
      <c r="B838" s="10" t="s">
        <v>1928</v>
      </c>
      <c r="C838" s="10" t="s">
        <v>1929</v>
      </c>
      <c r="D838" s="11">
        <v>42442.910104166665</v>
      </c>
      <c r="E838" s="10" t="s">
        <v>846</v>
      </c>
    </row>
    <row r="839" spans="1:5">
      <c r="A839" s="11">
        <v>42442</v>
      </c>
      <c r="B839" s="10" t="s">
        <v>1930</v>
      </c>
      <c r="C839" s="10" t="s">
        <v>1931</v>
      </c>
      <c r="D839" s="11">
        <v>42442.927256944444</v>
      </c>
      <c r="E839" s="10" t="s">
        <v>1856</v>
      </c>
    </row>
    <row r="840" spans="1:5" ht="21.6">
      <c r="A840" s="11">
        <v>42442</v>
      </c>
      <c r="B840" s="10" t="s">
        <v>1932</v>
      </c>
      <c r="C840" s="10" t="s">
        <v>1933</v>
      </c>
      <c r="D840" s="11">
        <v>42442.911076388889</v>
      </c>
      <c r="E840" s="10" t="s">
        <v>165</v>
      </c>
    </row>
    <row r="841" spans="1:5">
      <c r="A841" s="11">
        <v>42442</v>
      </c>
      <c r="B841" s="10" t="s">
        <v>1934</v>
      </c>
      <c r="C841" s="10" t="s">
        <v>1935</v>
      </c>
      <c r="D841" s="11">
        <v>42443.39135416667</v>
      </c>
      <c r="E841" s="10" t="s">
        <v>221</v>
      </c>
    </row>
    <row r="842" spans="1:5" ht="21.6">
      <c r="A842" s="11">
        <v>42442</v>
      </c>
      <c r="B842" s="10" t="s">
        <v>1936</v>
      </c>
      <c r="C842" s="10" t="s">
        <v>1937</v>
      </c>
      <c r="D842" s="11">
        <v>42442.912754629629</v>
      </c>
      <c r="E842" s="10" t="s">
        <v>582</v>
      </c>
    </row>
    <row r="843" spans="1:5">
      <c r="A843" s="11">
        <v>42442</v>
      </c>
      <c r="B843" s="10" t="s">
        <v>1938</v>
      </c>
      <c r="C843" s="10" t="s">
        <v>1939</v>
      </c>
      <c r="D843" s="11">
        <v>42442.913495370369</v>
      </c>
      <c r="E843" s="10" t="s">
        <v>108</v>
      </c>
    </row>
    <row r="844" spans="1:5" ht="21.6">
      <c r="A844" s="11">
        <v>42442</v>
      </c>
      <c r="B844" s="10" t="s">
        <v>1940</v>
      </c>
      <c r="C844" s="10" t="s">
        <v>1941</v>
      </c>
      <c r="D844" s="11">
        <v>42442.913703703707</v>
      </c>
      <c r="E844" s="10" t="s">
        <v>582</v>
      </c>
    </row>
    <row r="845" spans="1:5">
      <c r="A845" s="11">
        <v>42442</v>
      </c>
      <c r="B845" s="10" t="s">
        <v>1942</v>
      </c>
      <c r="C845" s="10" t="s">
        <v>1943</v>
      </c>
      <c r="D845" s="11">
        <v>42442.913715277777</v>
      </c>
      <c r="E845" s="10" t="s">
        <v>193</v>
      </c>
    </row>
    <row r="846" spans="1:5">
      <c r="A846" s="11">
        <v>42442</v>
      </c>
      <c r="B846" s="10" t="s">
        <v>1944</v>
      </c>
      <c r="C846" s="10" t="s">
        <v>1945</v>
      </c>
      <c r="D846" s="11">
        <v>42442.939062500001</v>
      </c>
      <c r="E846" s="10" t="s">
        <v>707</v>
      </c>
    </row>
    <row r="847" spans="1:5">
      <c r="A847" s="11">
        <v>42442</v>
      </c>
      <c r="B847" s="10" t="s">
        <v>1946</v>
      </c>
      <c r="C847" s="10" t="s">
        <v>1947</v>
      </c>
      <c r="D847" s="11">
        <v>42442.914884259262</v>
      </c>
      <c r="E847" s="10" t="s">
        <v>122</v>
      </c>
    </row>
    <row r="848" spans="1:5">
      <c r="A848" s="11">
        <v>42442</v>
      </c>
      <c r="B848" s="10" t="s">
        <v>1948</v>
      </c>
      <c r="C848" s="10" t="s">
        <v>1949</v>
      </c>
      <c r="D848" s="11">
        <v>42442.915462962963</v>
      </c>
      <c r="E848" s="10" t="s">
        <v>178</v>
      </c>
    </row>
    <row r="849" spans="1:5">
      <c r="A849" s="11">
        <v>42442</v>
      </c>
      <c r="B849" s="10" t="s">
        <v>1950</v>
      </c>
      <c r="C849" s="10" t="s">
        <v>1951</v>
      </c>
      <c r="D849" s="11">
        <v>42442.915879629632</v>
      </c>
      <c r="E849" s="10" t="s">
        <v>625</v>
      </c>
    </row>
    <row r="850" spans="1:5" ht="21.6">
      <c r="A850" s="11">
        <v>42442</v>
      </c>
      <c r="B850" s="10" t="s">
        <v>1952</v>
      </c>
      <c r="C850" s="10" t="s">
        <v>1953</v>
      </c>
      <c r="D850" s="11">
        <v>42442.91741898148</v>
      </c>
      <c r="E850" s="10" t="s">
        <v>582</v>
      </c>
    </row>
    <row r="851" spans="1:5" ht="21.6">
      <c r="A851" s="11">
        <v>42442</v>
      </c>
      <c r="B851" s="10" t="s">
        <v>1954</v>
      </c>
      <c r="C851" s="10" t="s">
        <v>1955</v>
      </c>
      <c r="D851" s="11">
        <v>42442.917627314811</v>
      </c>
      <c r="E851" s="10" t="s">
        <v>165</v>
      </c>
    </row>
    <row r="852" spans="1:5">
      <c r="A852" s="11">
        <v>42442</v>
      </c>
      <c r="B852" s="10" t="s">
        <v>1956</v>
      </c>
      <c r="C852" s="10" t="s">
        <v>1957</v>
      </c>
      <c r="D852" s="11">
        <v>42442.919571759259</v>
      </c>
      <c r="E852" s="10" t="s">
        <v>472</v>
      </c>
    </row>
    <row r="853" spans="1:5">
      <c r="A853" s="11">
        <v>42442</v>
      </c>
      <c r="B853" s="10" t="s">
        <v>1958</v>
      </c>
      <c r="C853" s="10" t="s">
        <v>1959</v>
      </c>
      <c r="D853" s="11">
        <v>42442.920127314814</v>
      </c>
      <c r="E853" s="10" t="s">
        <v>608</v>
      </c>
    </row>
    <row r="854" spans="1:5">
      <c r="A854" s="11">
        <v>42442</v>
      </c>
      <c r="B854" s="10" t="s">
        <v>1960</v>
      </c>
      <c r="C854" s="10" t="s">
        <v>1961</v>
      </c>
      <c r="D854" s="11">
        <v>42442.920347222222</v>
      </c>
      <c r="E854" s="10" t="s">
        <v>193</v>
      </c>
    </row>
    <row r="855" spans="1:5">
      <c r="A855" s="11">
        <v>42442</v>
      </c>
      <c r="B855" s="10" t="s">
        <v>1962</v>
      </c>
      <c r="C855" s="10" t="s">
        <v>1963</v>
      </c>
      <c r="D855" s="11">
        <v>42442.920439814814</v>
      </c>
      <c r="E855" s="10" t="s">
        <v>683</v>
      </c>
    </row>
    <row r="856" spans="1:5" ht="21.6">
      <c r="A856" s="11">
        <v>42442</v>
      </c>
      <c r="B856" s="10" t="s">
        <v>1964</v>
      </c>
      <c r="C856" s="10" t="s">
        <v>1965</v>
      </c>
      <c r="D856" s="11">
        <v>42442.920949074076</v>
      </c>
      <c r="E856" s="10" t="s">
        <v>582</v>
      </c>
    </row>
    <row r="857" spans="1:5">
      <c r="A857" s="11">
        <v>42442</v>
      </c>
      <c r="B857" s="10" t="s">
        <v>1966</v>
      </c>
      <c r="C857" s="10" t="s">
        <v>1967</v>
      </c>
      <c r="D857" s="11">
        <v>42442.946261574078</v>
      </c>
      <c r="E857" s="10" t="s">
        <v>1208</v>
      </c>
    </row>
    <row r="858" spans="1:5">
      <c r="A858" s="11">
        <v>42442</v>
      </c>
      <c r="B858" s="10" t="s">
        <v>1968</v>
      </c>
      <c r="C858" s="10" t="s">
        <v>1969</v>
      </c>
      <c r="D858" s="11">
        <v>42442.981076388889</v>
      </c>
      <c r="E858" s="10" t="s">
        <v>411</v>
      </c>
    </row>
    <row r="859" spans="1:5">
      <c r="A859" s="11">
        <v>42442</v>
      </c>
      <c r="B859" s="10" t="s">
        <v>1970</v>
      </c>
      <c r="C859" s="10" t="s">
        <v>1971</v>
      </c>
      <c r="D859" s="11">
        <v>42442.924097222225</v>
      </c>
      <c r="E859" s="10" t="s">
        <v>292</v>
      </c>
    </row>
    <row r="860" spans="1:5" ht="21.6">
      <c r="A860" s="11">
        <v>42442</v>
      </c>
      <c r="B860" s="10" t="s">
        <v>1972</v>
      </c>
      <c r="C860" s="10" t="s">
        <v>1973</v>
      </c>
      <c r="D860" s="11">
        <v>42442.928101851852</v>
      </c>
      <c r="E860" s="10" t="s">
        <v>165</v>
      </c>
    </row>
    <row r="861" spans="1:5" ht="21.6">
      <c r="A861" s="11">
        <v>42442</v>
      </c>
      <c r="B861" s="10" t="s">
        <v>1974</v>
      </c>
      <c r="C861" s="10" t="s">
        <v>1975</v>
      </c>
      <c r="D861" s="11">
        <v>42443.424699074072</v>
      </c>
      <c r="E861" s="10" t="s">
        <v>1976</v>
      </c>
    </row>
    <row r="862" spans="1:5" ht="21.6">
      <c r="A862" s="11">
        <v>42442</v>
      </c>
      <c r="B862" s="10" t="s">
        <v>1977</v>
      </c>
      <c r="C862" s="10" t="s">
        <v>1978</v>
      </c>
      <c r="D862" s="11">
        <v>42442.930462962962</v>
      </c>
      <c r="E862" s="10" t="s">
        <v>165</v>
      </c>
    </row>
    <row r="863" spans="1:5" ht="21.6">
      <c r="A863" s="11">
        <v>42442</v>
      </c>
      <c r="B863" s="10" t="s">
        <v>1979</v>
      </c>
      <c r="C863" s="10" t="s">
        <v>1980</v>
      </c>
      <c r="D863" s="11">
        <v>42442.93310185185</v>
      </c>
      <c r="E863" s="10" t="s">
        <v>582</v>
      </c>
    </row>
    <row r="864" spans="1:5">
      <c r="A864" s="11">
        <v>42442</v>
      </c>
      <c r="B864" s="10" t="s">
        <v>1981</v>
      </c>
      <c r="C864" s="10" t="s">
        <v>1982</v>
      </c>
      <c r="D864" s="11">
        <v>42443.403078703705</v>
      </c>
      <c r="E864" s="10" t="s">
        <v>185</v>
      </c>
    </row>
    <row r="865" spans="1:5">
      <c r="A865" s="11">
        <v>42442</v>
      </c>
      <c r="B865" s="10" t="s">
        <v>1983</v>
      </c>
      <c r="C865" s="10" t="s">
        <v>1984</v>
      </c>
      <c r="D865" s="11">
        <v>42442.936168981483</v>
      </c>
      <c r="E865" s="10" t="s">
        <v>707</v>
      </c>
    </row>
    <row r="866" spans="1:5" ht="21.6">
      <c r="A866" s="11">
        <v>42442</v>
      </c>
      <c r="B866" s="10" t="s">
        <v>1985</v>
      </c>
      <c r="C866" s="10" t="s">
        <v>1986</v>
      </c>
      <c r="D866" s="11">
        <v>42442.936944444446</v>
      </c>
      <c r="E866" s="10" t="s">
        <v>582</v>
      </c>
    </row>
    <row r="867" spans="1:5">
      <c r="A867" s="11">
        <v>42442</v>
      </c>
      <c r="B867" s="10" t="s">
        <v>1987</v>
      </c>
      <c r="C867" s="10" t="s">
        <v>1988</v>
      </c>
      <c r="D867" s="11">
        <v>42442.937418981484</v>
      </c>
      <c r="E867" s="10" t="s">
        <v>608</v>
      </c>
    </row>
    <row r="868" spans="1:5" ht="21.6">
      <c r="A868" s="11">
        <v>42442</v>
      </c>
      <c r="B868" s="10" t="s">
        <v>1989</v>
      </c>
      <c r="C868" s="10" t="s">
        <v>1990</v>
      </c>
      <c r="D868" s="11">
        <v>42442.93886574074</v>
      </c>
      <c r="E868" s="10" t="s">
        <v>368</v>
      </c>
    </row>
    <row r="869" spans="1:5" ht="21.6">
      <c r="A869" s="11">
        <v>42442</v>
      </c>
      <c r="B869" s="10" t="s">
        <v>1991</v>
      </c>
      <c r="C869" s="10" t="s">
        <v>1992</v>
      </c>
      <c r="D869" s="11">
        <v>42442.941481481481</v>
      </c>
      <c r="E869" s="10" t="s">
        <v>1110</v>
      </c>
    </row>
    <row r="870" spans="1:5" ht="21.6">
      <c r="A870" s="11">
        <v>42442</v>
      </c>
      <c r="B870" s="10" t="s">
        <v>1993</v>
      </c>
      <c r="C870" s="10" t="s">
        <v>1994</v>
      </c>
      <c r="D870" s="11">
        <v>42442.942129629628</v>
      </c>
      <c r="E870" s="10" t="s">
        <v>257</v>
      </c>
    </row>
    <row r="871" spans="1:5">
      <c r="A871" s="11">
        <v>42442</v>
      </c>
      <c r="B871" s="10" t="s">
        <v>1995</v>
      </c>
      <c r="C871" s="10" t="s">
        <v>1996</v>
      </c>
      <c r="D871" s="11">
        <v>42442.942858796298</v>
      </c>
      <c r="E871" s="10" t="s">
        <v>608</v>
      </c>
    </row>
    <row r="872" spans="1:5" ht="21.6">
      <c r="A872" s="11">
        <v>42442</v>
      </c>
      <c r="B872" s="10" t="s">
        <v>1997</v>
      </c>
      <c r="C872" s="10" t="s">
        <v>1998</v>
      </c>
      <c r="D872" s="11">
        <v>42442.943912037037</v>
      </c>
      <c r="E872" s="10" t="s">
        <v>661</v>
      </c>
    </row>
    <row r="873" spans="1:5">
      <c r="A873" s="11">
        <v>42442</v>
      </c>
      <c r="B873" s="10" t="s">
        <v>1999</v>
      </c>
      <c r="C873" s="10" t="s">
        <v>2000</v>
      </c>
      <c r="D873" s="11">
        <v>42443.453287037039</v>
      </c>
      <c r="E873" s="10" t="s">
        <v>178</v>
      </c>
    </row>
    <row r="874" spans="1:5">
      <c r="A874" s="11">
        <v>42442</v>
      </c>
      <c r="B874" s="10" t="s">
        <v>2001</v>
      </c>
      <c r="C874" s="10" t="s">
        <v>2002</v>
      </c>
      <c r="D874" s="11">
        <v>42442.94568287037</v>
      </c>
      <c r="E874" s="10" t="s">
        <v>1770</v>
      </c>
    </row>
    <row r="875" spans="1:5" ht="21.6">
      <c r="A875" s="11">
        <v>42442</v>
      </c>
      <c r="B875" s="10" t="s">
        <v>2003</v>
      </c>
      <c r="C875" s="10" t="s">
        <v>2004</v>
      </c>
      <c r="D875" s="11">
        <v>42442.945914351854</v>
      </c>
      <c r="E875" s="10" t="s">
        <v>1069</v>
      </c>
    </row>
    <row r="876" spans="1:5" ht="21.6">
      <c r="A876" s="11">
        <v>42442</v>
      </c>
      <c r="B876" s="10" t="s">
        <v>2005</v>
      </c>
      <c r="C876" s="10" t="s">
        <v>2006</v>
      </c>
      <c r="D876" s="11">
        <v>42442.946273148147</v>
      </c>
      <c r="E876" s="10" t="s">
        <v>368</v>
      </c>
    </row>
    <row r="877" spans="1:5">
      <c r="A877" s="11">
        <v>42442</v>
      </c>
      <c r="B877" s="10" t="s">
        <v>2007</v>
      </c>
      <c r="C877" s="10" t="s">
        <v>2008</v>
      </c>
      <c r="D877" s="11">
        <v>42442.946539351855</v>
      </c>
      <c r="E877" s="10" t="s">
        <v>152</v>
      </c>
    </row>
    <row r="878" spans="1:5" ht="21.6">
      <c r="A878" s="11">
        <v>42442</v>
      </c>
      <c r="B878" s="10" t="s">
        <v>2009</v>
      </c>
      <c r="C878" s="10" t="s">
        <v>2010</v>
      </c>
      <c r="D878" s="11">
        <v>42442.947708333333</v>
      </c>
      <c r="E878" s="10" t="s">
        <v>165</v>
      </c>
    </row>
    <row r="879" spans="1:5" ht="21.6">
      <c r="A879" s="11">
        <v>42442</v>
      </c>
      <c r="B879" s="10" t="s">
        <v>2011</v>
      </c>
      <c r="C879" s="10" t="s">
        <v>2012</v>
      </c>
      <c r="D879" s="11">
        <v>42442.94903935185</v>
      </c>
      <c r="E879" s="10" t="s">
        <v>741</v>
      </c>
    </row>
    <row r="880" spans="1:5">
      <c r="A880" s="11">
        <v>42442</v>
      </c>
      <c r="B880" s="10" t="s">
        <v>2013</v>
      </c>
      <c r="C880" s="10" t="s">
        <v>2014</v>
      </c>
      <c r="D880" s="11">
        <v>42442.951874999999</v>
      </c>
      <c r="E880" s="10" t="s">
        <v>625</v>
      </c>
    </row>
    <row r="881" spans="1:5">
      <c r="A881" s="11">
        <v>42442</v>
      </c>
      <c r="B881" s="10" t="s">
        <v>2015</v>
      </c>
      <c r="C881" s="10" t="s">
        <v>2016</v>
      </c>
      <c r="D881" s="11">
        <v>42443.002500000002</v>
      </c>
      <c r="E881" s="10" t="s">
        <v>414</v>
      </c>
    </row>
    <row r="882" spans="1:5" ht="21.6">
      <c r="A882" s="11">
        <v>42442</v>
      </c>
      <c r="B882" s="10" t="s">
        <v>2017</v>
      </c>
      <c r="C882" s="10" t="s">
        <v>2018</v>
      </c>
      <c r="D882" s="11">
        <v>42442.953819444447</v>
      </c>
      <c r="E882" s="10" t="s">
        <v>2019</v>
      </c>
    </row>
    <row r="883" spans="1:5">
      <c r="A883" s="11">
        <v>42442</v>
      </c>
      <c r="B883" s="10" t="s">
        <v>2020</v>
      </c>
      <c r="C883" s="10" t="s">
        <v>2021</v>
      </c>
      <c r="D883" s="11">
        <v>42442.954016203701</v>
      </c>
      <c r="E883" s="10" t="s">
        <v>625</v>
      </c>
    </row>
    <row r="884" spans="1:5">
      <c r="A884" s="11">
        <v>42442</v>
      </c>
      <c r="B884" s="10" t="s">
        <v>2022</v>
      </c>
      <c r="C884" s="10" t="s">
        <v>2023</v>
      </c>
      <c r="D884" s="11">
        <v>42442.954074074078</v>
      </c>
      <c r="E884" s="10" t="s">
        <v>670</v>
      </c>
    </row>
    <row r="885" spans="1:5">
      <c r="A885" s="11">
        <v>42442</v>
      </c>
      <c r="B885" s="10" t="s">
        <v>2024</v>
      </c>
      <c r="C885" s="10" t="s">
        <v>2025</v>
      </c>
      <c r="D885" s="11">
        <v>42442.954270833332</v>
      </c>
      <c r="E885" s="10" t="s">
        <v>178</v>
      </c>
    </row>
    <row r="886" spans="1:5" ht="21.6">
      <c r="A886" s="11">
        <v>42442</v>
      </c>
      <c r="B886" s="10" t="s">
        <v>2026</v>
      </c>
      <c r="C886" s="10" t="s">
        <v>2027</v>
      </c>
      <c r="D886" s="11">
        <v>42442.955925925926</v>
      </c>
      <c r="E886" s="10" t="s">
        <v>133</v>
      </c>
    </row>
    <row r="887" spans="1:5">
      <c r="A887" s="11">
        <v>42442</v>
      </c>
      <c r="B887" s="10" t="s">
        <v>2028</v>
      </c>
      <c r="C887" s="10" t="s">
        <v>2029</v>
      </c>
      <c r="D887" s="11">
        <v>42442.956631944442</v>
      </c>
      <c r="E887" s="10" t="s">
        <v>1190</v>
      </c>
    </row>
    <row r="888" spans="1:5" ht="21.6">
      <c r="A888" s="11">
        <v>42442</v>
      </c>
      <c r="B888" s="10" t="s">
        <v>2030</v>
      </c>
      <c r="C888" s="10" t="s">
        <v>2031</v>
      </c>
      <c r="D888" s="11">
        <v>42442.957280092596</v>
      </c>
      <c r="E888" s="10" t="s">
        <v>597</v>
      </c>
    </row>
    <row r="889" spans="1:5">
      <c r="A889" s="11">
        <v>42442</v>
      </c>
      <c r="B889" s="10" t="s">
        <v>2032</v>
      </c>
      <c r="C889" s="10" t="s">
        <v>2033</v>
      </c>
      <c r="D889" s="11">
        <v>42443.382349537038</v>
      </c>
      <c r="E889" s="10" t="s">
        <v>2034</v>
      </c>
    </row>
    <row r="890" spans="1:5">
      <c r="A890" s="11">
        <v>42442</v>
      </c>
      <c r="B890" s="10" t="s">
        <v>2035</v>
      </c>
      <c r="C890" s="10" t="s">
        <v>2036</v>
      </c>
      <c r="D890" s="11">
        <v>42443.376122685186</v>
      </c>
      <c r="E890" s="10" t="s">
        <v>625</v>
      </c>
    </row>
    <row r="891" spans="1:5" ht="21.6">
      <c r="A891" s="11">
        <v>42442</v>
      </c>
      <c r="B891" s="10" t="s">
        <v>2037</v>
      </c>
      <c r="C891" s="10" t="s">
        <v>2038</v>
      </c>
      <c r="D891" s="11">
        <v>42442.963217592594</v>
      </c>
      <c r="E891" s="10" t="s">
        <v>133</v>
      </c>
    </row>
    <row r="892" spans="1:5">
      <c r="A892" s="11">
        <v>42442</v>
      </c>
      <c r="B892" s="10" t="s">
        <v>2039</v>
      </c>
      <c r="C892" s="10" t="s">
        <v>2040</v>
      </c>
      <c r="D892" s="11">
        <v>42442.964386574073</v>
      </c>
      <c r="E892" s="10" t="s">
        <v>193</v>
      </c>
    </row>
    <row r="893" spans="1:5">
      <c r="A893" s="11">
        <v>42442</v>
      </c>
      <c r="B893" s="10" t="s">
        <v>2041</v>
      </c>
      <c r="C893" s="10" t="s">
        <v>2042</v>
      </c>
      <c r="D893" s="11">
        <v>42442.973587962966</v>
      </c>
      <c r="E893" s="10" t="s">
        <v>2043</v>
      </c>
    </row>
    <row r="894" spans="1:5" ht="21.6">
      <c r="A894" s="11">
        <v>42442</v>
      </c>
      <c r="B894" s="10" t="s">
        <v>2044</v>
      </c>
      <c r="C894" s="10" t="s">
        <v>2045</v>
      </c>
      <c r="D894" s="11">
        <v>42442.971238425926</v>
      </c>
      <c r="E894" s="10" t="s">
        <v>165</v>
      </c>
    </row>
    <row r="895" spans="1:5" ht="21.6">
      <c r="A895" s="11">
        <v>42442</v>
      </c>
      <c r="B895" s="10" t="s">
        <v>2046</v>
      </c>
      <c r="C895" s="10" t="s">
        <v>2047</v>
      </c>
      <c r="D895" s="11">
        <v>42442.973749999997</v>
      </c>
      <c r="E895" s="10" t="s">
        <v>1110</v>
      </c>
    </row>
    <row r="896" spans="1:5">
      <c r="A896" s="11">
        <v>42442</v>
      </c>
      <c r="B896" s="10" t="s">
        <v>2048</v>
      </c>
      <c r="C896" s="10" t="s">
        <v>2049</v>
      </c>
      <c r="D896" s="11">
        <v>42442.975138888891</v>
      </c>
      <c r="E896" s="10" t="s">
        <v>152</v>
      </c>
    </row>
    <row r="897" spans="1:5">
      <c r="A897" s="11">
        <v>42442</v>
      </c>
      <c r="B897" s="10" t="s">
        <v>2050</v>
      </c>
      <c r="C897" s="10" t="s">
        <v>2051</v>
      </c>
      <c r="D897" s="11">
        <v>42442.976851851854</v>
      </c>
      <c r="E897" s="10" t="s">
        <v>465</v>
      </c>
    </row>
    <row r="898" spans="1:5">
      <c r="A898" s="11">
        <v>42442</v>
      </c>
      <c r="B898" s="10" t="s">
        <v>2052</v>
      </c>
      <c r="C898" s="10" t="s">
        <v>2053</v>
      </c>
      <c r="D898" s="11">
        <v>42442.978263888886</v>
      </c>
      <c r="E898" s="10" t="s">
        <v>465</v>
      </c>
    </row>
    <row r="899" spans="1:5">
      <c r="A899" s="11">
        <v>42442</v>
      </c>
      <c r="B899" s="10" t="s">
        <v>2054</v>
      </c>
      <c r="C899" s="10" t="s">
        <v>2055</v>
      </c>
      <c r="D899" s="11">
        <v>42442.98333333333</v>
      </c>
      <c r="E899" s="10" t="s">
        <v>108</v>
      </c>
    </row>
    <row r="900" spans="1:5">
      <c r="A900" s="11">
        <v>42442</v>
      </c>
      <c r="B900" s="10" t="s">
        <v>2056</v>
      </c>
      <c r="C900" s="10" t="s">
        <v>2057</v>
      </c>
      <c r="D900" s="11">
        <v>42442.983668981484</v>
      </c>
      <c r="E900" s="10" t="s">
        <v>108</v>
      </c>
    </row>
    <row r="901" spans="1:5" ht="21.6">
      <c r="A901" s="11">
        <v>42442</v>
      </c>
      <c r="B901" s="10" t="s">
        <v>2058</v>
      </c>
      <c r="C901" s="10" t="s">
        <v>2059</v>
      </c>
      <c r="D901" s="11">
        <v>42442.985393518517</v>
      </c>
      <c r="E901" s="10" t="s">
        <v>582</v>
      </c>
    </row>
    <row r="902" spans="1:5" ht="21.6">
      <c r="A902" s="11">
        <v>42442</v>
      </c>
      <c r="B902" s="10" t="s">
        <v>2060</v>
      </c>
      <c r="C902" s="10" t="s">
        <v>2061</v>
      </c>
      <c r="D902" s="11">
        <v>42443.490104166667</v>
      </c>
      <c r="E902" s="10" t="s">
        <v>165</v>
      </c>
    </row>
    <row r="903" spans="1:5" ht="21.6">
      <c r="A903" s="11">
        <v>42442</v>
      </c>
      <c r="B903" s="10" t="s">
        <v>2062</v>
      </c>
      <c r="C903" s="10" t="s">
        <v>2063</v>
      </c>
      <c r="D903" s="11">
        <v>42442.988680555558</v>
      </c>
      <c r="E903" s="10" t="s">
        <v>582</v>
      </c>
    </row>
    <row r="904" spans="1:5">
      <c r="A904" s="11">
        <v>42442</v>
      </c>
      <c r="B904" s="10" t="s">
        <v>2064</v>
      </c>
      <c r="C904" s="10" t="s">
        <v>2065</v>
      </c>
      <c r="D904" s="11">
        <v>42442.99015046296</v>
      </c>
      <c r="E904" s="10" t="s">
        <v>1867</v>
      </c>
    </row>
    <row r="905" spans="1:5">
      <c r="A905" s="11">
        <v>42442</v>
      </c>
      <c r="B905" s="10" t="s">
        <v>2066</v>
      </c>
      <c r="C905" s="10" t="s">
        <v>2067</v>
      </c>
      <c r="D905" s="11">
        <v>42442.991712962961</v>
      </c>
      <c r="E905" s="10" t="s">
        <v>736</v>
      </c>
    </row>
    <row r="906" spans="1:5" ht="21.6">
      <c r="A906" s="11">
        <v>42442</v>
      </c>
      <c r="B906" s="10" t="s">
        <v>2068</v>
      </c>
      <c r="C906" s="10" t="s">
        <v>2069</v>
      </c>
      <c r="D906" s="11">
        <v>42443.497893518521</v>
      </c>
      <c r="E906" s="10" t="s">
        <v>257</v>
      </c>
    </row>
    <row r="907" spans="1:5" ht="21.6">
      <c r="A907" s="11">
        <v>42442</v>
      </c>
      <c r="B907" s="10" t="s">
        <v>2070</v>
      </c>
      <c r="C907" s="10" t="s">
        <v>2071</v>
      </c>
      <c r="D907" s="11">
        <v>42442.994386574072</v>
      </c>
      <c r="E907" s="10" t="s">
        <v>102</v>
      </c>
    </row>
    <row r="908" spans="1:5">
      <c r="A908" s="11">
        <v>42442</v>
      </c>
      <c r="B908" s="10" t="s">
        <v>2072</v>
      </c>
      <c r="C908" s="10" t="s">
        <v>2073</v>
      </c>
      <c r="D908" s="11">
        <v>42442.995046296295</v>
      </c>
      <c r="E908" s="10" t="s">
        <v>465</v>
      </c>
    </row>
    <row r="909" spans="1:5">
      <c r="A909" s="11">
        <v>42442</v>
      </c>
      <c r="B909" s="10" t="s">
        <v>2074</v>
      </c>
      <c r="C909" s="10" t="s">
        <v>2075</v>
      </c>
      <c r="D909" s="11">
        <v>42442.997407407405</v>
      </c>
      <c r="E909" s="10" t="s">
        <v>707</v>
      </c>
    </row>
    <row r="910" spans="1:5" ht="21.6">
      <c r="A910" s="11">
        <v>42443</v>
      </c>
      <c r="B910" s="10" t="s">
        <v>2076</v>
      </c>
      <c r="C910" s="10" t="s">
        <v>2077</v>
      </c>
      <c r="D910" s="11">
        <v>42443.726967592593</v>
      </c>
      <c r="E910" s="10" t="s">
        <v>338</v>
      </c>
    </row>
    <row r="911" spans="1:5" ht="21.6">
      <c r="A911" s="11">
        <v>42448</v>
      </c>
      <c r="B911" s="10" t="s">
        <v>2078</v>
      </c>
      <c r="C911" s="10" t="s">
        <v>2079</v>
      </c>
      <c r="D911" s="11">
        <v>42739.847395833334</v>
      </c>
      <c r="E911" s="10" t="s">
        <v>252</v>
      </c>
    </row>
    <row r="912" spans="1:5">
      <c r="A912" s="11">
        <v>42463</v>
      </c>
      <c r="B912" s="10" t="s">
        <v>2080</v>
      </c>
      <c r="C912" s="10" t="s">
        <v>2081</v>
      </c>
      <c r="D912" s="11">
        <v>42780.716041666667</v>
      </c>
      <c r="E912" s="10" t="s">
        <v>155</v>
      </c>
    </row>
    <row r="913" spans="1:5">
      <c r="A913" s="11">
        <v>42470</v>
      </c>
      <c r="B913" s="10" t="s">
        <v>2082</v>
      </c>
      <c r="C913" s="10" t="s">
        <v>2083</v>
      </c>
      <c r="D913" s="11">
        <v>42780.721412037034</v>
      </c>
      <c r="E913" s="10" t="s">
        <v>221</v>
      </c>
    </row>
    <row r="914" spans="1:5">
      <c r="A914" s="11">
        <v>42472</v>
      </c>
      <c r="B914" s="10" t="s">
        <v>2084</v>
      </c>
      <c r="C914" s="10" t="s">
        <v>2085</v>
      </c>
      <c r="D914" s="11">
        <v>42782.615358796298</v>
      </c>
      <c r="E914" s="10" t="s">
        <v>2086</v>
      </c>
    </row>
    <row r="915" spans="1:5">
      <c r="A915" s="11">
        <v>42473</v>
      </c>
      <c r="B915" s="10" t="s">
        <v>2087</v>
      </c>
      <c r="C915" s="10" t="s">
        <v>2088</v>
      </c>
      <c r="D915" s="11">
        <v>42780.706782407404</v>
      </c>
      <c r="E915" s="10" t="s">
        <v>2089</v>
      </c>
    </row>
    <row r="916" spans="1:5" ht="21.6">
      <c r="A916" s="11">
        <v>42476</v>
      </c>
      <c r="B916" s="10" t="s">
        <v>2090</v>
      </c>
      <c r="C916" s="10" t="s">
        <v>2091</v>
      </c>
      <c r="D916" s="11">
        <v>42781.663680555554</v>
      </c>
      <c r="E916" s="10" t="s">
        <v>1316</v>
      </c>
    </row>
    <row r="917" spans="1:5">
      <c r="A917" s="11">
        <v>42491</v>
      </c>
      <c r="B917" s="10" t="s">
        <v>2092</v>
      </c>
      <c r="C917" s="10" t="s">
        <v>2093</v>
      </c>
      <c r="D917" s="11">
        <v>42781.569537037038</v>
      </c>
      <c r="E917" s="10" t="s">
        <v>212</v>
      </c>
    </row>
    <row r="918" spans="1:5">
      <c r="A918" s="11">
        <v>42497</v>
      </c>
      <c r="B918" s="10" t="s">
        <v>2094</v>
      </c>
      <c r="C918" s="10" t="s">
        <v>2095</v>
      </c>
      <c r="D918" s="11">
        <v>42781.878541666665</v>
      </c>
      <c r="E918" s="10" t="s">
        <v>433</v>
      </c>
    </row>
    <row r="919" spans="1:5" ht="21.6">
      <c r="A919" s="11">
        <v>42502</v>
      </c>
      <c r="B919" s="10" t="s">
        <v>2096</v>
      </c>
      <c r="C919" s="10" t="s">
        <v>2097</v>
      </c>
      <c r="D919" s="11">
        <v>42778.563032407408</v>
      </c>
      <c r="E919" s="10" t="s">
        <v>356</v>
      </c>
    </row>
    <row r="920" spans="1:5">
      <c r="A920" s="11">
        <v>42503</v>
      </c>
      <c r="B920" s="10" t="s">
        <v>2098</v>
      </c>
      <c r="C920" s="10" t="s">
        <v>2099</v>
      </c>
      <c r="D920" s="11">
        <v>42778.71</v>
      </c>
      <c r="E920" s="10" t="s">
        <v>193</v>
      </c>
    </row>
    <row r="921" spans="1:5">
      <c r="A921" s="11">
        <v>42503</v>
      </c>
      <c r="B921" s="10" t="s">
        <v>2100</v>
      </c>
      <c r="C921" s="10" t="s">
        <v>2101</v>
      </c>
      <c r="D921" s="11">
        <v>42782.510127314818</v>
      </c>
      <c r="E921" s="10" t="s">
        <v>433</v>
      </c>
    </row>
    <row r="922" spans="1:5">
      <c r="A922" s="11">
        <v>42505</v>
      </c>
      <c r="B922" s="10" t="s">
        <v>2102</v>
      </c>
      <c r="C922" s="10" t="s">
        <v>2103</v>
      </c>
      <c r="D922" s="11">
        <v>42782.580694444441</v>
      </c>
      <c r="E922" s="10" t="s">
        <v>193</v>
      </c>
    </row>
    <row r="923" spans="1:5">
      <c r="A923" s="11">
        <v>42521</v>
      </c>
      <c r="B923" s="10" t="s">
        <v>2104</v>
      </c>
      <c r="C923" s="10" t="s">
        <v>2105</v>
      </c>
      <c r="D923" s="11">
        <v>42780.522152777776</v>
      </c>
      <c r="E923" s="10" t="s">
        <v>683</v>
      </c>
    </row>
    <row r="924" spans="1:5">
      <c r="A924" s="11">
        <v>42529</v>
      </c>
      <c r="B924" s="10" t="s">
        <v>2106</v>
      </c>
      <c r="C924" s="10" t="s">
        <v>2107</v>
      </c>
      <c r="D924" s="11">
        <v>42782.670520833337</v>
      </c>
      <c r="E924" s="10" t="s">
        <v>433</v>
      </c>
    </row>
    <row r="925" spans="1:5">
      <c r="A925" s="11">
        <v>42533</v>
      </c>
      <c r="B925" s="10" t="s">
        <v>2108</v>
      </c>
      <c r="C925" s="10" t="s">
        <v>2109</v>
      </c>
      <c r="D925" s="11">
        <v>42781.635324074072</v>
      </c>
      <c r="E925" s="10" t="s">
        <v>125</v>
      </c>
    </row>
    <row r="926" spans="1:5">
      <c r="A926" s="11">
        <v>42539</v>
      </c>
      <c r="B926" s="10" t="s">
        <v>2110</v>
      </c>
      <c r="C926" s="10" t="s">
        <v>2111</v>
      </c>
      <c r="D926" s="11">
        <v>42782.670706018522</v>
      </c>
      <c r="E926" s="10" t="s">
        <v>433</v>
      </c>
    </row>
    <row r="927" spans="1:5">
      <c r="A927" s="11">
        <v>42540</v>
      </c>
      <c r="B927" s="10" t="s">
        <v>2112</v>
      </c>
      <c r="C927" s="10" t="s">
        <v>2113</v>
      </c>
      <c r="D927" s="11">
        <v>42782.423263888886</v>
      </c>
      <c r="E927" s="10" t="s">
        <v>122</v>
      </c>
    </row>
    <row r="928" spans="1:5">
      <c r="A928" s="11">
        <v>42540</v>
      </c>
      <c r="B928" s="10" t="s">
        <v>2114</v>
      </c>
      <c r="C928" s="10" t="s">
        <v>2115</v>
      </c>
      <c r="D928" s="11">
        <v>42780.945567129631</v>
      </c>
      <c r="E928" s="10" t="s">
        <v>1658</v>
      </c>
    </row>
    <row r="929" spans="1:5">
      <c r="A929" s="11">
        <v>42545</v>
      </c>
      <c r="B929" s="10" t="s">
        <v>2116</v>
      </c>
      <c r="C929" s="10" t="s">
        <v>2117</v>
      </c>
      <c r="D929" s="11">
        <v>42777.618530092594</v>
      </c>
      <c r="E929" s="10" t="s">
        <v>380</v>
      </c>
    </row>
    <row r="930" spans="1:5">
      <c r="A930" s="11">
        <v>42547</v>
      </c>
      <c r="B930" s="10" t="s">
        <v>2118</v>
      </c>
      <c r="C930" s="10" t="s">
        <v>2119</v>
      </c>
      <c r="D930" s="11">
        <v>42780.784317129626</v>
      </c>
      <c r="E930" s="10" t="s">
        <v>353</v>
      </c>
    </row>
    <row r="931" spans="1:5">
      <c r="A931" s="11">
        <v>42556</v>
      </c>
      <c r="B931" s="10" t="s">
        <v>2120</v>
      </c>
      <c r="C931" s="10" t="s">
        <v>2121</v>
      </c>
      <c r="D931" s="11">
        <v>42779.925439814811</v>
      </c>
      <c r="E931" s="10" t="s">
        <v>237</v>
      </c>
    </row>
    <row r="932" spans="1:5">
      <c r="A932" s="11">
        <v>42557</v>
      </c>
      <c r="B932" s="10" t="s">
        <v>2122</v>
      </c>
      <c r="C932" s="10" t="s">
        <v>2123</v>
      </c>
      <c r="D932" s="11">
        <v>42781.664155092592</v>
      </c>
      <c r="E932" s="10" t="s">
        <v>2124</v>
      </c>
    </row>
    <row r="933" spans="1:5">
      <c r="A933" s="11">
        <v>42557</v>
      </c>
      <c r="B933" s="10" t="s">
        <v>2125</v>
      </c>
      <c r="C933" s="10" t="s">
        <v>2126</v>
      </c>
      <c r="D933" s="11">
        <v>42781.794236111113</v>
      </c>
      <c r="E933" s="10" t="s">
        <v>1022</v>
      </c>
    </row>
    <row r="934" spans="1:5">
      <c r="A934" s="11">
        <v>42558</v>
      </c>
      <c r="B934" s="10" t="s">
        <v>2127</v>
      </c>
      <c r="C934" s="10" t="s">
        <v>2128</v>
      </c>
      <c r="D934" s="11">
        <v>42777.642060185186</v>
      </c>
      <c r="E934" s="10" t="s">
        <v>380</v>
      </c>
    </row>
    <row r="935" spans="1:5">
      <c r="A935" s="11">
        <v>42558</v>
      </c>
      <c r="B935" s="10" t="s">
        <v>2129</v>
      </c>
      <c r="C935" s="10" t="s">
        <v>2130</v>
      </c>
      <c r="D935" s="11">
        <v>42780.583645833336</v>
      </c>
      <c r="E935" s="10" t="s">
        <v>237</v>
      </c>
    </row>
    <row r="936" spans="1:5">
      <c r="A936" s="11">
        <v>42559</v>
      </c>
      <c r="B936" s="10" t="s">
        <v>2131</v>
      </c>
      <c r="C936" s="10" t="s">
        <v>2132</v>
      </c>
      <c r="D936" s="11">
        <v>42782.630173611113</v>
      </c>
      <c r="E936" s="10" t="s">
        <v>380</v>
      </c>
    </row>
    <row r="937" spans="1:5">
      <c r="A937" s="11">
        <v>42563</v>
      </c>
      <c r="B937" s="10" t="s">
        <v>2133</v>
      </c>
      <c r="C937" s="10" t="s">
        <v>2134</v>
      </c>
      <c r="D937" s="11">
        <v>42781.910462962966</v>
      </c>
      <c r="E937" s="10" t="s">
        <v>433</v>
      </c>
    </row>
    <row r="938" spans="1:5">
      <c r="A938" s="11">
        <v>42575</v>
      </c>
      <c r="B938" s="10" t="s">
        <v>2135</v>
      </c>
      <c r="C938" s="10" t="s">
        <v>2136</v>
      </c>
      <c r="D938" s="11">
        <v>42780.455405092594</v>
      </c>
      <c r="E938" s="10" t="s">
        <v>902</v>
      </c>
    </row>
    <row r="939" spans="1:5">
      <c r="A939" s="11">
        <v>42580</v>
      </c>
      <c r="B939" s="10" t="s">
        <v>2137</v>
      </c>
      <c r="C939" s="10" t="s">
        <v>2138</v>
      </c>
      <c r="D939" s="11">
        <v>42779.583634259259</v>
      </c>
      <c r="E939" s="10" t="s">
        <v>2139</v>
      </c>
    </row>
    <row r="940" spans="1:5">
      <c r="A940" s="11">
        <v>42593</v>
      </c>
      <c r="B940" s="10" t="s">
        <v>2140</v>
      </c>
      <c r="C940" s="10" t="s">
        <v>2141</v>
      </c>
      <c r="D940" s="11">
        <v>42781.809328703705</v>
      </c>
      <c r="E940" s="10" t="s">
        <v>237</v>
      </c>
    </row>
    <row r="941" spans="1:5">
      <c r="A941" s="11">
        <v>42593</v>
      </c>
      <c r="B941" s="10" t="s">
        <v>2142</v>
      </c>
      <c r="C941" s="10" t="s">
        <v>2143</v>
      </c>
      <c r="D941" s="11">
        <v>42781.809571759259</v>
      </c>
      <c r="E941" s="10" t="s">
        <v>2144</v>
      </c>
    </row>
    <row r="942" spans="1:5">
      <c r="A942" s="11">
        <v>42594</v>
      </c>
      <c r="B942" s="10" t="s">
        <v>2145</v>
      </c>
      <c r="C942" s="10" t="s">
        <v>2146</v>
      </c>
      <c r="D942" s="11">
        <v>42781.879988425928</v>
      </c>
      <c r="E942" s="10" t="s">
        <v>433</v>
      </c>
    </row>
    <row r="943" spans="1:5" ht="21.6">
      <c r="A943" s="11">
        <v>42597</v>
      </c>
      <c r="B943" s="10" t="s">
        <v>2147</v>
      </c>
      <c r="C943" s="10" t="s">
        <v>2148</v>
      </c>
      <c r="D943" s="11">
        <v>42782.676018518519</v>
      </c>
      <c r="E943" s="10" t="s">
        <v>133</v>
      </c>
    </row>
    <row r="944" spans="1:5">
      <c r="A944" s="11">
        <v>42600</v>
      </c>
      <c r="B944" s="10" t="s">
        <v>2149</v>
      </c>
      <c r="C944" s="10" t="s">
        <v>2150</v>
      </c>
      <c r="D944" s="11">
        <v>42781.402569444443</v>
      </c>
      <c r="E944" s="10" t="s">
        <v>308</v>
      </c>
    </row>
    <row r="945" spans="1:5">
      <c r="A945" s="11">
        <v>42608</v>
      </c>
      <c r="B945" s="10" t="s">
        <v>2151</v>
      </c>
      <c r="C945" s="10" t="s">
        <v>2152</v>
      </c>
      <c r="D945" s="11">
        <v>42781.441284722219</v>
      </c>
      <c r="E945" s="10" t="s">
        <v>1103</v>
      </c>
    </row>
    <row r="946" spans="1:5" ht="21.6">
      <c r="A946" s="11">
        <v>42609</v>
      </c>
      <c r="B946" s="10" t="s">
        <v>2153</v>
      </c>
      <c r="C946" s="10" t="s">
        <v>2154</v>
      </c>
      <c r="D946" s="11">
        <v>42781.253645833334</v>
      </c>
      <c r="E946" s="10" t="s">
        <v>447</v>
      </c>
    </row>
    <row r="947" spans="1:5">
      <c r="A947" s="11">
        <v>42616</v>
      </c>
      <c r="B947" s="10" t="s">
        <v>2155</v>
      </c>
      <c r="C947" s="10" t="s">
        <v>2156</v>
      </c>
      <c r="D947" s="11">
        <v>42782.387604166666</v>
      </c>
      <c r="E947" s="10" t="s">
        <v>683</v>
      </c>
    </row>
    <row r="948" spans="1:5">
      <c r="A948" s="11">
        <v>42616</v>
      </c>
      <c r="B948" s="10" t="s">
        <v>2157</v>
      </c>
      <c r="C948" s="10" t="s">
        <v>2158</v>
      </c>
      <c r="D948" s="11">
        <v>42781.794456018521</v>
      </c>
      <c r="E948" s="10" t="s">
        <v>479</v>
      </c>
    </row>
    <row r="949" spans="1:5" ht="21.6">
      <c r="A949" s="11">
        <v>42624</v>
      </c>
      <c r="B949" s="10" t="s">
        <v>2159</v>
      </c>
      <c r="C949" s="10" t="s">
        <v>2160</v>
      </c>
      <c r="D949" s="11">
        <v>42781.639814814815</v>
      </c>
      <c r="E949" s="10" t="s">
        <v>165</v>
      </c>
    </row>
    <row r="950" spans="1:5">
      <c r="A950" s="11">
        <v>42628</v>
      </c>
      <c r="B950" s="10" t="s">
        <v>2161</v>
      </c>
      <c r="C950" s="10" t="s">
        <v>2162</v>
      </c>
      <c r="D950" s="11">
        <v>42773.450914351852</v>
      </c>
      <c r="E950" s="10" t="s">
        <v>902</v>
      </c>
    </row>
    <row r="951" spans="1:5">
      <c r="A951" s="11">
        <v>42633</v>
      </c>
      <c r="B951" s="10" t="s">
        <v>2163</v>
      </c>
      <c r="C951" s="10" t="s">
        <v>2164</v>
      </c>
      <c r="D951" s="11">
        <v>42782.419953703706</v>
      </c>
      <c r="E951" s="10" t="s">
        <v>320</v>
      </c>
    </row>
    <row r="952" spans="1:5">
      <c r="A952" s="11">
        <v>42637</v>
      </c>
      <c r="B952" s="10" t="s">
        <v>2165</v>
      </c>
      <c r="C952" s="10" t="s">
        <v>2166</v>
      </c>
      <c r="D952" s="11">
        <v>42782.604328703703</v>
      </c>
      <c r="E952" s="10" t="s">
        <v>1103</v>
      </c>
    </row>
    <row r="953" spans="1:5">
      <c r="A953" s="11">
        <v>42637</v>
      </c>
      <c r="B953" s="10" t="s">
        <v>2167</v>
      </c>
      <c r="C953" s="10" t="s">
        <v>2168</v>
      </c>
      <c r="D953" s="11">
        <v>42782.602129629631</v>
      </c>
      <c r="E953" s="10" t="s">
        <v>2169</v>
      </c>
    </row>
    <row r="954" spans="1:5">
      <c r="A954" s="11">
        <v>42637</v>
      </c>
      <c r="B954" s="10" t="s">
        <v>2170</v>
      </c>
      <c r="C954" s="10" t="s">
        <v>2171</v>
      </c>
      <c r="D954" s="11">
        <v>42782.597199074073</v>
      </c>
      <c r="E954" s="10" t="s">
        <v>122</v>
      </c>
    </row>
    <row r="955" spans="1:5">
      <c r="A955" s="11">
        <v>42638</v>
      </c>
      <c r="B955" s="10" t="s">
        <v>2172</v>
      </c>
      <c r="C955" s="10" t="s">
        <v>2173</v>
      </c>
      <c r="D955" s="11">
        <v>42777.561724537038</v>
      </c>
      <c r="E955" s="10" t="s">
        <v>1103</v>
      </c>
    </row>
    <row r="956" spans="1:5">
      <c r="A956" s="11">
        <v>42639</v>
      </c>
      <c r="B956" s="10" t="s">
        <v>2174</v>
      </c>
      <c r="C956" s="10" t="s">
        <v>2175</v>
      </c>
      <c r="D956" s="11">
        <v>42781.808391203704</v>
      </c>
      <c r="E956" s="10" t="s">
        <v>902</v>
      </c>
    </row>
    <row r="957" spans="1:5" ht="21.6">
      <c r="A957" s="11">
        <v>42641</v>
      </c>
      <c r="B957" s="10" t="s">
        <v>2176</v>
      </c>
      <c r="C957" s="10" t="s">
        <v>2177</v>
      </c>
      <c r="D957" s="11">
        <v>42778.768368055556</v>
      </c>
      <c r="E957" s="10" t="s">
        <v>356</v>
      </c>
    </row>
    <row r="958" spans="1:5">
      <c r="A958" s="11">
        <v>42644</v>
      </c>
      <c r="B958" s="10" t="s">
        <v>2178</v>
      </c>
      <c r="C958" s="10" t="s">
        <v>2179</v>
      </c>
      <c r="D958" s="11">
        <v>42782.66034722222</v>
      </c>
      <c r="E958" s="10" t="s">
        <v>2180</v>
      </c>
    </row>
    <row r="959" spans="1:5">
      <c r="A959" s="11">
        <v>42648</v>
      </c>
      <c r="B959" s="10" t="s">
        <v>2181</v>
      </c>
      <c r="C959" s="10" t="s">
        <v>2182</v>
      </c>
      <c r="D959" s="11">
        <v>42780.663263888891</v>
      </c>
      <c r="E959" s="10" t="s">
        <v>2183</v>
      </c>
    </row>
    <row r="960" spans="1:5">
      <c r="A960" s="11">
        <v>42649</v>
      </c>
      <c r="B960" s="10" t="s">
        <v>2184</v>
      </c>
      <c r="C960" s="10" t="s">
        <v>2185</v>
      </c>
      <c r="D960" s="11">
        <v>42780.664641203701</v>
      </c>
      <c r="E960" s="10" t="s">
        <v>2186</v>
      </c>
    </row>
    <row r="961" spans="1:5">
      <c r="A961" s="11">
        <v>42653</v>
      </c>
      <c r="B961" s="10" t="s">
        <v>2187</v>
      </c>
      <c r="C961" s="10" t="s">
        <v>2188</v>
      </c>
      <c r="D961" s="11">
        <v>42780.729756944442</v>
      </c>
      <c r="E961" s="10" t="s">
        <v>308</v>
      </c>
    </row>
    <row r="962" spans="1:5">
      <c r="A962" s="11">
        <v>42654</v>
      </c>
      <c r="B962" s="10" t="s">
        <v>2189</v>
      </c>
      <c r="C962" s="10" t="s">
        <v>2190</v>
      </c>
      <c r="D962" s="11">
        <v>42782.662986111114</v>
      </c>
      <c r="E962" s="10" t="s">
        <v>2191</v>
      </c>
    </row>
    <row r="963" spans="1:5">
      <c r="A963" s="11">
        <v>42654</v>
      </c>
      <c r="B963" s="10" t="s">
        <v>2192</v>
      </c>
      <c r="C963" s="10" t="s">
        <v>2193</v>
      </c>
      <c r="D963" s="11">
        <v>42781.407557870371</v>
      </c>
      <c r="E963" s="10" t="s">
        <v>218</v>
      </c>
    </row>
    <row r="964" spans="1:5" ht="21.6">
      <c r="A964" s="11">
        <v>42657</v>
      </c>
      <c r="B964" s="10" t="s">
        <v>2194</v>
      </c>
      <c r="C964" s="10" t="s">
        <v>2195</v>
      </c>
      <c r="D964" s="11">
        <v>42782.596701388888</v>
      </c>
      <c r="E964" s="10" t="s">
        <v>2196</v>
      </c>
    </row>
    <row r="965" spans="1:5">
      <c r="A965" s="11">
        <v>42657</v>
      </c>
      <c r="B965" s="10" t="s">
        <v>2197</v>
      </c>
      <c r="C965" s="10" t="s">
        <v>2198</v>
      </c>
      <c r="D965" s="11">
        <v>42782.563136574077</v>
      </c>
      <c r="E965" s="10" t="s">
        <v>479</v>
      </c>
    </row>
    <row r="966" spans="1:5">
      <c r="A966" s="11">
        <v>42660</v>
      </c>
      <c r="B966" s="10" t="s">
        <v>2199</v>
      </c>
      <c r="C966" s="10" t="s">
        <v>2200</v>
      </c>
      <c r="D966" s="11">
        <v>42773.657905092594</v>
      </c>
      <c r="E966" s="10" t="s">
        <v>2201</v>
      </c>
    </row>
    <row r="967" spans="1:5">
      <c r="A967" s="11">
        <v>42661</v>
      </c>
      <c r="B967" s="10" t="s">
        <v>2202</v>
      </c>
      <c r="C967" s="10" t="s">
        <v>2203</v>
      </c>
      <c r="D967" s="11">
        <v>42782.439675925925</v>
      </c>
      <c r="E967" s="10" t="s">
        <v>237</v>
      </c>
    </row>
    <row r="968" spans="1:5">
      <c r="A968" s="11">
        <v>42662</v>
      </c>
      <c r="B968" s="10" t="s">
        <v>2204</v>
      </c>
      <c r="C968" s="10" t="s">
        <v>2205</v>
      </c>
      <c r="D968" s="11">
        <v>42782.704386574071</v>
      </c>
      <c r="E968" s="10" t="s">
        <v>237</v>
      </c>
    </row>
    <row r="969" spans="1:5">
      <c r="A969" s="11">
        <v>42662</v>
      </c>
      <c r="B969" s="10" t="s">
        <v>2206</v>
      </c>
      <c r="C969" s="10" t="s">
        <v>2207</v>
      </c>
      <c r="D969" s="11">
        <v>42782.434259259258</v>
      </c>
      <c r="E969" s="10" t="s">
        <v>237</v>
      </c>
    </row>
    <row r="970" spans="1:5">
      <c r="A970" s="11">
        <v>42662</v>
      </c>
      <c r="B970" s="10" t="s">
        <v>2208</v>
      </c>
      <c r="C970" s="10" t="s">
        <v>2209</v>
      </c>
      <c r="D970" s="11">
        <v>42782.704062500001</v>
      </c>
      <c r="E970" s="10" t="s">
        <v>237</v>
      </c>
    </row>
    <row r="971" spans="1:5">
      <c r="A971" s="11">
        <v>42665</v>
      </c>
      <c r="B971" s="10" t="s">
        <v>2210</v>
      </c>
      <c r="C971" s="10" t="s">
        <v>2211</v>
      </c>
      <c r="D971" s="11">
        <v>42781.77857638889</v>
      </c>
      <c r="E971" s="10" t="s">
        <v>122</v>
      </c>
    </row>
    <row r="972" spans="1:5">
      <c r="A972" s="11">
        <v>42665</v>
      </c>
      <c r="B972" s="10" t="s">
        <v>2212</v>
      </c>
      <c r="C972" s="10" t="s">
        <v>2213</v>
      </c>
      <c r="D972" s="11">
        <v>42782.428101851852</v>
      </c>
      <c r="E972" s="10" t="s">
        <v>902</v>
      </c>
    </row>
    <row r="973" spans="1:5">
      <c r="A973" s="11">
        <v>42665</v>
      </c>
      <c r="B973" s="10" t="s">
        <v>2214</v>
      </c>
      <c r="C973" s="10" t="s">
        <v>2215</v>
      </c>
      <c r="D973" s="11">
        <v>42780.609884259262</v>
      </c>
      <c r="E973" s="10" t="s">
        <v>2124</v>
      </c>
    </row>
    <row r="974" spans="1:5" ht="21.6">
      <c r="A974" s="11">
        <v>42665</v>
      </c>
      <c r="B974" s="10" t="s">
        <v>2216</v>
      </c>
      <c r="C974" s="10" t="s">
        <v>2217</v>
      </c>
      <c r="D974" s="11">
        <v>42782.397974537038</v>
      </c>
      <c r="E974" s="10" t="s">
        <v>830</v>
      </c>
    </row>
    <row r="975" spans="1:5">
      <c r="A975" s="11">
        <v>42667</v>
      </c>
      <c r="B975" s="10" t="s">
        <v>2218</v>
      </c>
      <c r="C975" s="10" t="s">
        <v>2219</v>
      </c>
      <c r="D975" s="11">
        <v>42781.633668981478</v>
      </c>
      <c r="E975" s="10" t="s">
        <v>308</v>
      </c>
    </row>
    <row r="976" spans="1:5">
      <c r="A976" s="11">
        <v>42667</v>
      </c>
      <c r="B976" s="10" t="s">
        <v>2220</v>
      </c>
      <c r="C976" s="10" t="s">
        <v>2221</v>
      </c>
      <c r="D976" s="11">
        <v>42782.375243055554</v>
      </c>
      <c r="E976" s="10" t="s">
        <v>237</v>
      </c>
    </row>
    <row r="977" spans="1:5">
      <c r="A977" s="11">
        <v>42667</v>
      </c>
      <c r="B977" s="10" t="s">
        <v>2222</v>
      </c>
      <c r="C977" s="10" t="s">
        <v>2223</v>
      </c>
      <c r="D977" s="11">
        <v>42782.375486111108</v>
      </c>
      <c r="E977" s="10" t="s">
        <v>237</v>
      </c>
    </row>
    <row r="978" spans="1:5">
      <c r="A978" s="11">
        <v>42668</v>
      </c>
      <c r="B978" s="10" t="s">
        <v>2224</v>
      </c>
      <c r="C978" s="10" t="s">
        <v>2225</v>
      </c>
      <c r="D978" s="11">
        <v>42775.470416666663</v>
      </c>
      <c r="E978" s="10" t="s">
        <v>2201</v>
      </c>
    </row>
    <row r="979" spans="1:5">
      <c r="A979" s="11">
        <v>42668</v>
      </c>
      <c r="B979" s="10" t="s">
        <v>2226</v>
      </c>
      <c r="C979" s="10" t="s">
        <v>2227</v>
      </c>
      <c r="D979" s="11">
        <v>42778.746736111112</v>
      </c>
      <c r="E979" s="10" t="s">
        <v>2201</v>
      </c>
    </row>
    <row r="980" spans="1:5" ht="21.6">
      <c r="A980" s="11">
        <v>42669</v>
      </c>
      <c r="B980" s="10" t="s">
        <v>2228</v>
      </c>
      <c r="C980" s="10" t="s">
        <v>2229</v>
      </c>
      <c r="D980" s="11">
        <v>42781.641215277778</v>
      </c>
      <c r="E980" s="10" t="s">
        <v>171</v>
      </c>
    </row>
    <row r="981" spans="1:5" ht="21.6">
      <c r="A981" s="11">
        <v>42669</v>
      </c>
      <c r="B981" s="10" t="s">
        <v>2230</v>
      </c>
      <c r="C981" s="10" t="s">
        <v>2231</v>
      </c>
      <c r="D981" s="11">
        <v>42781.63962962963</v>
      </c>
      <c r="E981" s="10" t="s">
        <v>165</v>
      </c>
    </row>
    <row r="982" spans="1:5">
      <c r="A982" s="11">
        <v>42671</v>
      </c>
      <c r="B982" s="10" t="s">
        <v>2232</v>
      </c>
      <c r="C982" s="10" t="s">
        <v>2233</v>
      </c>
      <c r="D982" s="11">
        <v>42782.548587962963</v>
      </c>
      <c r="E982" s="10" t="s">
        <v>2234</v>
      </c>
    </row>
    <row r="983" spans="1:5">
      <c r="A983" s="11">
        <v>42671</v>
      </c>
      <c r="B983" s="10" t="s">
        <v>2235</v>
      </c>
      <c r="C983" s="10" t="s">
        <v>2236</v>
      </c>
      <c r="D983" s="11">
        <v>42777.283402777779</v>
      </c>
      <c r="E983" s="10" t="s">
        <v>138</v>
      </c>
    </row>
    <row r="984" spans="1:5">
      <c r="A984" s="11">
        <v>42671</v>
      </c>
      <c r="B984" s="10" t="s">
        <v>2237</v>
      </c>
      <c r="C984" s="10" t="s">
        <v>2238</v>
      </c>
      <c r="D984" s="11">
        <v>42781.64162037037</v>
      </c>
      <c r="E984" s="10" t="s">
        <v>203</v>
      </c>
    </row>
    <row r="985" spans="1:5">
      <c r="A985" s="11">
        <v>42671</v>
      </c>
      <c r="B985" s="10" t="s">
        <v>2239</v>
      </c>
      <c r="C985" s="10" t="s">
        <v>2240</v>
      </c>
      <c r="D985" s="11">
        <v>42781.641851851855</v>
      </c>
      <c r="E985" s="10" t="s">
        <v>203</v>
      </c>
    </row>
    <row r="986" spans="1:5" ht="21.6">
      <c r="A986" s="11">
        <v>42671</v>
      </c>
      <c r="B986" s="10" t="s">
        <v>2241</v>
      </c>
      <c r="C986" s="10" t="s">
        <v>2242</v>
      </c>
      <c r="D986" s="11">
        <v>42779.431967592594</v>
      </c>
      <c r="E986" s="10" t="s">
        <v>1316</v>
      </c>
    </row>
    <row r="987" spans="1:5">
      <c r="A987" s="11">
        <v>42671</v>
      </c>
      <c r="B987" s="10" t="s">
        <v>2243</v>
      </c>
      <c r="C987" s="10" t="s">
        <v>2244</v>
      </c>
      <c r="D987" s="11">
        <v>42782.681458333333</v>
      </c>
      <c r="E987" s="10" t="s">
        <v>237</v>
      </c>
    </row>
    <row r="988" spans="1:5">
      <c r="A988" s="11">
        <v>42672</v>
      </c>
      <c r="B988" s="10" t="s">
        <v>2245</v>
      </c>
      <c r="C988" s="10" t="s">
        <v>2246</v>
      </c>
      <c r="D988" s="11">
        <v>42774.434513888889</v>
      </c>
      <c r="E988" s="10" t="s">
        <v>2234</v>
      </c>
    </row>
    <row r="989" spans="1:5">
      <c r="A989" s="11">
        <v>42674</v>
      </c>
      <c r="B989" s="10" t="s">
        <v>2247</v>
      </c>
      <c r="C989" s="10" t="s">
        <v>2248</v>
      </c>
      <c r="D989" s="11">
        <v>42769.719710648147</v>
      </c>
      <c r="E989" s="10" t="s">
        <v>683</v>
      </c>
    </row>
    <row r="990" spans="1:5">
      <c r="A990" s="11">
        <v>42674</v>
      </c>
      <c r="B990" s="10" t="s">
        <v>2249</v>
      </c>
      <c r="C990" s="10" t="s">
        <v>2250</v>
      </c>
      <c r="D990" s="11">
        <v>42782.613912037035</v>
      </c>
      <c r="E990" s="10" t="s">
        <v>308</v>
      </c>
    </row>
    <row r="991" spans="1:5">
      <c r="A991" s="11">
        <v>42675</v>
      </c>
      <c r="B991" s="10" t="s">
        <v>2251</v>
      </c>
      <c r="C991" s="10" t="s">
        <v>2252</v>
      </c>
      <c r="D991" s="11">
        <v>42779.859988425924</v>
      </c>
      <c r="E991" s="10" t="s">
        <v>433</v>
      </c>
    </row>
    <row r="992" spans="1:5" ht="21.6">
      <c r="A992" s="11">
        <v>42677</v>
      </c>
      <c r="B992" s="10" t="s">
        <v>2253</v>
      </c>
      <c r="C992" s="10" t="s">
        <v>2254</v>
      </c>
      <c r="D992" s="11">
        <v>42782.487303240741</v>
      </c>
      <c r="E992" s="10" t="s">
        <v>368</v>
      </c>
    </row>
    <row r="993" spans="1:5" ht="21.6">
      <c r="A993" s="11">
        <v>42677</v>
      </c>
      <c r="B993" s="10" t="s">
        <v>2255</v>
      </c>
      <c r="C993" s="10" t="s">
        <v>2256</v>
      </c>
      <c r="D993" s="11">
        <v>42781.458854166667</v>
      </c>
      <c r="E993" s="10" t="s">
        <v>966</v>
      </c>
    </row>
    <row r="994" spans="1:5">
      <c r="A994" s="11">
        <v>42678</v>
      </c>
      <c r="B994" s="10" t="s">
        <v>2257</v>
      </c>
      <c r="C994" s="10" t="s">
        <v>2258</v>
      </c>
      <c r="D994" s="11">
        <v>42780.757731481484</v>
      </c>
      <c r="E994" s="10" t="s">
        <v>2259</v>
      </c>
    </row>
    <row r="995" spans="1:5">
      <c r="A995" s="11">
        <v>42678</v>
      </c>
      <c r="B995" s="10" t="s">
        <v>2260</v>
      </c>
      <c r="C995" s="10" t="s">
        <v>2261</v>
      </c>
      <c r="D995" s="11">
        <v>42782.533703703702</v>
      </c>
      <c r="E995" s="10" t="s">
        <v>966</v>
      </c>
    </row>
    <row r="996" spans="1:5">
      <c r="A996" s="11">
        <v>42682</v>
      </c>
      <c r="B996" s="10" t="s">
        <v>2262</v>
      </c>
      <c r="C996" s="10" t="s">
        <v>2263</v>
      </c>
      <c r="D996" s="11">
        <v>42778.50540509259</v>
      </c>
      <c r="E996" s="10" t="s">
        <v>122</v>
      </c>
    </row>
    <row r="997" spans="1:5">
      <c r="A997" s="11">
        <v>42683</v>
      </c>
      <c r="B997" s="10" t="s">
        <v>2264</v>
      </c>
      <c r="C997" s="10" t="s">
        <v>2265</v>
      </c>
      <c r="D997" s="11">
        <v>42781.649108796293</v>
      </c>
      <c r="E997" s="10" t="s">
        <v>2266</v>
      </c>
    </row>
    <row r="998" spans="1:5">
      <c r="A998" s="11">
        <v>42683</v>
      </c>
      <c r="B998" s="10" t="s">
        <v>2267</v>
      </c>
      <c r="C998" s="10" t="s">
        <v>2268</v>
      </c>
      <c r="D998" s="11">
        <v>42780.626701388886</v>
      </c>
      <c r="E998" s="10" t="s">
        <v>237</v>
      </c>
    </row>
    <row r="999" spans="1:5">
      <c r="A999" s="11">
        <v>42683</v>
      </c>
      <c r="B999" s="10" t="s">
        <v>2269</v>
      </c>
      <c r="C999" s="10" t="s">
        <v>2270</v>
      </c>
      <c r="D999" s="11">
        <v>42781.883159722223</v>
      </c>
      <c r="E999" s="10" t="s">
        <v>902</v>
      </c>
    </row>
    <row r="1000" spans="1:5">
      <c r="A1000" s="11">
        <v>42684</v>
      </c>
      <c r="B1000" s="10" t="s">
        <v>2271</v>
      </c>
      <c r="C1000" s="10" t="s">
        <v>2272</v>
      </c>
      <c r="D1000" s="11">
        <v>42782.707777777781</v>
      </c>
      <c r="E1000" s="10" t="s">
        <v>96</v>
      </c>
    </row>
    <row r="1001" spans="1:5">
      <c r="A1001" s="11">
        <v>42684</v>
      </c>
      <c r="B1001" s="10" t="s">
        <v>2273</v>
      </c>
      <c r="C1001" s="10" t="s">
        <v>2274</v>
      </c>
      <c r="D1001" s="11">
        <v>42769.646770833337</v>
      </c>
      <c r="E1001" s="10" t="s">
        <v>2139</v>
      </c>
    </row>
    <row r="1002" spans="1:5">
      <c r="A1002" s="11">
        <v>42684</v>
      </c>
      <c r="B1002" s="10" t="s">
        <v>2275</v>
      </c>
      <c r="C1002" s="10" t="s">
        <v>2276</v>
      </c>
      <c r="D1002" s="11">
        <v>42754.626273148147</v>
      </c>
      <c r="E1002" s="10" t="s">
        <v>2277</v>
      </c>
    </row>
    <row r="1003" spans="1:5">
      <c r="A1003" s="11">
        <v>42684</v>
      </c>
      <c r="B1003" s="10" t="s">
        <v>2278</v>
      </c>
      <c r="C1003" s="10" t="s">
        <v>2279</v>
      </c>
      <c r="D1003" s="11">
        <v>42775.767754629633</v>
      </c>
      <c r="E1003" s="10" t="s">
        <v>122</v>
      </c>
    </row>
    <row r="1004" spans="1:5">
      <c r="A1004" s="11">
        <v>42685</v>
      </c>
      <c r="B1004" s="10" t="s">
        <v>2280</v>
      </c>
      <c r="C1004" s="10" t="s">
        <v>2281</v>
      </c>
      <c r="D1004" s="11">
        <v>42782.532569444447</v>
      </c>
      <c r="E1004" s="10" t="s">
        <v>433</v>
      </c>
    </row>
    <row r="1005" spans="1:5">
      <c r="A1005" s="11">
        <v>42685</v>
      </c>
      <c r="B1005" s="10" t="s">
        <v>2282</v>
      </c>
      <c r="C1005" s="10" t="s">
        <v>2283</v>
      </c>
      <c r="D1005" s="11">
        <v>42781.489583333336</v>
      </c>
      <c r="E1005" s="10" t="s">
        <v>2284</v>
      </c>
    </row>
    <row r="1006" spans="1:5">
      <c r="A1006" s="11">
        <v>42687</v>
      </c>
      <c r="B1006" s="10" t="s">
        <v>2285</v>
      </c>
      <c r="C1006" s="10" t="s">
        <v>2286</v>
      </c>
      <c r="D1006" s="11">
        <v>42782.614479166667</v>
      </c>
      <c r="E1006" s="10" t="s">
        <v>96</v>
      </c>
    </row>
    <row r="1007" spans="1:5">
      <c r="A1007" s="11">
        <v>42687</v>
      </c>
      <c r="B1007" s="10" t="s">
        <v>2287</v>
      </c>
      <c r="C1007" s="10" t="s">
        <v>2288</v>
      </c>
      <c r="D1007" s="11">
        <v>42782.59269675926</v>
      </c>
      <c r="E1007" s="10" t="s">
        <v>683</v>
      </c>
    </row>
    <row r="1008" spans="1:5">
      <c r="A1008" s="11">
        <v>42688</v>
      </c>
      <c r="B1008" s="10" t="s">
        <v>2289</v>
      </c>
      <c r="C1008" s="10" t="s">
        <v>2290</v>
      </c>
      <c r="D1008" s="11">
        <v>42781.455706018518</v>
      </c>
      <c r="E1008" s="10" t="s">
        <v>2266</v>
      </c>
    </row>
    <row r="1009" spans="1:5">
      <c r="A1009" s="11">
        <v>42688</v>
      </c>
      <c r="B1009" s="10" t="s">
        <v>2291</v>
      </c>
      <c r="C1009" s="10" t="s">
        <v>2292</v>
      </c>
      <c r="D1009" s="11">
        <v>42773.458912037036</v>
      </c>
      <c r="E1009" s="10" t="s">
        <v>122</v>
      </c>
    </row>
    <row r="1010" spans="1:5" ht="21.6">
      <c r="A1010" s="11">
        <v>42688</v>
      </c>
      <c r="B1010" s="10" t="s">
        <v>2293</v>
      </c>
      <c r="C1010" s="10" t="s">
        <v>2294</v>
      </c>
      <c r="D1010" s="11">
        <v>42781.643159722225</v>
      </c>
      <c r="E1010" s="10" t="s">
        <v>203</v>
      </c>
    </row>
    <row r="1011" spans="1:5">
      <c r="A1011" s="11">
        <v>42688</v>
      </c>
      <c r="B1011" s="10" t="s">
        <v>2295</v>
      </c>
      <c r="C1011" s="10" t="s">
        <v>2296</v>
      </c>
      <c r="D1011" s="11">
        <v>42782.704884259256</v>
      </c>
      <c r="E1011" s="10" t="s">
        <v>96</v>
      </c>
    </row>
    <row r="1012" spans="1:5" ht="21.6">
      <c r="A1012" s="11">
        <v>42688</v>
      </c>
      <c r="B1012" s="10" t="s">
        <v>2297</v>
      </c>
      <c r="C1012" s="10" t="s">
        <v>2298</v>
      </c>
      <c r="D1012" s="11">
        <v>42780.786724537036</v>
      </c>
      <c r="E1012" s="10" t="s">
        <v>2299</v>
      </c>
    </row>
    <row r="1013" spans="1:5">
      <c r="A1013" s="11">
        <v>42689</v>
      </c>
      <c r="B1013" s="10" t="s">
        <v>2300</v>
      </c>
      <c r="C1013" s="10" t="s">
        <v>2301</v>
      </c>
      <c r="D1013" s="11">
        <v>42778.336840277778</v>
      </c>
      <c r="E1013" s="10" t="s">
        <v>902</v>
      </c>
    </row>
    <row r="1014" spans="1:5">
      <c r="A1014" s="11">
        <v>42689</v>
      </c>
      <c r="B1014" s="10" t="s">
        <v>2302</v>
      </c>
      <c r="C1014" s="10" t="s">
        <v>2303</v>
      </c>
      <c r="D1014" s="11">
        <v>42780.641250000001</v>
      </c>
      <c r="E1014" s="10" t="s">
        <v>2186</v>
      </c>
    </row>
    <row r="1015" spans="1:5">
      <c r="A1015" s="11">
        <v>42689</v>
      </c>
      <c r="B1015" s="10" t="s">
        <v>2304</v>
      </c>
      <c r="C1015" s="10" t="s">
        <v>2305</v>
      </c>
      <c r="D1015" s="11">
        <v>42773.338159722225</v>
      </c>
      <c r="E1015" s="10" t="s">
        <v>683</v>
      </c>
    </row>
    <row r="1016" spans="1:5" ht="21.6">
      <c r="A1016" s="11">
        <v>42690</v>
      </c>
      <c r="B1016" s="10" t="s">
        <v>2306</v>
      </c>
      <c r="C1016" s="10" t="s">
        <v>2307</v>
      </c>
      <c r="D1016" s="11">
        <v>42781.70071759259</v>
      </c>
      <c r="E1016" s="10" t="s">
        <v>171</v>
      </c>
    </row>
    <row r="1017" spans="1:5">
      <c r="A1017" s="11">
        <v>42691</v>
      </c>
      <c r="B1017" s="10" t="s">
        <v>2308</v>
      </c>
      <c r="C1017" s="10" t="s">
        <v>2309</v>
      </c>
      <c r="D1017" s="11">
        <v>42781.11959490741</v>
      </c>
      <c r="E1017" s="10" t="s">
        <v>683</v>
      </c>
    </row>
    <row r="1018" spans="1:5">
      <c r="A1018" s="11">
        <v>42691</v>
      </c>
      <c r="B1018" s="10" t="s">
        <v>2310</v>
      </c>
      <c r="C1018" s="10" t="s">
        <v>2311</v>
      </c>
      <c r="D1018" s="11">
        <v>42782.704467592594</v>
      </c>
      <c r="E1018" s="10" t="s">
        <v>152</v>
      </c>
    </row>
    <row r="1019" spans="1:5">
      <c r="A1019" s="11">
        <v>42692</v>
      </c>
      <c r="B1019" s="10" t="s">
        <v>2312</v>
      </c>
      <c r="C1019" s="10" t="s">
        <v>2313</v>
      </c>
      <c r="D1019" s="11">
        <v>42782.429548611108</v>
      </c>
      <c r="E1019" s="10" t="s">
        <v>902</v>
      </c>
    </row>
    <row r="1020" spans="1:5">
      <c r="A1020" s="11">
        <v>42693</v>
      </c>
      <c r="B1020" s="10" t="s">
        <v>2314</v>
      </c>
      <c r="C1020" s="10" t="s">
        <v>2315</v>
      </c>
      <c r="D1020" s="11">
        <v>42782.530833333331</v>
      </c>
      <c r="E1020" s="10" t="s">
        <v>433</v>
      </c>
    </row>
    <row r="1021" spans="1:5">
      <c r="A1021" s="11">
        <v>42693</v>
      </c>
      <c r="B1021" s="10" t="s">
        <v>2316</v>
      </c>
      <c r="C1021" s="10" t="s">
        <v>2317</v>
      </c>
      <c r="D1021" s="11">
        <v>42775.018414351849</v>
      </c>
      <c r="E1021" s="10" t="s">
        <v>2201</v>
      </c>
    </row>
    <row r="1022" spans="1:5">
      <c r="A1022" s="11">
        <v>42694</v>
      </c>
      <c r="B1022" s="10" t="s">
        <v>2318</v>
      </c>
      <c r="C1022" s="10" t="s">
        <v>2319</v>
      </c>
      <c r="D1022" s="11">
        <v>42782.528587962966</v>
      </c>
      <c r="E1022" s="10" t="s">
        <v>2299</v>
      </c>
    </row>
    <row r="1023" spans="1:5">
      <c r="A1023" s="11">
        <v>42694</v>
      </c>
      <c r="B1023" s="10" t="s">
        <v>2320</v>
      </c>
      <c r="C1023" s="10" t="s">
        <v>2321</v>
      </c>
      <c r="D1023" s="11">
        <v>42780.599374999998</v>
      </c>
      <c r="E1023" s="10" t="s">
        <v>2322</v>
      </c>
    </row>
    <row r="1024" spans="1:5" ht="21.6">
      <c r="A1024" s="11">
        <v>42694</v>
      </c>
      <c r="B1024" s="10" t="s">
        <v>2323</v>
      </c>
      <c r="C1024" s="10" t="s">
        <v>2324</v>
      </c>
      <c r="D1024" s="11">
        <v>42775.633425925924</v>
      </c>
      <c r="E1024" s="10" t="s">
        <v>454</v>
      </c>
    </row>
    <row r="1025" spans="1:5">
      <c r="A1025" s="11">
        <v>42695</v>
      </c>
      <c r="B1025" s="10" t="s">
        <v>2325</v>
      </c>
      <c r="C1025" s="10" t="s">
        <v>2326</v>
      </c>
      <c r="D1025" s="11">
        <v>42744.789409722223</v>
      </c>
      <c r="E1025" s="10" t="s">
        <v>125</v>
      </c>
    </row>
    <row r="1026" spans="1:5">
      <c r="A1026" s="11">
        <v>42695</v>
      </c>
      <c r="B1026" s="10" t="s">
        <v>2327</v>
      </c>
      <c r="C1026" s="10" t="s">
        <v>2328</v>
      </c>
      <c r="D1026" s="11">
        <v>42782.523761574077</v>
      </c>
      <c r="E1026" s="10" t="s">
        <v>237</v>
      </c>
    </row>
    <row r="1027" spans="1:5">
      <c r="A1027" s="11">
        <v>42695</v>
      </c>
      <c r="B1027" s="10" t="s">
        <v>2329</v>
      </c>
      <c r="C1027" s="10" t="s">
        <v>2330</v>
      </c>
      <c r="D1027" s="11">
        <v>42781.836030092592</v>
      </c>
      <c r="E1027" s="10" t="s">
        <v>237</v>
      </c>
    </row>
    <row r="1028" spans="1:5">
      <c r="A1028" s="11">
        <v>42696</v>
      </c>
      <c r="B1028" s="10" t="s">
        <v>2331</v>
      </c>
      <c r="C1028" s="10" t="s">
        <v>2332</v>
      </c>
      <c r="D1028" s="11">
        <v>42780.391238425924</v>
      </c>
      <c r="E1028" s="10" t="s">
        <v>2191</v>
      </c>
    </row>
    <row r="1029" spans="1:5">
      <c r="A1029" s="11">
        <v>42696</v>
      </c>
      <c r="B1029" s="10" t="s">
        <v>2333</v>
      </c>
      <c r="C1029" s="10" t="s">
        <v>2334</v>
      </c>
      <c r="D1029" s="11">
        <v>42782.461273148147</v>
      </c>
      <c r="E1029" s="10" t="s">
        <v>209</v>
      </c>
    </row>
    <row r="1030" spans="1:5" ht="21.6">
      <c r="A1030" s="11">
        <v>42697</v>
      </c>
      <c r="B1030" s="10" t="s">
        <v>2335</v>
      </c>
      <c r="C1030" s="10" t="s">
        <v>2336</v>
      </c>
      <c r="D1030" s="11">
        <v>42782.502627314818</v>
      </c>
      <c r="E1030" s="10" t="s">
        <v>559</v>
      </c>
    </row>
    <row r="1031" spans="1:5" ht="21.6">
      <c r="A1031" s="11">
        <v>42697</v>
      </c>
      <c r="B1031" s="10" t="s">
        <v>2337</v>
      </c>
      <c r="C1031" s="10" t="s">
        <v>2338</v>
      </c>
      <c r="D1031" s="11">
        <v>42738.39539351852</v>
      </c>
      <c r="E1031" s="10" t="s">
        <v>559</v>
      </c>
    </row>
    <row r="1032" spans="1:5" ht="21.6">
      <c r="A1032" s="11">
        <v>42697</v>
      </c>
      <c r="B1032" s="10" t="s">
        <v>2339</v>
      </c>
      <c r="C1032" s="10" t="s">
        <v>2340</v>
      </c>
      <c r="D1032" s="11">
        <v>42781.79515046296</v>
      </c>
      <c r="E1032" s="10" t="s">
        <v>2341</v>
      </c>
    </row>
    <row r="1033" spans="1:5">
      <c r="A1033" s="11">
        <v>42697</v>
      </c>
      <c r="B1033" s="10" t="s">
        <v>2342</v>
      </c>
      <c r="C1033" s="10" t="s">
        <v>2343</v>
      </c>
      <c r="D1033" s="11">
        <v>42782.590277777781</v>
      </c>
      <c r="E1033" s="10" t="s">
        <v>2180</v>
      </c>
    </row>
    <row r="1034" spans="1:5" ht="21.6">
      <c r="A1034" s="11">
        <v>42697</v>
      </c>
      <c r="B1034" s="10" t="s">
        <v>2344</v>
      </c>
      <c r="C1034" s="10" t="s">
        <v>2345</v>
      </c>
      <c r="D1034" s="11">
        <v>42781.549479166664</v>
      </c>
      <c r="E1034" s="10" t="s">
        <v>2346</v>
      </c>
    </row>
    <row r="1035" spans="1:5">
      <c r="A1035" s="11">
        <v>42697</v>
      </c>
      <c r="B1035" s="10" t="s">
        <v>2347</v>
      </c>
      <c r="C1035" s="10" t="s">
        <v>2348</v>
      </c>
      <c r="D1035" s="11">
        <v>42782.480254629627</v>
      </c>
      <c r="E1035" s="10" t="s">
        <v>1103</v>
      </c>
    </row>
    <row r="1036" spans="1:5">
      <c r="A1036" s="11">
        <v>42698</v>
      </c>
      <c r="B1036" s="10" t="s">
        <v>2349</v>
      </c>
      <c r="C1036" s="10" t="s">
        <v>2350</v>
      </c>
      <c r="D1036" s="11">
        <v>42780.847442129627</v>
      </c>
      <c r="E1036" s="10" t="s">
        <v>2201</v>
      </c>
    </row>
    <row r="1037" spans="1:5">
      <c r="A1037" s="11">
        <v>42698</v>
      </c>
      <c r="B1037" s="10" t="s">
        <v>2351</v>
      </c>
      <c r="C1037" s="10" t="s">
        <v>2352</v>
      </c>
      <c r="D1037" s="11">
        <v>42782.684733796297</v>
      </c>
      <c r="E1037" s="10" t="s">
        <v>308</v>
      </c>
    </row>
    <row r="1038" spans="1:5">
      <c r="A1038" s="11">
        <v>42698</v>
      </c>
      <c r="B1038" s="10" t="s">
        <v>2353</v>
      </c>
      <c r="C1038" s="10" t="s">
        <v>2354</v>
      </c>
      <c r="D1038" s="11">
        <v>42782.641319444447</v>
      </c>
      <c r="E1038" s="10" t="s">
        <v>122</v>
      </c>
    </row>
    <row r="1039" spans="1:5">
      <c r="A1039" s="11">
        <v>42698</v>
      </c>
      <c r="B1039" s="10" t="s">
        <v>2355</v>
      </c>
      <c r="C1039" s="10" t="s">
        <v>2356</v>
      </c>
      <c r="D1039" s="11">
        <v>42781.626851851855</v>
      </c>
      <c r="E1039" s="10" t="s">
        <v>237</v>
      </c>
    </row>
    <row r="1040" spans="1:5">
      <c r="A1040" s="11">
        <v>42699</v>
      </c>
      <c r="B1040" s="10" t="s">
        <v>2357</v>
      </c>
      <c r="C1040" s="10" t="s">
        <v>2358</v>
      </c>
      <c r="D1040" s="11">
        <v>42781.697152777779</v>
      </c>
      <c r="E1040" s="10" t="s">
        <v>308</v>
      </c>
    </row>
    <row r="1041" spans="1:5">
      <c r="A1041" s="11">
        <v>42699</v>
      </c>
      <c r="B1041" s="10" t="s">
        <v>2359</v>
      </c>
      <c r="C1041" s="10" t="s">
        <v>2360</v>
      </c>
      <c r="D1041" s="11">
        <v>42781.471631944441</v>
      </c>
      <c r="E1041" s="10" t="s">
        <v>237</v>
      </c>
    </row>
    <row r="1042" spans="1:5">
      <c r="A1042" s="11">
        <v>42699</v>
      </c>
      <c r="B1042" s="10" t="s">
        <v>2361</v>
      </c>
      <c r="C1042" s="10" t="s">
        <v>2362</v>
      </c>
      <c r="D1042" s="11">
        <v>42781.469664351855</v>
      </c>
      <c r="E1042" s="10" t="s">
        <v>237</v>
      </c>
    </row>
    <row r="1043" spans="1:5">
      <c r="A1043" s="11">
        <v>42699</v>
      </c>
      <c r="B1043" s="10" t="s">
        <v>2363</v>
      </c>
      <c r="C1043" s="10" t="s">
        <v>2364</v>
      </c>
      <c r="D1043" s="11">
        <v>42780.653935185182</v>
      </c>
      <c r="E1043" s="10" t="s">
        <v>215</v>
      </c>
    </row>
    <row r="1044" spans="1:5">
      <c r="A1044" s="11">
        <v>42700</v>
      </c>
      <c r="B1044" s="10" t="s">
        <v>2365</v>
      </c>
      <c r="C1044" s="10" t="s">
        <v>2366</v>
      </c>
      <c r="D1044" s="11">
        <v>42782.44363425926</v>
      </c>
      <c r="E1044" s="10" t="s">
        <v>2234</v>
      </c>
    </row>
    <row r="1045" spans="1:5">
      <c r="A1045" s="11">
        <v>42700</v>
      </c>
      <c r="B1045" s="10" t="s">
        <v>2367</v>
      </c>
      <c r="C1045" s="10" t="s">
        <v>2368</v>
      </c>
      <c r="D1045" s="11">
        <v>42781.8358912037</v>
      </c>
      <c r="E1045" s="10" t="s">
        <v>237</v>
      </c>
    </row>
    <row r="1046" spans="1:5">
      <c r="A1046" s="11">
        <v>42700</v>
      </c>
      <c r="B1046" s="10" t="s">
        <v>2369</v>
      </c>
      <c r="C1046" s="10" t="s">
        <v>2370</v>
      </c>
      <c r="D1046" s="11">
        <v>42781.771180555559</v>
      </c>
      <c r="E1046" s="10" t="s">
        <v>308</v>
      </c>
    </row>
    <row r="1047" spans="1:5">
      <c r="A1047" s="11">
        <v>42701</v>
      </c>
      <c r="B1047" s="10" t="s">
        <v>2371</v>
      </c>
      <c r="C1047" s="10" t="s">
        <v>2372</v>
      </c>
      <c r="D1047" s="11">
        <v>42782.397951388892</v>
      </c>
      <c r="E1047" s="10" t="s">
        <v>902</v>
      </c>
    </row>
    <row r="1048" spans="1:5">
      <c r="A1048" s="11">
        <v>42701</v>
      </c>
      <c r="B1048" s="10" t="s">
        <v>2373</v>
      </c>
      <c r="C1048" s="10" t="s">
        <v>2374</v>
      </c>
      <c r="D1048" s="11">
        <v>42782.589814814812</v>
      </c>
      <c r="E1048" s="10" t="s">
        <v>237</v>
      </c>
    </row>
    <row r="1049" spans="1:5">
      <c r="A1049" s="11">
        <v>42701</v>
      </c>
      <c r="B1049" s="10" t="s">
        <v>2375</v>
      </c>
      <c r="C1049" s="10" t="s">
        <v>2376</v>
      </c>
      <c r="D1049" s="11">
        <v>42782.58965277778</v>
      </c>
      <c r="E1049" s="10" t="s">
        <v>237</v>
      </c>
    </row>
    <row r="1050" spans="1:5">
      <c r="A1050" s="11">
        <v>42701</v>
      </c>
      <c r="B1050" s="10" t="s">
        <v>2377</v>
      </c>
      <c r="C1050" s="10" t="s">
        <v>2378</v>
      </c>
      <c r="D1050" s="11">
        <v>42782.590069444443</v>
      </c>
      <c r="E1050" s="10" t="s">
        <v>237</v>
      </c>
    </row>
    <row r="1051" spans="1:5">
      <c r="A1051" s="11">
        <v>42701</v>
      </c>
      <c r="B1051" s="10" t="s">
        <v>2379</v>
      </c>
      <c r="C1051" s="10" t="s">
        <v>2380</v>
      </c>
      <c r="D1051" s="11">
        <v>42782.58935185185</v>
      </c>
      <c r="E1051" s="10" t="s">
        <v>237</v>
      </c>
    </row>
    <row r="1052" spans="1:5">
      <c r="A1052" s="11">
        <v>42701</v>
      </c>
      <c r="B1052" s="10" t="s">
        <v>2381</v>
      </c>
      <c r="C1052" s="10" t="s">
        <v>2382</v>
      </c>
      <c r="D1052" s="11">
        <v>42782.579525462963</v>
      </c>
      <c r="E1052" s="10" t="s">
        <v>237</v>
      </c>
    </row>
    <row r="1053" spans="1:5">
      <c r="A1053" s="11">
        <v>42701</v>
      </c>
      <c r="B1053" s="10" t="s">
        <v>2383</v>
      </c>
      <c r="C1053" s="10" t="s">
        <v>2384</v>
      </c>
      <c r="D1053" s="11">
        <v>42781.676226851851</v>
      </c>
      <c r="E1053" s="10" t="s">
        <v>422</v>
      </c>
    </row>
    <row r="1054" spans="1:5">
      <c r="A1054" s="11">
        <v>42702</v>
      </c>
      <c r="B1054" s="10" t="s">
        <v>2385</v>
      </c>
      <c r="C1054" s="10" t="s">
        <v>2386</v>
      </c>
      <c r="D1054" s="11">
        <v>42779.895092592589</v>
      </c>
      <c r="E1054" s="10" t="s">
        <v>433</v>
      </c>
    </row>
    <row r="1055" spans="1:5">
      <c r="A1055" s="11">
        <v>42702</v>
      </c>
      <c r="B1055" s="10" t="s">
        <v>2387</v>
      </c>
      <c r="C1055" s="10" t="s">
        <v>2388</v>
      </c>
      <c r="D1055" s="11">
        <v>42776.687662037039</v>
      </c>
      <c r="E1055" s="10" t="s">
        <v>122</v>
      </c>
    </row>
    <row r="1056" spans="1:5">
      <c r="A1056" s="11">
        <v>42702</v>
      </c>
      <c r="B1056" s="10" t="s">
        <v>2389</v>
      </c>
      <c r="C1056" s="10" t="s">
        <v>2390</v>
      </c>
      <c r="D1056" s="11">
        <v>42781.605381944442</v>
      </c>
      <c r="E1056" s="10" t="s">
        <v>2201</v>
      </c>
    </row>
    <row r="1057" spans="1:5">
      <c r="A1057" s="11">
        <v>42702</v>
      </c>
      <c r="B1057" s="10" t="s">
        <v>2391</v>
      </c>
      <c r="C1057" s="10" t="s">
        <v>2392</v>
      </c>
      <c r="D1057" s="11">
        <v>42782.392361111109</v>
      </c>
      <c r="E1057" s="10" t="s">
        <v>237</v>
      </c>
    </row>
    <row r="1058" spans="1:5">
      <c r="A1058" s="11">
        <v>42702</v>
      </c>
      <c r="B1058" s="10" t="s">
        <v>2393</v>
      </c>
      <c r="C1058" s="10" t="s">
        <v>2394</v>
      </c>
      <c r="D1058" s="11">
        <v>42782.392094907409</v>
      </c>
      <c r="E1058" s="10" t="s">
        <v>237</v>
      </c>
    </row>
    <row r="1059" spans="1:5" ht="21.6">
      <c r="A1059" s="11">
        <v>42702</v>
      </c>
      <c r="B1059" s="10" t="s">
        <v>2395</v>
      </c>
      <c r="C1059" s="10" t="s">
        <v>2396</v>
      </c>
      <c r="D1059" s="11">
        <v>42782.390347222223</v>
      </c>
      <c r="E1059" s="10" t="s">
        <v>2299</v>
      </c>
    </row>
    <row r="1060" spans="1:5">
      <c r="A1060" s="11">
        <v>42703</v>
      </c>
      <c r="B1060" s="10" t="s">
        <v>2397</v>
      </c>
      <c r="C1060" s="10" t="s">
        <v>2398</v>
      </c>
      <c r="D1060" s="11">
        <v>42781.757708333331</v>
      </c>
      <c r="E1060" s="10" t="s">
        <v>433</v>
      </c>
    </row>
    <row r="1061" spans="1:5">
      <c r="A1061" s="11">
        <v>42704</v>
      </c>
      <c r="B1061" s="10" t="s">
        <v>2399</v>
      </c>
      <c r="C1061" s="10" t="s">
        <v>2400</v>
      </c>
      <c r="D1061" s="11">
        <v>42782.654942129629</v>
      </c>
      <c r="E1061" s="10" t="s">
        <v>99</v>
      </c>
    </row>
    <row r="1062" spans="1:5">
      <c r="A1062" s="11">
        <v>42705</v>
      </c>
      <c r="B1062" s="10" t="s">
        <v>2401</v>
      </c>
      <c r="C1062" s="10" t="s">
        <v>2402</v>
      </c>
      <c r="D1062" s="11">
        <v>42781.356064814812</v>
      </c>
      <c r="E1062" s="10" t="s">
        <v>2403</v>
      </c>
    </row>
    <row r="1063" spans="1:5">
      <c r="A1063" s="11">
        <v>42705</v>
      </c>
      <c r="B1063" s="10" t="s">
        <v>2404</v>
      </c>
      <c r="C1063" s="10" t="s">
        <v>2405</v>
      </c>
      <c r="D1063" s="11">
        <v>42779.458981481483</v>
      </c>
      <c r="E1063" s="10" t="s">
        <v>2259</v>
      </c>
    </row>
    <row r="1064" spans="1:5">
      <c r="A1064" s="11">
        <v>42705</v>
      </c>
      <c r="B1064" s="10" t="s">
        <v>2406</v>
      </c>
      <c r="C1064" s="10" t="s">
        <v>2407</v>
      </c>
      <c r="D1064" s="11">
        <v>42782.424664351849</v>
      </c>
      <c r="E1064" s="10" t="s">
        <v>237</v>
      </c>
    </row>
    <row r="1065" spans="1:5">
      <c r="A1065" s="11">
        <v>42705</v>
      </c>
      <c r="B1065" s="10" t="s">
        <v>2408</v>
      </c>
      <c r="C1065" s="10" t="s">
        <v>2409</v>
      </c>
      <c r="D1065" s="11">
        <v>42779.744976851849</v>
      </c>
      <c r="E1065" s="10" t="s">
        <v>1103</v>
      </c>
    </row>
    <row r="1066" spans="1:5">
      <c r="A1066" s="11">
        <v>42706</v>
      </c>
      <c r="B1066" s="10" t="s">
        <v>2410</v>
      </c>
      <c r="C1066" s="10" t="s">
        <v>2411</v>
      </c>
      <c r="D1066" s="11">
        <v>42781.811921296299</v>
      </c>
      <c r="E1066" s="10" t="s">
        <v>335</v>
      </c>
    </row>
    <row r="1067" spans="1:5">
      <c r="A1067" s="11">
        <v>42706</v>
      </c>
      <c r="B1067" s="10" t="s">
        <v>2412</v>
      </c>
      <c r="C1067" s="10" t="s">
        <v>2413</v>
      </c>
      <c r="D1067" s="11">
        <v>42778.602662037039</v>
      </c>
      <c r="E1067" s="10" t="s">
        <v>2201</v>
      </c>
    </row>
    <row r="1068" spans="1:5">
      <c r="A1068" s="11">
        <v>42706</v>
      </c>
      <c r="B1068" s="10" t="s">
        <v>2414</v>
      </c>
      <c r="C1068" s="10" t="s">
        <v>2415</v>
      </c>
      <c r="D1068" s="11">
        <v>42777.821099537039</v>
      </c>
      <c r="E1068" s="10" t="s">
        <v>212</v>
      </c>
    </row>
    <row r="1069" spans="1:5">
      <c r="A1069" s="11">
        <v>42706</v>
      </c>
      <c r="B1069" s="10" t="s">
        <v>2416</v>
      </c>
      <c r="C1069" s="10" t="s">
        <v>2417</v>
      </c>
      <c r="D1069" s="11">
        <v>42782.36923611111</v>
      </c>
      <c r="E1069" s="10" t="s">
        <v>656</v>
      </c>
    </row>
    <row r="1070" spans="1:5">
      <c r="A1070" s="11">
        <v>42707</v>
      </c>
      <c r="B1070" s="10" t="s">
        <v>2418</v>
      </c>
      <c r="C1070" s="10" t="s">
        <v>2419</v>
      </c>
      <c r="D1070" s="11">
        <v>42781.697083333333</v>
      </c>
      <c r="E1070" s="10" t="s">
        <v>433</v>
      </c>
    </row>
    <row r="1071" spans="1:5">
      <c r="A1071" s="11">
        <v>42708</v>
      </c>
      <c r="B1071" s="10" t="s">
        <v>2420</v>
      </c>
      <c r="C1071" s="10" t="s">
        <v>2421</v>
      </c>
      <c r="D1071" s="11">
        <v>42778.572523148148</v>
      </c>
      <c r="E1071" s="10" t="s">
        <v>155</v>
      </c>
    </row>
    <row r="1072" spans="1:5">
      <c r="A1072" s="11">
        <v>42708</v>
      </c>
      <c r="B1072" s="10" t="s">
        <v>2422</v>
      </c>
      <c r="C1072" s="10" t="s">
        <v>2423</v>
      </c>
      <c r="D1072" s="11">
        <v>42780.467118055552</v>
      </c>
      <c r="E1072" s="10" t="s">
        <v>1103</v>
      </c>
    </row>
    <row r="1073" spans="1:5">
      <c r="A1073" s="11">
        <v>42708</v>
      </c>
      <c r="B1073" s="10" t="s">
        <v>2424</v>
      </c>
      <c r="C1073" s="10" t="s">
        <v>2425</v>
      </c>
      <c r="D1073" s="11">
        <v>42782.473113425927</v>
      </c>
      <c r="E1073" s="10" t="s">
        <v>683</v>
      </c>
    </row>
    <row r="1074" spans="1:5">
      <c r="A1074" s="11">
        <v>42708</v>
      </c>
      <c r="B1074" s="10" t="s">
        <v>2426</v>
      </c>
      <c r="C1074" s="10" t="s">
        <v>2427</v>
      </c>
      <c r="D1074" s="11">
        <v>42781.544502314813</v>
      </c>
      <c r="E1074" s="10" t="s">
        <v>1103</v>
      </c>
    </row>
    <row r="1075" spans="1:5">
      <c r="A1075" s="11">
        <v>42708</v>
      </c>
      <c r="B1075" s="10" t="s">
        <v>2428</v>
      </c>
      <c r="C1075" s="10" t="s">
        <v>2429</v>
      </c>
      <c r="D1075" s="11">
        <v>42782.492893518516</v>
      </c>
      <c r="E1075" s="10" t="s">
        <v>2284</v>
      </c>
    </row>
    <row r="1076" spans="1:5">
      <c r="A1076" s="11">
        <v>42709</v>
      </c>
      <c r="B1076" s="10" t="s">
        <v>2430</v>
      </c>
      <c r="C1076" s="10" t="s">
        <v>2431</v>
      </c>
      <c r="D1076" s="11">
        <v>42782.446550925924</v>
      </c>
      <c r="E1076" s="10" t="s">
        <v>96</v>
      </c>
    </row>
    <row r="1077" spans="1:5" ht="21.6">
      <c r="A1077" s="11">
        <v>42709</v>
      </c>
      <c r="B1077" s="10" t="s">
        <v>2432</v>
      </c>
      <c r="C1077" s="10" t="s">
        <v>2433</v>
      </c>
      <c r="D1077" s="11">
        <v>42781.653634259259</v>
      </c>
      <c r="E1077" s="10" t="s">
        <v>1022</v>
      </c>
    </row>
    <row r="1078" spans="1:5">
      <c r="A1078" s="11">
        <v>42709</v>
      </c>
      <c r="B1078" s="10" t="s">
        <v>2434</v>
      </c>
      <c r="C1078" s="10" t="s">
        <v>2435</v>
      </c>
      <c r="D1078" s="11">
        <v>42782.455358796295</v>
      </c>
      <c r="E1078" s="10" t="s">
        <v>902</v>
      </c>
    </row>
    <row r="1079" spans="1:5">
      <c r="A1079" s="11">
        <v>42709</v>
      </c>
      <c r="B1079" s="10" t="s">
        <v>2436</v>
      </c>
      <c r="C1079" s="10" t="s">
        <v>2437</v>
      </c>
      <c r="D1079" s="11">
        <v>42782.600231481483</v>
      </c>
      <c r="E1079" s="10" t="s">
        <v>308</v>
      </c>
    </row>
    <row r="1080" spans="1:5">
      <c r="A1080" s="11">
        <v>42710</v>
      </c>
      <c r="B1080" s="10" t="s">
        <v>2438</v>
      </c>
      <c r="C1080" s="10" t="s">
        <v>2439</v>
      </c>
      <c r="D1080" s="11">
        <v>42776.618310185186</v>
      </c>
      <c r="E1080" s="10" t="s">
        <v>422</v>
      </c>
    </row>
    <row r="1081" spans="1:5">
      <c r="A1081" s="11">
        <v>42710</v>
      </c>
      <c r="B1081" s="10" t="s">
        <v>2440</v>
      </c>
      <c r="C1081" s="10" t="s">
        <v>2441</v>
      </c>
      <c r="D1081" s="11">
        <v>42781.9528587963</v>
      </c>
      <c r="E1081" s="10" t="s">
        <v>2442</v>
      </c>
    </row>
    <row r="1082" spans="1:5">
      <c r="A1082" s="11">
        <v>42710</v>
      </c>
      <c r="B1082" s="10" t="s">
        <v>2443</v>
      </c>
      <c r="C1082" s="10" t="s">
        <v>2444</v>
      </c>
      <c r="D1082" s="11">
        <v>42782.58525462963</v>
      </c>
      <c r="E1082" s="10" t="s">
        <v>122</v>
      </c>
    </row>
    <row r="1083" spans="1:5">
      <c r="A1083" s="11">
        <v>42711</v>
      </c>
      <c r="B1083" s="10" t="s">
        <v>2445</v>
      </c>
      <c r="C1083" s="10" t="s">
        <v>2446</v>
      </c>
      <c r="D1083" s="11">
        <v>42782.446261574078</v>
      </c>
      <c r="E1083" s="10" t="s">
        <v>2201</v>
      </c>
    </row>
    <row r="1084" spans="1:5">
      <c r="A1084" s="11">
        <v>42711</v>
      </c>
      <c r="B1084" s="10" t="s">
        <v>2447</v>
      </c>
      <c r="C1084" s="10" t="s">
        <v>2448</v>
      </c>
      <c r="D1084" s="11">
        <v>42782.483263888891</v>
      </c>
      <c r="E1084" s="10" t="s">
        <v>656</v>
      </c>
    </row>
    <row r="1085" spans="1:5">
      <c r="A1085" s="11">
        <v>42711</v>
      </c>
      <c r="B1085" s="10" t="s">
        <v>2449</v>
      </c>
      <c r="C1085" s="10" t="s">
        <v>2450</v>
      </c>
      <c r="D1085" s="11">
        <v>42779.485775462963</v>
      </c>
      <c r="E1085" s="10" t="s">
        <v>653</v>
      </c>
    </row>
    <row r="1086" spans="1:5">
      <c r="A1086" s="11">
        <v>42712</v>
      </c>
      <c r="B1086" s="10" t="s">
        <v>2451</v>
      </c>
      <c r="C1086" s="10" t="s">
        <v>2452</v>
      </c>
      <c r="D1086" s="11">
        <v>42781.851886574077</v>
      </c>
      <c r="E1086" s="10" t="s">
        <v>178</v>
      </c>
    </row>
    <row r="1087" spans="1:5">
      <c r="A1087" s="11">
        <v>42712</v>
      </c>
      <c r="B1087" s="10" t="s">
        <v>2453</v>
      </c>
      <c r="C1087" s="10" t="s">
        <v>2454</v>
      </c>
      <c r="D1087" s="11">
        <v>42781.471886574072</v>
      </c>
      <c r="E1087" s="10" t="s">
        <v>125</v>
      </c>
    </row>
    <row r="1088" spans="1:5">
      <c r="A1088" s="11">
        <v>42712</v>
      </c>
      <c r="B1088" s="10" t="s">
        <v>2455</v>
      </c>
      <c r="C1088" s="10" t="s">
        <v>2456</v>
      </c>
      <c r="D1088" s="11">
        <v>42779.584409722222</v>
      </c>
      <c r="E1088" s="10" t="s">
        <v>237</v>
      </c>
    </row>
    <row r="1089" spans="1:5">
      <c r="A1089" s="11">
        <v>42712</v>
      </c>
      <c r="B1089" s="10" t="s">
        <v>2457</v>
      </c>
      <c r="C1089" s="10" t="s">
        <v>2458</v>
      </c>
      <c r="D1089" s="11">
        <v>42782.590208333335</v>
      </c>
      <c r="E1089" s="10" t="s">
        <v>152</v>
      </c>
    </row>
    <row r="1090" spans="1:5">
      <c r="A1090" s="11">
        <v>42713</v>
      </c>
      <c r="B1090" s="10" t="s">
        <v>2459</v>
      </c>
      <c r="C1090" s="10" t="s">
        <v>2460</v>
      </c>
      <c r="D1090" s="11">
        <v>42782.63449074074</v>
      </c>
      <c r="E1090" s="10" t="s">
        <v>2201</v>
      </c>
    </row>
    <row r="1091" spans="1:5">
      <c r="A1091" s="11">
        <v>42713</v>
      </c>
      <c r="B1091" s="10" t="s">
        <v>2461</v>
      </c>
      <c r="C1091" s="10" t="s">
        <v>2462</v>
      </c>
      <c r="D1091" s="11">
        <v>42782.681886574072</v>
      </c>
      <c r="E1091" s="10" t="s">
        <v>237</v>
      </c>
    </row>
    <row r="1092" spans="1:5">
      <c r="A1092" s="11">
        <v>42713</v>
      </c>
      <c r="B1092" s="10" t="s">
        <v>2463</v>
      </c>
      <c r="C1092" s="10" t="s">
        <v>2464</v>
      </c>
      <c r="D1092" s="11">
        <v>42775.439467592594</v>
      </c>
      <c r="E1092" s="10" t="s">
        <v>2201</v>
      </c>
    </row>
    <row r="1093" spans="1:5">
      <c r="A1093" s="11">
        <v>42713</v>
      </c>
      <c r="B1093" s="10" t="s">
        <v>2465</v>
      </c>
      <c r="C1093" s="10" t="s">
        <v>2466</v>
      </c>
      <c r="D1093" s="11">
        <v>42782.679756944446</v>
      </c>
      <c r="E1093" s="10" t="s">
        <v>656</v>
      </c>
    </row>
    <row r="1094" spans="1:5">
      <c r="A1094" s="11">
        <v>42713</v>
      </c>
      <c r="B1094" s="10" t="s">
        <v>2467</v>
      </c>
      <c r="C1094" s="10" t="s">
        <v>2468</v>
      </c>
      <c r="D1094" s="11">
        <v>42782.611215277779</v>
      </c>
      <c r="E1094" s="10" t="s">
        <v>122</v>
      </c>
    </row>
    <row r="1095" spans="1:5">
      <c r="A1095" s="11">
        <v>42713</v>
      </c>
      <c r="B1095" s="10" t="s">
        <v>2469</v>
      </c>
      <c r="C1095" s="10" t="s">
        <v>2470</v>
      </c>
      <c r="D1095" s="11">
        <v>42781.457754629628</v>
      </c>
      <c r="E1095" s="10" t="s">
        <v>178</v>
      </c>
    </row>
    <row r="1096" spans="1:5">
      <c r="A1096" s="11">
        <v>42714</v>
      </c>
      <c r="B1096" s="10" t="s">
        <v>2471</v>
      </c>
      <c r="C1096" s="10" t="s">
        <v>2472</v>
      </c>
      <c r="D1096" s="11">
        <v>42782.689340277779</v>
      </c>
      <c r="E1096" s="10" t="s">
        <v>122</v>
      </c>
    </row>
    <row r="1097" spans="1:5">
      <c r="A1097" s="11">
        <v>42714</v>
      </c>
      <c r="B1097" s="10" t="s">
        <v>2473</v>
      </c>
      <c r="C1097" s="10" t="s">
        <v>2474</v>
      </c>
      <c r="D1097" s="11">
        <v>42782.49391203704</v>
      </c>
      <c r="E1097" s="10" t="s">
        <v>130</v>
      </c>
    </row>
    <row r="1098" spans="1:5">
      <c r="A1098" s="11">
        <v>42714</v>
      </c>
      <c r="B1098" s="10" t="s">
        <v>2475</v>
      </c>
      <c r="C1098" s="10" t="s">
        <v>2476</v>
      </c>
      <c r="D1098" s="11">
        <v>42782.612557870372</v>
      </c>
      <c r="E1098" s="10" t="s">
        <v>2139</v>
      </c>
    </row>
    <row r="1099" spans="1:5">
      <c r="A1099" s="11">
        <v>42714</v>
      </c>
      <c r="B1099" s="10" t="s">
        <v>2477</v>
      </c>
      <c r="C1099" s="10" t="s">
        <v>2478</v>
      </c>
      <c r="D1099" s="11">
        <v>42782.705763888887</v>
      </c>
      <c r="E1099" s="10" t="s">
        <v>122</v>
      </c>
    </row>
    <row r="1100" spans="1:5">
      <c r="A1100" s="11">
        <v>42714</v>
      </c>
      <c r="B1100" s="10" t="s">
        <v>2479</v>
      </c>
      <c r="C1100" s="10" t="s">
        <v>2480</v>
      </c>
      <c r="D1100" s="11">
        <v>42781.549108796295</v>
      </c>
      <c r="E1100" s="10" t="s">
        <v>479</v>
      </c>
    </row>
    <row r="1101" spans="1:5">
      <c r="A1101" s="11">
        <v>42715</v>
      </c>
      <c r="B1101" s="10" t="s">
        <v>2481</v>
      </c>
      <c r="C1101" s="10" t="s">
        <v>2482</v>
      </c>
      <c r="D1101" s="11">
        <v>42781.41684027778</v>
      </c>
      <c r="E1101" s="10" t="s">
        <v>482</v>
      </c>
    </row>
    <row r="1102" spans="1:5">
      <c r="A1102" s="11">
        <v>42715</v>
      </c>
      <c r="B1102" s="10" t="s">
        <v>2483</v>
      </c>
      <c r="C1102" s="10" t="s">
        <v>2484</v>
      </c>
      <c r="D1102" s="11">
        <v>42779.473819444444</v>
      </c>
      <c r="E1102" s="10" t="s">
        <v>2266</v>
      </c>
    </row>
    <row r="1103" spans="1:5">
      <c r="A1103" s="11">
        <v>42716</v>
      </c>
      <c r="B1103" s="10" t="s">
        <v>2485</v>
      </c>
      <c r="C1103" s="10" t="s">
        <v>2486</v>
      </c>
      <c r="D1103" s="11">
        <v>42777.497789351852</v>
      </c>
      <c r="E1103" s="10" t="s">
        <v>2201</v>
      </c>
    </row>
    <row r="1104" spans="1:5">
      <c r="A1104" s="11">
        <v>42716</v>
      </c>
      <c r="B1104" s="10" t="s">
        <v>2487</v>
      </c>
      <c r="C1104" s="10" t="s">
        <v>2488</v>
      </c>
      <c r="D1104" s="11">
        <v>42777.361435185187</v>
      </c>
      <c r="E1104" s="10" t="s">
        <v>2201</v>
      </c>
    </row>
    <row r="1105" spans="1:5">
      <c r="A1105" s="11">
        <v>42717</v>
      </c>
      <c r="B1105" s="10" t="s">
        <v>2489</v>
      </c>
      <c r="C1105" s="10" t="s">
        <v>2490</v>
      </c>
      <c r="D1105" s="11">
        <v>42780.477384259262</v>
      </c>
      <c r="E1105" s="10" t="s">
        <v>373</v>
      </c>
    </row>
    <row r="1106" spans="1:5">
      <c r="A1106" s="11">
        <v>42717</v>
      </c>
      <c r="B1106" s="10" t="s">
        <v>2491</v>
      </c>
      <c r="C1106" s="10" t="s">
        <v>2492</v>
      </c>
      <c r="D1106" s="11">
        <v>42781.46162037037</v>
      </c>
      <c r="E1106" s="10" t="s">
        <v>2266</v>
      </c>
    </row>
    <row r="1107" spans="1:5">
      <c r="A1107" s="11">
        <v>42717</v>
      </c>
      <c r="B1107" s="10" t="s">
        <v>2493</v>
      </c>
      <c r="C1107" s="10" t="s">
        <v>2494</v>
      </c>
      <c r="D1107" s="11">
        <v>42779.500520833331</v>
      </c>
      <c r="E1107" s="10" t="s">
        <v>2183</v>
      </c>
    </row>
    <row r="1108" spans="1:5">
      <c r="A1108" s="11">
        <v>42717</v>
      </c>
      <c r="B1108" s="10" t="s">
        <v>2495</v>
      </c>
      <c r="C1108" s="10" t="s">
        <v>2496</v>
      </c>
      <c r="D1108" s="11">
        <v>42782.631273148145</v>
      </c>
      <c r="E1108" s="10" t="s">
        <v>155</v>
      </c>
    </row>
    <row r="1109" spans="1:5" ht="21.6">
      <c r="A1109" s="11">
        <v>42717</v>
      </c>
      <c r="B1109" s="10" t="s">
        <v>2497</v>
      </c>
      <c r="C1109" s="10" t="s">
        <v>2498</v>
      </c>
      <c r="D1109" s="11">
        <v>42778.650069444448</v>
      </c>
      <c r="E1109" s="10" t="s">
        <v>133</v>
      </c>
    </row>
    <row r="1110" spans="1:5">
      <c r="A1110" s="11">
        <v>42718</v>
      </c>
      <c r="B1110" s="10" t="s">
        <v>2499</v>
      </c>
      <c r="C1110" s="10" t="s">
        <v>2500</v>
      </c>
      <c r="D1110" s="11">
        <v>42758.528009259258</v>
      </c>
      <c r="E1110" s="10" t="s">
        <v>130</v>
      </c>
    </row>
    <row r="1111" spans="1:5">
      <c r="A1111" s="11">
        <v>42718</v>
      </c>
      <c r="B1111" s="10" t="s">
        <v>2501</v>
      </c>
      <c r="C1111" s="10" t="s">
        <v>2502</v>
      </c>
      <c r="D1111" s="11">
        <v>42780.575821759259</v>
      </c>
      <c r="E1111" s="10" t="s">
        <v>433</v>
      </c>
    </row>
    <row r="1112" spans="1:5">
      <c r="A1112" s="11">
        <v>42718</v>
      </c>
      <c r="B1112" s="10" t="s">
        <v>2503</v>
      </c>
      <c r="C1112" s="10" t="s">
        <v>2504</v>
      </c>
      <c r="D1112" s="11">
        <v>42781.044571759259</v>
      </c>
      <c r="E1112" s="10" t="s">
        <v>656</v>
      </c>
    </row>
    <row r="1113" spans="1:5">
      <c r="A1113" s="11">
        <v>42718</v>
      </c>
      <c r="B1113" s="10" t="s">
        <v>2505</v>
      </c>
      <c r="C1113" s="10" t="s">
        <v>2506</v>
      </c>
      <c r="D1113" s="11">
        <v>42781.925208333334</v>
      </c>
      <c r="E1113" s="10" t="s">
        <v>122</v>
      </c>
    </row>
    <row r="1114" spans="1:5">
      <c r="A1114" s="11">
        <v>42718</v>
      </c>
      <c r="B1114" s="10" t="s">
        <v>2507</v>
      </c>
      <c r="C1114" s="10" t="s">
        <v>2508</v>
      </c>
      <c r="D1114" s="11">
        <v>42781.460925925923</v>
      </c>
      <c r="E1114" s="10" t="s">
        <v>433</v>
      </c>
    </row>
    <row r="1115" spans="1:5">
      <c r="A1115" s="11">
        <v>42718</v>
      </c>
      <c r="B1115" s="10" t="s">
        <v>2509</v>
      </c>
      <c r="C1115" s="10" t="s">
        <v>2510</v>
      </c>
      <c r="D1115" s="11">
        <v>42779.723506944443</v>
      </c>
      <c r="E1115" s="10" t="s">
        <v>373</v>
      </c>
    </row>
    <row r="1116" spans="1:5">
      <c r="A1116" s="11">
        <v>42718</v>
      </c>
      <c r="B1116" s="10" t="s">
        <v>2511</v>
      </c>
      <c r="C1116" s="10" t="s">
        <v>2512</v>
      </c>
      <c r="D1116" s="11">
        <v>42781.013275462959</v>
      </c>
      <c r="E1116" s="10" t="s">
        <v>99</v>
      </c>
    </row>
    <row r="1117" spans="1:5">
      <c r="A1117" s="11">
        <v>42718</v>
      </c>
      <c r="B1117" s="10" t="s">
        <v>2513</v>
      </c>
      <c r="C1117" s="10" t="s">
        <v>2514</v>
      </c>
      <c r="D1117" s="11">
        <v>42781.802766203706</v>
      </c>
      <c r="E1117" s="10" t="s">
        <v>2515</v>
      </c>
    </row>
    <row r="1118" spans="1:5">
      <c r="A1118" s="11">
        <v>42719</v>
      </c>
      <c r="B1118" s="10" t="s">
        <v>2516</v>
      </c>
      <c r="C1118" s="10" t="s">
        <v>2517</v>
      </c>
      <c r="D1118" s="11">
        <v>42781.329444444447</v>
      </c>
      <c r="E1118" s="10" t="s">
        <v>656</v>
      </c>
    </row>
    <row r="1119" spans="1:5">
      <c r="A1119" s="11">
        <v>42719</v>
      </c>
      <c r="B1119" s="10" t="s">
        <v>2518</v>
      </c>
      <c r="C1119" s="10" t="s">
        <v>2519</v>
      </c>
      <c r="D1119" s="11">
        <v>42781.707835648151</v>
      </c>
      <c r="E1119" s="10" t="s">
        <v>373</v>
      </c>
    </row>
    <row r="1120" spans="1:5">
      <c r="A1120" s="11">
        <v>42719</v>
      </c>
      <c r="B1120" s="10" t="s">
        <v>2520</v>
      </c>
      <c r="C1120" s="10" t="s">
        <v>2521</v>
      </c>
      <c r="D1120" s="11">
        <v>42782.657337962963</v>
      </c>
      <c r="E1120" s="10" t="s">
        <v>433</v>
      </c>
    </row>
    <row r="1121" spans="1:5">
      <c r="A1121" s="11">
        <v>42719</v>
      </c>
      <c r="B1121" s="10" t="s">
        <v>2522</v>
      </c>
      <c r="C1121" s="10" t="s">
        <v>2523</v>
      </c>
      <c r="D1121" s="11">
        <v>42780.689108796294</v>
      </c>
      <c r="E1121" s="10" t="s">
        <v>2183</v>
      </c>
    </row>
    <row r="1122" spans="1:5">
      <c r="A1122" s="11">
        <v>42719</v>
      </c>
      <c r="B1122" s="10" t="s">
        <v>2524</v>
      </c>
      <c r="C1122" s="10" t="s">
        <v>2525</v>
      </c>
      <c r="D1122" s="11">
        <v>42781.883877314816</v>
      </c>
      <c r="E1122" s="10" t="s">
        <v>2201</v>
      </c>
    </row>
    <row r="1123" spans="1:5">
      <c r="A1123" s="11">
        <v>42719</v>
      </c>
      <c r="B1123" s="10" t="s">
        <v>2526</v>
      </c>
      <c r="C1123" s="10" t="s">
        <v>2527</v>
      </c>
      <c r="D1123" s="11">
        <v>42781.025104166663</v>
      </c>
      <c r="E1123" s="10" t="s">
        <v>433</v>
      </c>
    </row>
    <row r="1124" spans="1:5">
      <c r="A1124" s="11">
        <v>42719</v>
      </c>
      <c r="B1124" s="10" t="s">
        <v>2528</v>
      </c>
      <c r="C1124" s="10" t="s">
        <v>2529</v>
      </c>
      <c r="D1124" s="11">
        <v>42782.636770833335</v>
      </c>
      <c r="E1124" s="10" t="s">
        <v>218</v>
      </c>
    </row>
    <row r="1125" spans="1:5" ht="21.6">
      <c r="A1125" s="11">
        <v>42719</v>
      </c>
      <c r="B1125" s="10" t="s">
        <v>2530</v>
      </c>
      <c r="C1125" s="10" t="s">
        <v>2531</v>
      </c>
      <c r="D1125" s="11">
        <v>42772.559849537036</v>
      </c>
      <c r="E1125" s="10" t="s">
        <v>2341</v>
      </c>
    </row>
    <row r="1126" spans="1:5">
      <c r="A1126" s="11">
        <v>42719</v>
      </c>
      <c r="B1126" s="10" t="s">
        <v>2532</v>
      </c>
      <c r="C1126" s="10" t="s">
        <v>2533</v>
      </c>
      <c r="D1126" s="11">
        <v>42782.615983796299</v>
      </c>
      <c r="E1126" s="10" t="s">
        <v>2515</v>
      </c>
    </row>
    <row r="1127" spans="1:5">
      <c r="A1127" s="11">
        <v>42719</v>
      </c>
      <c r="B1127" s="10" t="s">
        <v>2534</v>
      </c>
      <c r="C1127" s="10" t="s">
        <v>2535</v>
      </c>
      <c r="D1127" s="11">
        <v>42781.418958333335</v>
      </c>
      <c r="E1127" s="10" t="s">
        <v>482</v>
      </c>
    </row>
    <row r="1128" spans="1:5">
      <c r="A1128" s="11">
        <v>42719</v>
      </c>
      <c r="B1128" s="10" t="s">
        <v>2536</v>
      </c>
      <c r="C1128" s="10" t="s">
        <v>2537</v>
      </c>
      <c r="D1128" s="11">
        <v>42780.639085648145</v>
      </c>
      <c r="E1128" s="10" t="s">
        <v>2538</v>
      </c>
    </row>
    <row r="1129" spans="1:5">
      <c r="A1129" s="11">
        <v>42720</v>
      </c>
      <c r="B1129" s="10" t="s">
        <v>2539</v>
      </c>
      <c r="C1129" s="10" t="s">
        <v>2540</v>
      </c>
      <c r="D1129" s="11">
        <v>42782.54115740741</v>
      </c>
      <c r="E1129" s="10" t="s">
        <v>125</v>
      </c>
    </row>
    <row r="1130" spans="1:5">
      <c r="A1130" s="11">
        <v>42720</v>
      </c>
      <c r="B1130" s="10" t="s">
        <v>2541</v>
      </c>
      <c r="C1130" s="10" t="s">
        <v>2542</v>
      </c>
      <c r="D1130" s="11">
        <v>42781.551851851851</v>
      </c>
      <c r="E1130" s="10" t="s">
        <v>237</v>
      </c>
    </row>
    <row r="1131" spans="1:5">
      <c r="A1131" s="11">
        <v>42720</v>
      </c>
      <c r="B1131" s="10" t="s">
        <v>2543</v>
      </c>
      <c r="C1131" s="10" t="s">
        <v>2544</v>
      </c>
      <c r="D1131" s="11">
        <v>42780.479571759257</v>
      </c>
      <c r="E1131" s="10" t="s">
        <v>2124</v>
      </c>
    </row>
    <row r="1132" spans="1:5">
      <c r="A1132" s="11">
        <v>42720</v>
      </c>
      <c r="B1132" s="10" t="s">
        <v>2545</v>
      </c>
      <c r="C1132" s="10" t="s">
        <v>2546</v>
      </c>
      <c r="D1132" s="11">
        <v>42781.999293981484</v>
      </c>
      <c r="E1132" s="10" t="s">
        <v>2547</v>
      </c>
    </row>
    <row r="1133" spans="1:5">
      <c r="A1133" s="11">
        <v>42720</v>
      </c>
      <c r="B1133" s="10" t="s">
        <v>2548</v>
      </c>
      <c r="C1133" s="10" t="s">
        <v>2549</v>
      </c>
      <c r="D1133" s="11">
        <v>42779.557604166665</v>
      </c>
      <c r="E1133" s="10" t="s">
        <v>237</v>
      </c>
    </row>
    <row r="1134" spans="1:5">
      <c r="A1134" s="11">
        <v>42720</v>
      </c>
      <c r="B1134" s="10" t="s">
        <v>2550</v>
      </c>
      <c r="C1134" s="10" t="s">
        <v>2551</v>
      </c>
      <c r="D1134" s="11">
        <v>42781.793923611112</v>
      </c>
      <c r="E1134" s="10" t="s">
        <v>902</v>
      </c>
    </row>
    <row r="1135" spans="1:5" ht="21.6">
      <c r="A1135" s="11">
        <v>42720</v>
      </c>
      <c r="B1135" s="10" t="s">
        <v>2552</v>
      </c>
      <c r="C1135" s="10" t="s">
        <v>2553</v>
      </c>
      <c r="D1135" s="11">
        <v>42781.852465277778</v>
      </c>
      <c r="E1135" s="10" t="s">
        <v>2554</v>
      </c>
    </row>
    <row r="1136" spans="1:5">
      <c r="A1136" s="11">
        <v>42720</v>
      </c>
      <c r="B1136" s="10" t="s">
        <v>2555</v>
      </c>
      <c r="C1136" s="10" t="s">
        <v>2556</v>
      </c>
      <c r="D1136" s="11">
        <v>42781.715208333335</v>
      </c>
      <c r="E1136" s="10" t="s">
        <v>237</v>
      </c>
    </row>
    <row r="1137" spans="1:5">
      <c r="A1137" s="11">
        <v>42720</v>
      </c>
      <c r="B1137" s="10" t="s">
        <v>2557</v>
      </c>
      <c r="C1137" s="10" t="s">
        <v>2558</v>
      </c>
      <c r="D1137" s="11">
        <v>42782.683217592596</v>
      </c>
      <c r="E1137" s="10" t="s">
        <v>1103</v>
      </c>
    </row>
    <row r="1138" spans="1:5">
      <c r="A1138" s="11">
        <v>42721</v>
      </c>
      <c r="B1138" s="10" t="s">
        <v>2559</v>
      </c>
      <c r="C1138" s="10" t="s">
        <v>2560</v>
      </c>
      <c r="D1138" s="11">
        <v>42782.452650462961</v>
      </c>
      <c r="E1138" s="10" t="s">
        <v>209</v>
      </c>
    </row>
    <row r="1139" spans="1:5">
      <c r="A1139" s="11">
        <v>42721</v>
      </c>
      <c r="B1139" s="10" t="s">
        <v>2561</v>
      </c>
      <c r="C1139" s="10" t="s">
        <v>2562</v>
      </c>
      <c r="D1139" s="11">
        <v>42779.653263888889</v>
      </c>
      <c r="E1139" s="10" t="s">
        <v>212</v>
      </c>
    </row>
    <row r="1140" spans="1:5">
      <c r="A1140" s="11">
        <v>42722</v>
      </c>
      <c r="B1140" s="10" t="s">
        <v>2563</v>
      </c>
      <c r="C1140" s="10" t="s">
        <v>2564</v>
      </c>
      <c r="D1140" s="11">
        <v>42781.71329861111</v>
      </c>
      <c r="E1140" s="10" t="s">
        <v>433</v>
      </c>
    </row>
    <row r="1141" spans="1:5">
      <c r="A1141" s="11">
        <v>42722</v>
      </c>
      <c r="B1141" s="10" t="s">
        <v>2565</v>
      </c>
      <c r="C1141" s="10" t="s">
        <v>2566</v>
      </c>
      <c r="D1141" s="11">
        <v>42782.640046296299</v>
      </c>
      <c r="E1141" s="10" t="s">
        <v>218</v>
      </c>
    </row>
    <row r="1142" spans="1:5">
      <c r="A1142" s="11">
        <v>42722</v>
      </c>
      <c r="B1142" s="10" t="s">
        <v>2567</v>
      </c>
      <c r="C1142" s="10" t="s">
        <v>2568</v>
      </c>
      <c r="D1142" s="11">
        <v>42782.672719907408</v>
      </c>
      <c r="E1142" s="10" t="s">
        <v>2201</v>
      </c>
    </row>
    <row r="1143" spans="1:5">
      <c r="A1143" s="11">
        <v>42723</v>
      </c>
      <c r="B1143" s="10" t="s">
        <v>2569</v>
      </c>
      <c r="C1143" s="10" t="s">
        <v>2570</v>
      </c>
      <c r="D1143" s="11">
        <v>42782.39199074074</v>
      </c>
      <c r="E1143" s="10" t="s">
        <v>2571</v>
      </c>
    </row>
    <row r="1144" spans="1:5">
      <c r="A1144" s="11">
        <v>42723</v>
      </c>
      <c r="B1144" s="10" t="s">
        <v>2572</v>
      </c>
      <c r="C1144" s="10" t="s">
        <v>2573</v>
      </c>
      <c r="D1144" s="11">
        <v>42781.441712962966</v>
      </c>
      <c r="E1144" s="10" t="s">
        <v>130</v>
      </c>
    </row>
    <row r="1145" spans="1:5">
      <c r="A1145" s="11">
        <v>42723</v>
      </c>
      <c r="B1145" s="10" t="s">
        <v>2574</v>
      </c>
      <c r="C1145" s="10" t="s">
        <v>2575</v>
      </c>
      <c r="D1145" s="11">
        <v>42780.70511574074</v>
      </c>
      <c r="E1145" s="10" t="s">
        <v>308</v>
      </c>
    </row>
    <row r="1146" spans="1:5">
      <c r="A1146" s="11">
        <v>42723</v>
      </c>
      <c r="B1146" s="10" t="s">
        <v>2576</v>
      </c>
      <c r="C1146" s="10" t="s">
        <v>2577</v>
      </c>
      <c r="D1146" s="11">
        <v>42778.837951388887</v>
      </c>
      <c r="E1146" s="10" t="s">
        <v>125</v>
      </c>
    </row>
    <row r="1147" spans="1:5">
      <c r="A1147" s="11">
        <v>42723</v>
      </c>
      <c r="B1147" s="10" t="s">
        <v>2578</v>
      </c>
      <c r="C1147" s="10" t="s">
        <v>2579</v>
      </c>
      <c r="D1147" s="11">
        <v>42781.485127314816</v>
      </c>
      <c r="E1147" s="10" t="s">
        <v>155</v>
      </c>
    </row>
    <row r="1148" spans="1:5">
      <c r="A1148" s="11">
        <v>42723</v>
      </c>
      <c r="B1148" s="10" t="s">
        <v>2580</v>
      </c>
      <c r="C1148" s="10" t="s">
        <v>2581</v>
      </c>
      <c r="D1148" s="11">
        <v>42776.365416666667</v>
      </c>
      <c r="E1148" s="10" t="s">
        <v>2515</v>
      </c>
    </row>
    <row r="1149" spans="1:5">
      <c r="A1149" s="11">
        <v>42723</v>
      </c>
      <c r="B1149" s="10" t="s">
        <v>2582</v>
      </c>
      <c r="C1149" s="10" t="s">
        <v>2583</v>
      </c>
      <c r="D1149" s="11">
        <v>42780.519907407404</v>
      </c>
      <c r="E1149" s="10" t="s">
        <v>237</v>
      </c>
    </row>
    <row r="1150" spans="1:5">
      <c r="A1150" s="11">
        <v>42724</v>
      </c>
      <c r="B1150" s="10" t="s">
        <v>2584</v>
      </c>
      <c r="C1150" s="10" t="s">
        <v>2585</v>
      </c>
      <c r="D1150" s="11">
        <v>42779.620810185188</v>
      </c>
      <c r="E1150" s="10" t="s">
        <v>613</v>
      </c>
    </row>
    <row r="1151" spans="1:5">
      <c r="A1151" s="11">
        <v>42724</v>
      </c>
      <c r="B1151" s="10" t="s">
        <v>2586</v>
      </c>
      <c r="C1151" s="10" t="s">
        <v>2587</v>
      </c>
      <c r="D1151" s="11">
        <v>42781.567013888889</v>
      </c>
      <c r="E1151" s="10" t="s">
        <v>482</v>
      </c>
    </row>
    <row r="1152" spans="1:5">
      <c r="A1152" s="11">
        <v>42724</v>
      </c>
      <c r="B1152" s="10" t="s">
        <v>2588</v>
      </c>
      <c r="C1152" s="10" t="s">
        <v>2589</v>
      </c>
      <c r="D1152" s="11">
        <v>42782.600185185183</v>
      </c>
      <c r="E1152" s="10" t="s">
        <v>152</v>
      </c>
    </row>
    <row r="1153" spans="1:5" ht="21.6">
      <c r="A1153" s="11">
        <v>42724</v>
      </c>
      <c r="B1153" s="10" t="s">
        <v>2590</v>
      </c>
      <c r="C1153" s="10" t="s">
        <v>2591</v>
      </c>
      <c r="D1153" s="11">
        <v>42725.650393518517</v>
      </c>
      <c r="E1153" s="10" t="s">
        <v>559</v>
      </c>
    </row>
    <row r="1154" spans="1:5">
      <c r="A1154" s="11">
        <v>42724</v>
      </c>
      <c r="B1154" s="10" t="s">
        <v>2592</v>
      </c>
      <c r="C1154" s="10" t="s">
        <v>2593</v>
      </c>
      <c r="D1154" s="11">
        <v>42779.512245370373</v>
      </c>
      <c r="E1154" s="10" t="s">
        <v>902</v>
      </c>
    </row>
    <row r="1155" spans="1:5">
      <c r="A1155" s="11">
        <v>42724</v>
      </c>
      <c r="B1155" s="10" t="s">
        <v>2594</v>
      </c>
      <c r="C1155" s="10" t="s">
        <v>2595</v>
      </c>
      <c r="D1155" s="11">
        <v>42780.864166666666</v>
      </c>
      <c r="E1155" s="10" t="s">
        <v>2201</v>
      </c>
    </row>
    <row r="1156" spans="1:5">
      <c r="A1156" s="11">
        <v>42724</v>
      </c>
      <c r="B1156" s="10" t="s">
        <v>2596</v>
      </c>
      <c r="C1156" s="10" t="s">
        <v>2597</v>
      </c>
      <c r="D1156" s="11">
        <v>42782.642592592594</v>
      </c>
      <c r="E1156" s="10" t="s">
        <v>479</v>
      </c>
    </row>
    <row r="1157" spans="1:5">
      <c r="A1157" s="11">
        <v>42724</v>
      </c>
      <c r="B1157" s="10" t="s">
        <v>2598</v>
      </c>
      <c r="C1157" s="10" t="s">
        <v>2599</v>
      </c>
      <c r="D1157" s="11">
        <v>42782.409594907411</v>
      </c>
      <c r="E1157" s="10" t="s">
        <v>237</v>
      </c>
    </row>
    <row r="1158" spans="1:5">
      <c r="A1158" s="11">
        <v>42724</v>
      </c>
      <c r="B1158" s="10" t="s">
        <v>2600</v>
      </c>
      <c r="C1158" s="10" t="s">
        <v>2601</v>
      </c>
      <c r="D1158" s="11">
        <v>42780.451307870368</v>
      </c>
      <c r="E1158" s="10" t="s">
        <v>433</v>
      </c>
    </row>
    <row r="1159" spans="1:5">
      <c r="A1159" s="11">
        <v>42725</v>
      </c>
      <c r="B1159" s="10" t="s">
        <v>2602</v>
      </c>
      <c r="C1159" s="10" t="s">
        <v>2603</v>
      </c>
      <c r="D1159" s="11">
        <v>42782.658263888887</v>
      </c>
      <c r="E1159" s="10" t="s">
        <v>2180</v>
      </c>
    </row>
    <row r="1160" spans="1:5">
      <c r="A1160" s="11">
        <v>42725</v>
      </c>
      <c r="B1160" s="10" t="s">
        <v>2604</v>
      </c>
      <c r="C1160" s="10" t="s">
        <v>2605</v>
      </c>
      <c r="D1160" s="11">
        <v>42771.493622685186</v>
      </c>
      <c r="E1160" s="10" t="s">
        <v>178</v>
      </c>
    </row>
    <row r="1161" spans="1:5">
      <c r="A1161" s="11">
        <v>42725</v>
      </c>
      <c r="B1161" s="10" t="s">
        <v>2606</v>
      </c>
      <c r="C1161" s="10" t="s">
        <v>2607</v>
      </c>
      <c r="D1161" s="11">
        <v>42782.602303240739</v>
      </c>
      <c r="E1161" s="10" t="s">
        <v>653</v>
      </c>
    </row>
    <row r="1162" spans="1:5">
      <c r="A1162" s="11">
        <v>42726</v>
      </c>
      <c r="B1162" s="10" t="s">
        <v>2608</v>
      </c>
      <c r="C1162" s="10" t="s">
        <v>2609</v>
      </c>
      <c r="D1162" s="11">
        <v>42781.608576388891</v>
      </c>
      <c r="E1162" s="10" t="s">
        <v>2180</v>
      </c>
    </row>
    <row r="1163" spans="1:5">
      <c r="A1163" s="11">
        <v>42726</v>
      </c>
      <c r="B1163" s="10" t="s">
        <v>2610</v>
      </c>
      <c r="C1163" s="10" t="s">
        <v>2611</v>
      </c>
      <c r="D1163" s="11">
        <v>42780.54351851852</v>
      </c>
      <c r="E1163" s="10" t="s">
        <v>373</v>
      </c>
    </row>
    <row r="1164" spans="1:5">
      <c r="A1164" s="11">
        <v>42726</v>
      </c>
      <c r="B1164" s="10" t="s">
        <v>2612</v>
      </c>
      <c r="C1164" s="10" t="s">
        <v>2613</v>
      </c>
      <c r="D1164" s="11">
        <v>42782.700810185182</v>
      </c>
      <c r="E1164" s="10" t="s">
        <v>422</v>
      </c>
    </row>
    <row r="1165" spans="1:5">
      <c r="A1165" s="11">
        <v>42726</v>
      </c>
      <c r="B1165" s="10" t="s">
        <v>2614</v>
      </c>
      <c r="C1165" s="10" t="s">
        <v>2615</v>
      </c>
      <c r="D1165" s="11">
        <v>42782.663275462961</v>
      </c>
      <c r="E1165" s="10" t="s">
        <v>433</v>
      </c>
    </row>
    <row r="1166" spans="1:5">
      <c r="A1166" s="11">
        <v>42726</v>
      </c>
      <c r="B1166" s="10" t="s">
        <v>2616</v>
      </c>
      <c r="C1166" s="10" t="s">
        <v>2617</v>
      </c>
      <c r="D1166" s="11">
        <v>42782.641527777778</v>
      </c>
      <c r="E1166" s="10" t="s">
        <v>218</v>
      </c>
    </row>
    <row r="1167" spans="1:5">
      <c r="A1167" s="11">
        <v>42726</v>
      </c>
      <c r="B1167" s="10" t="s">
        <v>2618</v>
      </c>
      <c r="C1167" s="10" t="s">
        <v>2619</v>
      </c>
      <c r="D1167" s="11">
        <v>42782.658541666664</v>
      </c>
      <c r="E1167" s="10" t="s">
        <v>212</v>
      </c>
    </row>
    <row r="1168" spans="1:5">
      <c r="A1168" s="11">
        <v>42726</v>
      </c>
      <c r="B1168" s="10" t="s">
        <v>2620</v>
      </c>
      <c r="C1168" s="10" t="s">
        <v>2621</v>
      </c>
      <c r="D1168" s="11">
        <v>42782.692395833335</v>
      </c>
      <c r="E1168" s="10" t="s">
        <v>2622</v>
      </c>
    </row>
    <row r="1169" spans="1:5">
      <c r="A1169" s="11">
        <v>42726</v>
      </c>
      <c r="B1169" s="10" t="s">
        <v>2623</v>
      </c>
      <c r="C1169" s="10" t="s">
        <v>2624</v>
      </c>
      <c r="D1169" s="11">
        <v>42780.426979166667</v>
      </c>
      <c r="E1169" s="10" t="s">
        <v>479</v>
      </c>
    </row>
    <row r="1170" spans="1:5">
      <c r="A1170" s="11">
        <v>42727</v>
      </c>
      <c r="B1170" s="10" t="s">
        <v>2625</v>
      </c>
      <c r="C1170" s="10" t="s">
        <v>2626</v>
      </c>
      <c r="D1170" s="11">
        <v>42782.386956018519</v>
      </c>
      <c r="E1170" s="10" t="s">
        <v>433</v>
      </c>
    </row>
    <row r="1171" spans="1:5">
      <c r="A1171" s="11">
        <v>42727</v>
      </c>
      <c r="B1171" s="10" t="s">
        <v>2627</v>
      </c>
      <c r="C1171" s="10" t="s">
        <v>2628</v>
      </c>
      <c r="D1171" s="11">
        <v>42780.573807870373</v>
      </c>
      <c r="E1171" s="10" t="s">
        <v>237</v>
      </c>
    </row>
    <row r="1172" spans="1:5">
      <c r="A1172" s="11">
        <v>42727</v>
      </c>
      <c r="B1172" s="10" t="s">
        <v>2629</v>
      </c>
      <c r="C1172" s="10" t="s">
        <v>2630</v>
      </c>
      <c r="D1172" s="11">
        <v>42781.542905092596</v>
      </c>
      <c r="E1172" s="10" t="s">
        <v>422</v>
      </c>
    </row>
    <row r="1173" spans="1:5">
      <c r="A1173" s="11">
        <v>42727</v>
      </c>
      <c r="B1173" s="10" t="s">
        <v>2631</v>
      </c>
      <c r="C1173" s="10" t="s">
        <v>2632</v>
      </c>
      <c r="D1173" s="11">
        <v>42782.433194444442</v>
      </c>
      <c r="E1173" s="10" t="s">
        <v>433</v>
      </c>
    </row>
    <row r="1174" spans="1:5">
      <c r="A1174" s="11">
        <v>42727</v>
      </c>
      <c r="B1174" s="10" t="s">
        <v>2633</v>
      </c>
      <c r="C1174" s="10" t="s">
        <v>2634</v>
      </c>
      <c r="D1174" s="11">
        <v>42780.802002314813</v>
      </c>
      <c r="E1174" s="10" t="s">
        <v>237</v>
      </c>
    </row>
    <row r="1175" spans="1:5">
      <c r="A1175" s="11">
        <v>42727</v>
      </c>
      <c r="B1175" s="10" t="s">
        <v>2635</v>
      </c>
      <c r="C1175" s="10" t="s">
        <v>2636</v>
      </c>
      <c r="D1175" s="11">
        <v>42782.481423611112</v>
      </c>
      <c r="E1175" s="10" t="s">
        <v>237</v>
      </c>
    </row>
    <row r="1176" spans="1:5">
      <c r="A1176" s="11">
        <v>42727</v>
      </c>
      <c r="B1176" s="10" t="s">
        <v>2637</v>
      </c>
      <c r="C1176" s="10" t="s">
        <v>2638</v>
      </c>
      <c r="D1176" s="11">
        <v>42782.704583333332</v>
      </c>
      <c r="E1176" s="10" t="s">
        <v>209</v>
      </c>
    </row>
    <row r="1177" spans="1:5">
      <c r="A1177" s="11">
        <v>42727</v>
      </c>
      <c r="B1177" s="10" t="s">
        <v>2639</v>
      </c>
      <c r="C1177" s="10" t="s">
        <v>2640</v>
      </c>
      <c r="D1177" s="11">
        <v>42782.655914351853</v>
      </c>
      <c r="E1177" s="10" t="s">
        <v>2144</v>
      </c>
    </row>
    <row r="1178" spans="1:5">
      <c r="A1178" s="11">
        <v>42727</v>
      </c>
      <c r="B1178" s="10" t="s">
        <v>2641</v>
      </c>
      <c r="C1178" s="10" t="s">
        <v>2642</v>
      </c>
      <c r="D1178" s="11">
        <v>42779.492847222224</v>
      </c>
      <c r="E1178" s="10" t="s">
        <v>2515</v>
      </c>
    </row>
    <row r="1179" spans="1:5">
      <c r="A1179" s="11">
        <v>42728</v>
      </c>
      <c r="B1179" s="10" t="s">
        <v>2643</v>
      </c>
      <c r="C1179" s="10" t="s">
        <v>2644</v>
      </c>
      <c r="D1179" s="11">
        <v>42777.828263888892</v>
      </c>
      <c r="E1179" s="10" t="s">
        <v>902</v>
      </c>
    </row>
    <row r="1180" spans="1:5">
      <c r="A1180" s="11">
        <v>42728</v>
      </c>
      <c r="B1180" s="10" t="s">
        <v>2645</v>
      </c>
      <c r="C1180" s="10" t="s">
        <v>2646</v>
      </c>
      <c r="D1180" s="11">
        <v>42782.520787037036</v>
      </c>
      <c r="E1180" s="10" t="s">
        <v>152</v>
      </c>
    </row>
    <row r="1181" spans="1:5">
      <c r="A1181" s="11">
        <v>42728</v>
      </c>
      <c r="B1181" s="10" t="s">
        <v>2647</v>
      </c>
      <c r="C1181" s="10" t="s">
        <v>2648</v>
      </c>
      <c r="D1181" s="11">
        <v>42782.584305555552</v>
      </c>
      <c r="E1181" s="10" t="s">
        <v>902</v>
      </c>
    </row>
    <row r="1182" spans="1:5">
      <c r="A1182" s="11">
        <v>42729</v>
      </c>
      <c r="B1182" s="10" t="s">
        <v>2649</v>
      </c>
      <c r="C1182" s="10" t="s">
        <v>2650</v>
      </c>
      <c r="D1182" s="11">
        <v>42774.482754629629</v>
      </c>
      <c r="E1182" s="10" t="s">
        <v>209</v>
      </c>
    </row>
    <row r="1183" spans="1:5">
      <c r="A1183" s="11">
        <v>42730</v>
      </c>
      <c r="B1183" s="10" t="s">
        <v>2651</v>
      </c>
      <c r="C1183" s="10" t="s">
        <v>2652</v>
      </c>
      <c r="D1183" s="11">
        <v>42781.50949074074</v>
      </c>
      <c r="E1183" s="10" t="s">
        <v>433</v>
      </c>
    </row>
    <row r="1184" spans="1:5">
      <c r="A1184" s="11">
        <v>42730</v>
      </c>
      <c r="B1184" s="10" t="s">
        <v>2653</v>
      </c>
      <c r="C1184" s="10" t="s">
        <v>2654</v>
      </c>
      <c r="D1184" s="11">
        <v>42781.701805555553</v>
      </c>
      <c r="E1184" s="10" t="s">
        <v>122</v>
      </c>
    </row>
    <row r="1185" spans="1:5">
      <c r="A1185" s="11">
        <v>42730</v>
      </c>
      <c r="B1185" s="10" t="s">
        <v>2655</v>
      </c>
      <c r="C1185" s="10" t="s">
        <v>2656</v>
      </c>
      <c r="D1185" s="11">
        <v>42781.701516203706</v>
      </c>
      <c r="E1185" s="10" t="s">
        <v>122</v>
      </c>
    </row>
    <row r="1186" spans="1:5">
      <c r="A1186" s="11">
        <v>42730</v>
      </c>
      <c r="B1186" s="10" t="s">
        <v>2657</v>
      </c>
      <c r="C1186" s="10" t="s">
        <v>2658</v>
      </c>
      <c r="D1186" s="11">
        <v>42778.466157407405</v>
      </c>
      <c r="E1186" s="10" t="s">
        <v>2515</v>
      </c>
    </row>
    <row r="1187" spans="1:5">
      <c r="A1187" s="11">
        <v>42731</v>
      </c>
      <c r="B1187" s="10" t="s">
        <v>2659</v>
      </c>
      <c r="C1187" s="10" t="s">
        <v>2660</v>
      </c>
      <c r="D1187" s="11">
        <v>42782.596747685187</v>
      </c>
      <c r="E1187" s="10" t="s">
        <v>683</v>
      </c>
    </row>
    <row r="1188" spans="1:5">
      <c r="A1188" s="11">
        <v>42731</v>
      </c>
      <c r="B1188" s="10" t="s">
        <v>2661</v>
      </c>
      <c r="C1188" s="10" t="s">
        <v>2662</v>
      </c>
      <c r="D1188" s="11">
        <v>42782.579826388886</v>
      </c>
      <c r="E1188" s="10" t="s">
        <v>683</v>
      </c>
    </row>
    <row r="1189" spans="1:5">
      <c r="A1189" s="11">
        <v>42731</v>
      </c>
      <c r="B1189" s="10" t="s">
        <v>2663</v>
      </c>
      <c r="C1189" s="10" t="s">
        <v>2664</v>
      </c>
      <c r="D1189" s="11">
        <v>42780.973946759259</v>
      </c>
      <c r="E1189" s="10" t="s">
        <v>2180</v>
      </c>
    </row>
    <row r="1190" spans="1:5">
      <c r="A1190" s="11">
        <v>42731</v>
      </c>
      <c r="B1190" s="10" t="s">
        <v>2665</v>
      </c>
      <c r="C1190" s="10" t="s">
        <v>2666</v>
      </c>
      <c r="D1190" s="11">
        <v>42780.654490740744</v>
      </c>
      <c r="E1190" s="10" t="s">
        <v>218</v>
      </c>
    </row>
    <row r="1191" spans="1:5">
      <c r="A1191" s="11">
        <v>42731</v>
      </c>
      <c r="B1191" s="10" t="s">
        <v>2667</v>
      </c>
      <c r="C1191" s="10" t="s">
        <v>2668</v>
      </c>
      <c r="D1191" s="11">
        <v>42782.66615740741</v>
      </c>
      <c r="E1191" s="10" t="s">
        <v>237</v>
      </c>
    </row>
    <row r="1192" spans="1:5">
      <c r="A1192" s="11">
        <v>42731</v>
      </c>
      <c r="B1192" s="10" t="s">
        <v>2669</v>
      </c>
      <c r="C1192" s="10" t="s">
        <v>2670</v>
      </c>
      <c r="D1192" s="11">
        <v>42781.941724537035</v>
      </c>
      <c r="E1192" s="10" t="s">
        <v>634</v>
      </c>
    </row>
    <row r="1193" spans="1:5">
      <c r="A1193" s="11">
        <v>42732</v>
      </c>
      <c r="B1193" s="10" t="s">
        <v>2671</v>
      </c>
      <c r="C1193" s="10" t="s">
        <v>2672</v>
      </c>
      <c r="D1193" s="11">
        <v>42781.938703703701</v>
      </c>
      <c r="E1193" s="10" t="s">
        <v>707</v>
      </c>
    </row>
    <row r="1194" spans="1:5">
      <c r="A1194" s="11">
        <v>42732</v>
      </c>
      <c r="B1194" s="10" t="s">
        <v>2673</v>
      </c>
      <c r="C1194" s="10" t="s">
        <v>2674</v>
      </c>
      <c r="D1194" s="11">
        <v>42780.500798611109</v>
      </c>
      <c r="E1194" s="10" t="s">
        <v>433</v>
      </c>
    </row>
    <row r="1195" spans="1:5">
      <c r="A1195" s="11">
        <v>42732</v>
      </c>
      <c r="B1195" s="10" t="s">
        <v>2675</v>
      </c>
      <c r="C1195" s="10" t="s">
        <v>2676</v>
      </c>
      <c r="D1195" s="11">
        <v>42782.577152777776</v>
      </c>
      <c r="E1195" s="10" t="s">
        <v>683</v>
      </c>
    </row>
    <row r="1196" spans="1:5">
      <c r="A1196" s="11">
        <v>42732</v>
      </c>
      <c r="B1196" s="10" t="s">
        <v>2677</v>
      </c>
      <c r="C1196" s="10" t="s">
        <v>2678</v>
      </c>
      <c r="D1196" s="11">
        <v>42782.608796296299</v>
      </c>
      <c r="E1196" s="10" t="s">
        <v>2266</v>
      </c>
    </row>
    <row r="1197" spans="1:5">
      <c r="A1197" s="11">
        <v>42732</v>
      </c>
      <c r="B1197" s="10" t="s">
        <v>2679</v>
      </c>
      <c r="C1197" s="10" t="s">
        <v>2680</v>
      </c>
      <c r="D1197" s="11">
        <v>42781.79378472222</v>
      </c>
      <c r="E1197" s="10" t="s">
        <v>2186</v>
      </c>
    </row>
    <row r="1198" spans="1:5">
      <c r="A1198" s="11">
        <v>42732</v>
      </c>
      <c r="B1198" s="10" t="s">
        <v>2681</v>
      </c>
      <c r="C1198" s="10" t="s">
        <v>2682</v>
      </c>
      <c r="D1198" s="11">
        <v>42775.467372685183</v>
      </c>
      <c r="E1198" s="10" t="s">
        <v>2683</v>
      </c>
    </row>
    <row r="1199" spans="1:5" ht="21.6">
      <c r="A1199" s="11">
        <v>42732</v>
      </c>
      <c r="B1199" s="10" t="s">
        <v>2684</v>
      </c>
      <c r="C1199" s="10" t="s">
        <v>2685</v>
      </c>
      <c r="D1199" s="11">
        <v>42782.607453703706</v>
      </c>
      <c r="E1199" s="10" t="s">
        <v>165</v>
      </c>
    </row>
    <row r="1200" spans="1:5">
      <c r="A1200" s="11">
        <v>42732</v>
      </c>
      <c r="B1200" s="10" t="s">
        <v>2686</v>
      </c>
      <c r="C1200" s="10" t="s">
        <v>2687</v>
      </c>
      <c r="D1200" s="11">
        <v>42782.585520833331</v>
      </c>
      <c r="E1200" s="10" t="s">
        <v>2688</v>
      </c>
    </row>
    <row r="1201" spans="1:5">
      <c r="A1201" s="11">
        <v>42732</v>
      </c>
      <c r="B1201" s="10" t="s">
        <v>2689</v>
      </c>
      <c r="C1201" s="10" t="s">
        <v>2690</v>
      </c>
      <c r="D1201" s="11">
        <v>42781.785937499997</v>
      </c>
      <c r="E1201" s="10" t="s">
        <v>122</v>
      </c>
    </row>
    <row r="1202" spans="1:5">
      <c r="A1202" s="11">
        <v>42733</v>
      </c>
      <c r="B1202" s="10" t="s">
        <v>2691</v>
      </c>
      <c r="C1202" s="10" t="s">
        <v>2692</v>
      </c>
      <c r="D1202" s="11">
        <v>42778.654120370367</v>
      </c>
      <c r="E1202" s="10" t="s">
        <v>2693</v>
      </c>
    </row>
    <row r="1203" spans="1:5">
      <c r="A1203" s="11">
        <v>42733</v>
      </c>
      <c r="B1203" s="10" t="s">
        <v>2694</v>
      </c>
      <c r="C1203" s="10" t="s">
        <v>2695</v>
      </c>
      <c r="D1203" s="11">
        <v>42782.522696759261</v>
      </c>
      <c r="E1203" s="10" t="s">
        <v>240</v>
      </c>
    </row>
    <row r="1204" spans="1:5">
      <c r="A1204" s="11">
        <v>42733</v>
      </c>
      <c r="B1204" s="10" t="s">
        <v>2696</v>
      </c>
      <c r="C1204" s="10" t="s">
        <v>2697</v>
      </c>
      <c r="D1204" s="11">
        <v>42780.688090277778</v>
      </c>
      <c r="E1204" s="10" t="s">
        <v>237</v>
      </c>
    </row>
    <row r="1205" spans="1:5">
      <c r="A1205" s="11">
        <v>42733</v>
      </c>
      <c r="B1205" s="10" t="s">
        <v>2698</v>
      </c>
      <c r="C1205" s="10" t="s">
        <v>2699</v>
      </c>
      <c r="D1205" s="11">
        <v>42780.371782407405</v>
      </c>
      <c r="E1205" s="10" t="s">
        <v>99</v>
      </c>
    </row>
    <row r="1206" spans="1:5">
      <c r="A1206" s="11">
        <v>42733</v>
      </c>
      <c r="B1206" s="10" t="s">
        <v>2700</v>
      </c>
      <c r="C1206" s="10" t="s">
        <v>2701</v>
      </c>
      <c r="D1206" s="11">
        <v>42782.668865740743</v>
      </c>
      <c r="E1206" s="10" t="s">
        <v>2201</v>
      </c>
    </row>
    <row r="1207" spans="1:5">
      <c r="A1207" s="11">
        <v>42733</v>
      </c>
      <c r="B1207" s="10" t="s">
        <v>2702</v>
      </c>
      <c r="C1207" s="10" t="s">
        <v>2703</v>
      </c>
      <c r="D1207" s="11">
        <v>42780.588761574072</v>
      </c>
      <c r="E1207" s="10" t="s">
        <v>237</v>
      </c>
    </row>
    <row r="1208" spans="1:5">
      <c r="A1208" s="11">
        <v>42733</v>
      </c>
      <c r="B1208" s="10" t="s">
        <v>2704</v>
      </c>
      <c r="C1208" s="10" t="s">
        <v>2705</v>
      </c>
      <c r="D1208" s="11">
        <v>42780.516331018516</v>
      </c>
      <c r="E1208" s="10" t="s">
        <v>237</v>
      </c>
    </row>
    <row r="1209" spans="1:5">
      <c r="A1209" s="11">
        <v>42734</v>
      </c>
      <c r="B1209" s="10" t="s">
        <v>2706</v>
      </c>
      <c r="C1209" s="10" t="s">
        <v>2707</v>
      </c>
      <c r="D1209" s="11">
        <v>42781.464074074072</v>
      </c>
      <c r="E1209" s="10" t="s">
        <v>683</v>
      </c>
    </row>
    <row r="1210" spans="1:5">
      <c r="A1210" s="11">
        <v>42734</v>
      </c>
      <c r="B1210" s="10" t="s">
        <v>2708</v>
      </c>
      <c r="C1210" s="10" t="s">
        <v>2709</v>
      </c>
      <c r="D1210" s="11">
        <v>42782.489270833335</v>
      </c>
      <c r="E1210" s="10" t="s">
        <v>479</v>
      </c>
    </row>
    <row r="1211" spans="1:5">
      <c r="A1211" s="11">
        <v>42734</v>
      </c>
      <c r="B1211" s="10" t="s">
        <v>2710</v>
      </c>
      <c r="C1211" s="10" t="s">
        <v>2711</v>
      </c>
      <c r="D1211" s="11">
        <v>42780.76284722222</v>
      </c>
      <c r="E1211" s="10" t="s">
        <v>218</v>
      </c>
    </row>
    <row r="1212" spans="1:5">
      <c r="A1212" s="11">
        <v>42734</v>
      </c>
      <c r="B1212" s="10" t="s">
        <v>2712</v>
      </c>
      <c r="C1212" s="10" t="s">
        <v>2713</v>
      </c>
      <c r="D1212" s="11">
        <v>42780.708935185183</v>
      </c>
      <c r="E1212" s="10" t="s">
        <v>422</v>
      </c>
    </row>
    <row r="1213" spans="1:5">
      <c r="A1213" s="11">
        <v>42734</v>
      </c>
      <c r="B1213" s="10" t="s">
        <v>2714</v>
      </c>
      <c r="C1213" s="10" t="s">
        <v>2715</v>
      </c>
      <c r="D1213" s="11">
        <v>42782.368715277778</v>
      </c>
      <c r="E1213" s="10" t="s">
        <v>433</v>
      </c>
    </row>
    <row r="1214" spans="1:5">
      <c r="A1214" s="11">
        <v>42734</v>
      </c>
      <c r="B1214" s="10" t="s">
        <v>2716</v>
      </c>
      <c r="C1214" s="10" t="s">
        <v>2717</v>
      </c>
      <c r="D1214" s="11">
        <v>42781.791458333333</v>
      </c>
      <c r="E1214" s="10" t="s">
        <v>2515</v>
      </c>
    </row>
    <row r="1215" spans="1:5">
      <c r="A1215" s="11">
        <v>42734</v>
      </c>
      <c r="B1215" s="10" t="s">
        <v>2718</v>
      </c>
      <c r="C1215" s="10" t="s">
        <v>2719</v>
      </c>
      <c r="D1215" s="11">
        <v>42782.631840277776</v>
      </c>
      <c r="E1215" s="10" t="s">
        <v>152</v>
      </c>
    </row>
    <row r="1216" spans="1:5">
      <c r="A1216" s="11">
        <v>42734</v>
      </c>
      <c r="B1216" s="10" t="s">
        <v>2720</v>
      </c>
      <c r="C1216" s="10" t="s">
        <v>2721</v>
      </c>
      <c r="D1216" s="11">
        <v>42782.567141203705</v>
      </c>
      <c r="E1216" s="10" t="s">
        <v>380</v>
      </c>
    </row>
    <row r="1217" spans="1:5">
      <c r="A1217" s="11">
        <v>42735</v>
      </c>
      <c r="B1217" s="10" t="s">
        <v>2722</v>
      </c>
      <c r="C1217" s="10" t="s">
        <v>2723</v>
      </c>
      <c r="D1217" s="11">
        <v>42782.596354166664</v>
      </c>
      <c r="E1217" s="10" t="s">
        <v>2284</v>
      </c>
    </row>
    <row r="1218" spans="1:5">
      <c r="A1218" s="11">
        <v>42735</v>
      </c>
      <c r="B1218" s="10" t="s">
        <v>2724</v>
      </c>
      <c r="C1218" s="10" t="s">
        <v>2725</v>
      </c>
      <c r="D1218" s="11">
        <v>42782.499814814815</v>
      </c>
      <c r="E1218" s="10" t="s">
        <v>433</v>
      </c>
    </row>
    <row r="1219" spans="1:5">
      <c r="A1219" s="11">
        <v>42735</v>
      </c>
      <c r="B1219" s="10" t="s">
        <v>2726</v>
      </c>
      <c r="C1219" s="10" t="s">
        <v>2727</v>
      </c>
      <c r="D1219" s="11">
        <v>42782.687037037038</v>
      </c>
      <c r="E1219" s="10" t="s">
        <v>2554</v>
      </c>
    </row>
    <row r="1220" spans="1:5">
      <c r="A1220" s="11">
        <v>42735</v>
      </c>
      <c r="B1220" s="10" t="s">
        <v>2728</v>
      </c>
      <c r="C1220" s="10" t="s">
        <v>2729</v>
      </c>
      <c r="D1220" s="11">
        <v>42775.799027777779</v>
      </c>
      <c r="E1220" s="10" t="s">
        <v>1696</v>
      </c>
    </row>
    <row r="1221" spans="1:5">
      <c r="A1221" s="11">
        <v>42735</v>
      </c>
      <c r="B1221" s="10" t="s">
        <v>2730</v>
      </c>
      <c r="C1221" s="10" t="s">
        <v>2731</v>
      </c>
      <c r="D1221" s="11">
        <v>42782.41510416667</v>
      </c>
      <c r="E1221" s="10" t="s">
        <v>433</v>
      </c>
    </row>
    <row r="1222" spans="1:5">
      <c r="A1222" s="11">
        <v>42735</v>
      </c>
      <c r="B1222" s="10" t="s">
        <v>2732</v>
      </c>
      <c r="C1222" s="10" t="s">
        <v>2733</v>
      </c>
      <c r="D1222" s="11">
        <v>42758.785902777781</v>
      </c>
      <c r="E1222" s="10" t="s">
        <v>433</v>
      </c>
    </row>
    <row r="1223" spans="1:5">
      <c r="A1223" s="11">
        <v>42736</v>
      </c>
      <c r="B1223" s="10" t="s">
        <v>2734</v>
      </c>
      <c r="C1223" s="10" t="s">
        <v>2735</v>
      </c>
      <c r="D1223" s="11">
        <v>42780.932800925926</v>
      </c>
      <c r="E1223" s="10" t="s">
        <v>479</v>
      </c>
    </row>
    <row r="1224" spans="1:5">
      <c r="A1224" s="11">
        <v>42736</v>
      </c>
      <c r="B1224" s="10" t="s">
        <v>2736</v>
      </c>
      <c r="C1224" s="10" t="s">
        <v>2737</v>
      </c>
      <c r="D1224" s="11">
        <v>42781.997847222221</v>
      </c>
      <c r="E1224" s="10" t="s">
        <v>237</v>
      </c>
    </row>
    <row r="1225" spans="1:5">
      <c r="A1225" s="11">
        <v>42736</v>
      </c>
      <c r="B1225" s="10" t="s">
        <v>2738</v>
      </c>
      <c r="C1225" s="10" t="s">
        <v>2739</v>
      </c>
      <c r="D1225" s="11">
        <v>42782.687106481484</v>
      </c>
      <c r="E1225" s="10" t="s">
        <v>155</v>
      </c>
    </row>
    <row r="1226" spans="1:5">
      <c r="A1226" s="11">
        <v>42736</v>
      </c>
      <c r="B1226" s="10" t="s">
        <v>2740</v>
      </c>
      <c r="C1226" s="10" t="s">
        <v>2741</v>
      </c>
      <c r="D1226" s="11">
        <v>42779.571377314816</v>
      </c>
      <c r="E1226" s="10" t="s">
        <v>2742</v>
      </c>
    </row>
    <row r="1227" spans="1:5" ht="21.6">
      <c r="A1227" s="11">
        <v>42736</v>
      </c>
      <c r="B1227" s="10" t="s">
        <v>2743</v>
      </c>
      <c r="C1227" s="10" t="s">
        <v>2744</v>
      </c>
      <c r="D1227" s="11">
        <v>42782.619814814818</v>
      </c>
      <c r="E1227" s="10" t="s">
        <v>2554</v>
      </c>
    </row>
    <row r="1228" spans="1:5">
      <c r="A1228" s="11">
        <v>42736</v>
      </c>
      <c r="B1228" s="10" t="s">
        <v>2745</v>
      </c>
      <c r="C1228" s="10" t="s">
        <v>2746</v>
      </c>
      <c r="D1228" s="11">
        <v>42762.615532407406</v>
      </c>
      <c r="E1228" s="10" t="s">
        <v>422</v>
      </c>
    </row>
    <row r="1229" spans="1:5">
      <c r="A1229" s="11">
        <v>42736</v>
      </c>
      <c r="B1229" s="10" t="s">
        <v>2747</v>
      </c>
      <c r="C1229" s="10" t="s">
        <v>2748</v>
      </c>
      <c r="D1229" s="11">
        <v>42781.644537037035</v>
      </c>
      <c r="E1229" s="10" t="s">
        <v>2742</v>
      </c>
    </row>
    <row r="1230" spans="1:5">
      <c r="A1230" s="11">
        <v>42736</v>
      </c>
      <c r="B1230" s="10" t="s">
        <v>2749</v>
      </c>
      <c r="C1230" s="10" t="s">
        <v>2750</v>
      </c>
      <c r="D1230" s="11">
        <v>42779.577986111108</v>
      </c>
      <c r="E1230" s="10" t="s">
        <v>2201</v>
      </c>
    </row>
    <row r="1231" spans="1:5">
      <c r="A1231" s="11">
        <v>42737</v>
      </c>
      <c r="B1231" s="10" t="s">
        <v>2751</v>
      </c>
      <c r="C1231" s="10" t="s">
        <v>2752</v>
      </c>
      <c r="D1231" s="11">
        <v>42737.505995370368</v>
      </c>
      <c r="E1231" s="10" t="s">
        <v>218</v>
      </c>
    </row>
    <row r="1232" spans="1:5">
      <c r="A1232" s="11">
        <v>42737</v>
      </c>
      <c r="B1232" s="10" t="s">
        <v>2753</v>
      </c>
      <c r="C1232" s="10" t="s">
        <v>2754</v>
      </c>
      <c r="D1232" s="11">
        <v>42780.646851851852</v>
      </c>
      <c r="E1232" s="10" t="s">
        <v>240</v>
      </c>
    </row>
    <row r="1233" spans="1:5">
      <c r="A1233" s="11">
        <v>42737</v>
      </c>
      <c r="B1233" s="10" t="s">
        <v>2755</v>
      </c>
      <c r="C1233" s="10" t="s">
        <v>2756</v>
      </c>
      <c r="D1233" s="11">
        <v>42776.58185185185</v>
      </c>
      <c r="E1233" s="10" t="s">
        <v>155</v>
      </c>
    </row>
    <row r="1234" spans="1:5">
      <c r="A1234" s="11">
        <v>42737</v>
      </c>
      <c r="B1234" s="10" t="s">
        <v>2757</v>
      </c>
      <c r="C1234" s="10" t="s">
        <v>2758</v>
      </c>
      <c r="D1234" s="11">
        <v>42779.49523148148</v>
      </c>
      <c r="E1234" s="10" t="s">
        <v>212</v>
      </c>
    </row>
    <row r="1235" spans="1:5">
      <c r="A1235" s="11">
        <v>42737</v>
      </c>
      <c r="B1235" s="10" t="s">
        <v>2759</v>
      </c>
      <c r="C1235" s="10" t="s">
        <v>2760</v>
      </c>
      <c r="D1235" s="11">
        <v>42781.67695601852</v>
      </c>
      <c r="E1235" s="10" t="s">
        <v>1696</v>
      </c>
    </row>
    <row r="1236" spans="1:5">
      <c r="A1236" s="11">
        <v>42738</v>
      </c>
      <c r="B1236" s="10" t="s">
        <v>2761</v>
      </c>
      <c r="C1236" s="10" t="s">
        <v>2762</v>
      </c>
      <c r="D1236" s="11">
        <v>42782.438321759262</v>
      </c>
      <c r="E1236" s="10" t="s">
        <v>380</v>
      </c>
    </row>
    <row r="1237" spans="1:5">
      <c r="A1237" s="11">
        <v>42738</v>
      </c>
      <c r="B1237" s="10" t="s">
        <v>2763</v>
      </c>
      <c r="C1237" s="10" t="s">
        <v>2764</v>
      </c>
      <c r="D1237" s="11">
        <v>42779.702430555553</v>
      </c>
      <c r="E1237" s="10" t="s">
        <v>237</v>
      </c>
    </row>
    <row r="1238" spans="1:5">
      <c r="A1238" s="11">
        <v>42738</v>
      </c>
      <c r="B1238" s="10" t="s">
        <v>2765</v>
      </c>
      <c r="C1238" s="10" t="s">
        <v>2766</v>
      </c>
      <c r="D1238" s="11">
        <v>42781.806701388887</v>
      </c>
      <c r="E1238" s="10" t="s">
        <v>433</v>
      </c>
    </row>
    <row r="1239" spans="1:5">
      <c r="A1239" s="11">
        <v>42738</v>
      </c>
      <c r="B1239" s="10" t="s">
        <v>2767</v>
      </c>
      <c r="C1239" s="10" t="s">
        <v>2768</v>
      </c>
      <c r="D1239" s="11">
        <v>42782.67150462963</v>
      </c>
      <c r="E1239" s="10" t="s">
        <v>108</v>
      </c>
    </row>
    <row r="1240" spans="1:5">
      <c r="A1240" s="11">
        <v>42738</v>
      </c>
      <c r="B1240" s="10" t="s">
        <v>2769</v>
      </c>
      <c r="C1240" s="10" t="s">
        <v>2770</v>
      </c>
      <c r="D1240" s="11">
        <v>42780.946296296293</v>
      </c>
      <c r="E1240" s="10" t="s">
        <v>683</v>
      </c>
    </row>
    <row r="1241" spans="1:5">
      <c r="A1241" s="11">
        <v>42738</v>
      </c>
      <c r="B1241" s="10" t="s">
        <v>2771</v>
      </c>
      <c r="C1241" s="10" t="s">
        <v>2772</v>
      </c>
      <c r="D1241" s="11">
        <v>42778.476550925923</v>
      </c>
      <c r="E1241" s="10" t="s">
        <v>178</v>
      </c>
    </row>
    <row r="1242" spans="1:5">
      <c r="A1242" s="11">
        <v>42738</v>
      </c>
      <c r="B1242" s="10" t="s">
        <v>2773</v>
      </c>
      <c r="C1242" s="10" t="s">
        <v>2774</v>
      </c>
      <c r="D1242" s="11">
        <v>42778.473043981481</v>
      </c>
      <c r="E1242" s="10" t="s">
        <v>178</v>
      </c>
    </row>
    <row r="1243" spans="1:5">
      <c r="A1243" s="11">
        <v>42738</v>
      </c>
      <c r="B1243" s="10" t="s">
        <v>2775</v>
      </c>
      <c r="C1243" s="10" t="s">
        <v>2776</v>
      </c>
      <c r="D1243" s="11">
        <v>42738.734837962962</v>
      </c>
      <c r="E1243" s="10" t="s">
        <v>373</v>
      </c>
    </row>
    <row r="1244" spans="1:5">
      <c r="A1244" s="11">
        <v>42738</v>
      </c>
      <c r="B1244" s="10" t="s">
        <v>2777</v>
      </c>
      <c r="C1244" s="10" t="s">
        <v>2778</v>
      </c>
      <c r="D1244" s="11">
        <v>42782.700474537036</v>
      </c>
      <c r="E1244" s="10" t="s">
        <v>2180</v>
      </c>
    </row>
    <row r="1245" spans="1:5">
      <c r="A1245" s="11">
        <v>42738</v>
      </c>
      <c r="B1245" s="10" t="s">
        <v>2779</v>
      </c>
      <c r="C1245" s="10" t="s">
        <v>2780</v>
      </c>
      <c r="D1245" s="11">
        <v>42738.818645833337</v>
      </c>
      <c r="E1245" s="10" t="s">
        <v>240</v>
      </c>
    </row>
    <row r="1246" spans="1:5">
      <c r="A1246" s="11">
        <v>42739</v>
      </c>
      <c r="B1246" s="10" t="s">
        <v>2781</v>
      </c>
      <c r="C1246" s="10" t="s">
        <v>2782</v>
      </c>
      <c r="D1246" s="11">
        <v>42782.66678240741</v>
      </c>
      <c r="E1246" s="10" t="s">
        <v>155</v>
      </c>
    </row>
    <row r="1247" spans="1:5">
      <c r="A1247" s="11">
        <v>42739</v>
      </c>
      <c r="B1247" s="10" t="s">
        <v>2783</v>
      </c>
      <c r="C1247" s="10" t="s">
        <v>2784</v>
      </c>
      <c r="D1247" s="11">
        <v>42739.490358796298</v>
      </c>
      <c r="E1247" s="10" t="s">
        <v>365</v>
      </c>
    </row>
    <row r="1248" spans="1:5">
      <c r="A1248" s="11">
        <v>42739</v>
      </c>
      <c r="B1248" s="10" t="s">
        <v>2785</v>
      </c>
      <c r="C1248" s="10" t="s">
        <v>2786</v>
      </c>
      <c r="D1248" s="11">
        <v>42782.372800925928</v>
      </c>
      <c r="E1248" s="10" t="s">
        <v>2180</v>
      </c>
    </row>
    <row r="1249" spans="1:5">
      <c r="A1249" s="11">
        <v>42739</v>
      </c>
      <c r="B1249" s="10" t="s">
        <v>2787</v>
      </c>
      <c r="C1249" s="10" t="s">
        <v>2788</v>
      </c>
      <c r="D1249" s="11">
        <v>42780.659513888888</v>
      </c>
      <c r="E1249" s="10" t="s">
        <v>373</v>
      </c>
    </row>
    <row r="1250" spans="1:5">
      <c r="A1250" s="11">
        <v>42739</v>
      </c>
      <c r="B1250" s="10" t="s">
        <v>2789</v>
      </c>
      <c r="C1250" s="10" t="s">
        <v>2790</v>
      </c>
      <c r="D1250" s="11">
        <v>42782.489293981482</v>
      </c>
      <c r="E1250" s="10" t="s">
        <v>209</v>
      </c>
    </row>
    <row r="1251" spans="1:5">
      <c r="A1251" s="11">
        <v>42739</v>
      </c>
      <c r="B1251" s="10" t="s">
        <v>2791</v>
      </c>
      <c r="C1251" s="10" t="s">
        <v>2792</v>
      </c>
      <c r="D1251" s="11">
        <v>42782.667453703703</v>
      </c>
      <c r="E1251" s="10" t="s">
        <v>353</v>
      </c>
    </row>
    <row r="1252" spans="1:5">
      <c r="A1252" s="11">
        <v>42739</v>
      </c>
      <c r="B1252" s="10" t="s">
        <v>2793</v>
      </c>
      <c r="C1252" s="10" t="s">
        <v>2794</v>
      </c>
      <c r="D1252" s="11">
        <v>42782.54960648148</v>
      </c>
      <c r="E1252" s="10" t="s">
        <v>122</v>
      </c>
    </row>
    <row r="1253" spans="1:5">
      <c r="A1253" s="11">
        <v>42740</v>
      </c>
      <c r="B1253" s="10" t="s">
        <v>2795</v>
      </c>
      <c r="C1253" s="10" t="s">
        <v>2796</v>
      </c>
      <c r="D1253" s="11">
        <v>42740.518587962964</v>
      </c>
      <c r="E1253" s="10" t="s">
        <v>373</v>
      </c>
    </row>
    <row r="1254" spans="1:5">
     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t="s">
        <v>373</v>
      </c>
    </row>
    <row r="1255" spans="1:5">
      <c r="A1255" s="11">
        <v>42740</v>
      </c>
      <c r="B1255" s="10" t="s">
        <v>2799</v>
      </c>
      <c r="C1255" s="10" t="s">
        <v>2800</v>
      </c>
      <c r="D1255" s="11">
        <v>42740.592685185184</v>
      </c>
      <c r="E1255" s="10" t="s">
        <v>656</v>
      </c>
    </row>
    <row r="1256" spans="1:5">
      <c r="A1256" s="11">
        <v>42740</v>
      </c>
      <c r="B1256" s="10" t="s">
        <v>2801</v>
      </c>
      <c r="C1256" s="10" t="s">
        <v>2802</v>
      </c>
      <c r="D1256" s="11">
        <v>42779.685416666667</v>
      </c>
      <c r="E1256" s="10" t="s">
        <v>155</v>
      </c>
    </row>
    <row r="1257" spans="1:5">
      <c r="A1257" s="11">
        <v>42740</v>
      </c>
      <c r="B1257" s="10" t="s">
        <v>2803</v>
      </c>
      <c r="C1257" s="10" t="s">
        <v>2804</v>
      </c>
      <c r="D1257" s="11">
        <v>42782.519826388889</v>
      </c>
      <c r="E1257" s="10" t="s">
        <v>130</v>
      </c>
    </row>
    <row r="1258" spans="1:5">
      <c r="A1258" s="11">
        <v>42740</v>
      </c>
      <c r="B1258" s="10" t="s">
        <v>2805</v>
      </c>
      <c r="C1258" s="10" t="s">
        <v>2806</v>
      </c>
      <c r="D1258" s="11">
        <v>42782.689664351848</v>
      </c>
      <c r="E1258" s="10" t="s">
        <v>966</v>
      </c>
    </row>
    <row r="1259" spans="1:5">
      <c r="A1259" s="11">
        <v>42740</v>
      </c>
      <c r="B1259" s="10" t="s">
        <v>2807</v>
      </c>
      <c r="C1259" s="10" t="s">
        <v>2808</v>
      </c>
      <c r="D1259" s="11">
        <v>42782.462002314816</v>
      </c>
      <c r="E1259" s="10" t="s">
        <v>178</v>
      </c>
    </row>
    <row r="1260" spans="1:5">
      <c r="A1260" s="11">
        <v>42740</v>
      </c>
      <c r="B1260" s="10" t="s">
        <v>2809</v>
      </c>
      <c r="C1260" s="10" t="s">
        <v>2810</v>
      </c>
      <c r="D1260" s="11">
        <v>42782.650740740741</v>
      </c>
      <c r="E1260" s="10" t="s">
        <v>479</v>
      </c>
    </row>
    <row r="1261" spans="1:5">
      <c r="A1261" s="11">
        <v>42740</v>
      </c>
      <c r="B1261" s="10" t="s">
        <v>2811</v>
      </c>
      <c r="C1261" s="10" t="s">
        <v>2812</v>
      </c>
      <c r="D1261" s="11">
        <v>42781.538194444445</v>
      </c>
      <c r="E1261" s="10" t="s">
        <v>2284</v>
      </c>
    </row>
    <row r="1262" spans="1:5">
      <c r="A1262" s="11">
        <v>42741</v>
      </c>
      <c r="B1262" s="10" t="s">
        <v>2813</v>
      </c>
      <c r="C1262" s="10" t="s">
        <v>2814</v>
      </c>
      <c r="D1262" s="11">
        <v>42777.577523148146</v>
      </c>
      <c r="E1262" s="10" t="s">
        <v>683</v>
      </c>
    </row>
    <row r="1263" spans="1:5">
      <c r="A1263" s="11">
        <v>42741</v>
      </c>
      <c r="B1263" s="10" t="s">
        <v>2815</v>
      </c>
      <c r="C1263" s="10" t="s">
        <v>2816</v>
      </c>
      <c r="D1263" s="11">
        <v>42780.64707175926</v>
      </c>
      <c r="E1263" s="10" t="s">
        <v>902</v>
      </c>
    </row>
    <row r="1264" spans="1:5">
      <c r="A1264" s="11">
        <v>42741</v>
      </c>
      <c r="B1264" s="10" t="s">
        <v>2817</v>
      </c>
      <c r="C1264" s="10" t="s">
        <v>2818</v>
      </c>
      <c r="D1264" s="11">
        <v>42782.493344907409</v>
      </c>
      <c r="E1264" s="10" t="s">
        <v>2515</v>
      </c>
    </row>
    <row r="1265" spans="1:5">
      <c r="A1265" s="11">
        <v>42741</v>
      </c>
      <c r="B1265" s="10" t="s">
        <v>2819</v>
      </c>
      <c r="C1265" s="10" t="s">
        <v>2820</v>
      </c>
      <c r="D1265" s="11">
        <v>42780.564328703702</v>
      </c>
      <c r="E1265" s="10" t="s">
        <v>433</v>
      </c>
    </row>
    <row r="1266" spans="1:5">
      <c r="A1266" s="11">
        <v>42741</v>
      </c>
      <c r="B1266" s="10" t="s">
        <v>2821</v>
      </c>
      <c r="C1266" s="10" t="s">
        <v>2822</v>
      </c>
      <c r="D1266" s="11">
        <v>42775.672777777778</v>
      </c>
      <c r="E1266" s="10" t="s">
        <v>2823</v>
      </c>
    </row>
    <row r="1267" spans="1:5">
      <c r="A1267" s="11">
        <v>42741</v>
      </c>
      <c r="B1267" s="10" t="s">
        <v>2824</v>
      </c>
      <c r="C1267" s="10" t="s">
        <v>2825</v>
      </c>
      <c r="D1267" s="11">
        <v>42782.698020833333</v>
      </c>
      <c r="E1267" s="10" t="s">
        <v>218</v>
      </c>
    </row>
    <row r="1268" spans="1:5">
      <c r="A1268" s="11">
        <v>42741</v>
      </c>
      <c r="B1268" s="10" t="s">
        <v>2826</v>
      </c>
      <c r="C1268" s="10" t="s">
        <v>2827</v>
      </c>
      <c r="D1268" s="11">
        <v>42782.625752314816</v>
      </c>
      <c r="E1268" s="10" t="s">
        <v>2201</v>
      </c>
    </row>
    <row r="1269" spans="1:5">
      <c r="A1269" s="11">
        <v>42741</v>
      </c>
      <c r="B1269" s="10" t="s">
        <v>2828</v>
      </c>
      <c r="C1269" s="10" t="s">
        <v>2829</v>
      </c>
      <c r="D1269" s="11">
        <v>42781.717534722222</v>
      </c>
      <c r="E1269" s="10" t="s">
        <v>193</v>
      </c>
    </row>
    <row r="1270" spans="1:5">
      <c r="A1270" s="11">
        <v>42741</v>
      </c>
      <c r="B1270" s="10" t="s">
        <v>2830</v>
      </c>
      <c r="C1270" s="10" t="s">
        <v>2831</v>
      </c>
      <c r="D1270" s="11">
        <v>42780.700474537036</v>
      </c>
      <c r="E1270" s="10" t="s">
        <v>373</v>
      </c>
    </row>
    <row r="1271" spans="1:5">
      <c r="A1271" s="11">
        <v>42741</v>
      </c>
      <c r="B1271" s="10" t="s">
        <v>2832</v>
      </c>
      <c r="C1271" s="10" t="s">
        <v>2833</v>
      </c>
      <c r="D1271" s="11">
        <v>42778.654189814813</v>
      </c>
      <c r="E1271" s="10" t="s">
        <v>902</v>
      </c>
    </row>
    <row r="1272" spans="1:5">
      <c r="A1272" s="11">
        <v>42742</v>
      </c>
      <c r="B1272" s="10" t="s">
        <v>2834</v>
      </c>
      <c r="C1272" s="10" t="s">
        <v>2835</v>
      </c>
      <c r="D1272" s="11">
        <v>42782.422488425924</v>
      </c>
      <c r="E1272" s="10" t="s">
        <v>2201</v>
      </c>
    </row>
    <row r="1273" spans="1:5">
      <c r="A1273" s="11">
        <v>42742</v>
      </c>
      <c r="B1273" s="10" t="s">
        <v>2836</v>
      </c>
      <c r="C1273" s="10" t="s">
        <v>2837</v>
      </c>
      <c r="D1273" s="11">
        <v>42775.872881944444</v>
      </c>
      <c r="E1273" s="10" t="s">
        <v>2183</v>
      </c>
    </row>
    <row r="1274" spans="1:5">
      <c r="A1274" s="11">
        <v>42742</v>
      </c>
      <c r="B1274" s="10" t="s">
        <v>2838</v>
      </c>
      <c r="C1274" s="10" t="s">
        <v>2839</v>
      </c>
      <c r="D1274" s="11">
        <v>42782.655057870368</v>
      </c>
      <c r="E1274" s="10" t="s">
        <v>2201</v>
      </c>
    </row>
    <row r="1275" spans="1:5">
      <c r="A1275" s="11">
        <v>42742</v>
      </c>
      <c r="B1275" s="10" t="s">
        <v>2840</v>
      </c>
      <c r="C1275" s="10" t="s">
        <v>2841</v>
      </c>
      <c r="D1275" s="11">
        <v>42779.754166666666</v>
      </c>
      <c r="E1275" s="10" t="s">
        <v>212</v>
      </c>
    </row>
    <row r="1276" spans="1:5">
      <c r="A1276" s="11">
        <v>42742</v>
      </c>
      <c r="B1276" s="10" t="s">
        <v>2842</v>
      </c>
      <c r="C1276" s="10" t="s">
        <v>2843</v>
      </c>
      <c r="D1276" s="11">
        <v>42782.653587962966</v>
      </c>
      <c r="E1276" s="10" t="s">
        <v>2844</v>
      </c>
    </row>
    <row r="1277" spans="1:5">
      <c r="A1277" s="11">
        <v>42742</v>
      </c>
      <c r="B1277" s="10" t="s">
        <v>2845</v>
      </c>
      <c r="C1277" s="10" t="s">
        <v>2846</v>
      </c>
      <c r="D1277" s="11">
        <v>42780.779432870368</v>
      </c>
      <c r="E1277" s="10" t="s">
        <v>373</v>
      </c>
    </row>
    <row r="1278" spans="1:5">
      <c r="A1278" s="11">
        <v>42742</v>
      </c>
      <c r="B1278" s="10" t="s">
        <v>2847</v>
      </c>
      <c r="C1278" s="10" t="s">
        <v>2848</v>
      </c>
      <c r="D1278" s="11">
        <v>42780.443657407406</v>
      </c>
      <c r="E1278" s="10" t="s">
        <v>365</v>
      </c>
    </row>
    <row r="1279" spans="1:5">
      <c r="A1279" s="11">
        <v>42742</v>
      </c>
      <c r="B1279" s="10" t="s">
        <v>2849</v>
      </c>
      <c r="C1279" s="10" t="s">
        <v>2850</v>
      </c>
      <c r="D1279" s="11">
        <v>42780.443981481483</v>
      </c>
      <c r="E1279" s="10" t="s">
        <v>365</v>
      </c>
    </row>
    <row r="1280" spans="1:5">
      <c r="A1280" s="11">
        <v>42742</v>
      </c>
      <c r="B1280" s="10" t="s">
        <v>2851</v>
      </c>
      <c r="C1280" s="10" t="s">
        <v>2852</v>
      </c>
      <c r="D1280" s="11">
        <v>42782.405509259261</v>
      </c>
      <c r="E1280" s="10" t="s">
        <v>122</v>
      </c>
    </row>
    <row r="1281" spans="1:5">
      <c r="A1281" s="11">
        <v>42742</v>
      </c>
      <c r="B1281" s="10" t="s">
        <v>2853</v>
      </c>
      <c r="C1281" s="10" t="s">
        <v>2854</v>
      </c>
      <c r="D1281" s="11">
        <v>42781.732638888891</v>
      </c>
      <c r="E1281" s="10" t="s">
        <v>240</v>
      </c>
    </row>
    <row r="1282" spans="1:5">
      <c r="A1282" s="11">
        <v>42742</v>
      </c>
      <c r="B1282" s="10" t="s">
        <v>2855</v>
      </c>
      <c r="C1282" s="10" t="s">
        <v>2856</v>
      </c>
      <c r="D1282" s="11">
        <v>42781.890011574076</v>
      </c>
      <c r="E1282" s="10" t="s">
        <v>1190</v>
      </c>
    </row>
    <row r="1283" spans="1:5">
      <c r="A1283" s="11">
        <v>42743</v>
      </c>
      <c r="B1283" s="10" t="s">
        <v>2857</v>
      </c>
      <c r="C1283" s="10" t="s">
        <v>2858</v>
      </c>
      <c r="D1283" s="11">
        <v>42782.659143518518</v>
      </c>
      <c r="E1283" s="10" t="s">
        <v>2180</v>
      </c>
    </row>
    <row r="1284" spans="1:5">
      <c r="A1284" s="11">
        <v>42743</v>
      </c>
      <c r="B1284" s="10" t="s">
        <v>2859</v>
      </c>
      <c r="C1284" s="10" t="s">
        <v>2860</v>
      </c>
      <c r="D1284" s="11">
        <v>42782.661319444444</v>
      </c>
      <c r="E1284" s="10" t="s">
        <v>2180</v>
      </c>
    </row>
    <row r="1285" spans="1:5">
      <c r="A1285" s="11">
        <v>42743</v>
      </c>
      <c r="B1285" s="10" t="s">
        <v>2861</v>
      </c>
      <c r="C1285" s="10" t="s">
        <v>2862</v>
      </c>
      <c r="D1285" s="11">
        <v>42778.757245370369</v>
      </c>
      <c r="E1285" s="10" t="s">
        <v>215</v>
      </c>
    </row>
    <row r="1286" spans="1:5">
      <c r="A1286" s="11">
        <v>42743</v>
      </c>
      <c r="B1286" s="10" t="s">
        <v>2863</v>
      </c>
      <c r="C1286" s="10" t="s">
        <v>2864</v>
      </c>
      <c r="D1286" s="11">
        <v>42778.757025462961</v>
      </c>
      <c r="E1286" s="10" t="s">
        <v>2865</v>
      </c>
    </row>
    <row r="1287" spans="1:5">
      <c r="A1287" s="11">
        <v>42743</v>
      </c>
      <c r="B1287" s="10" t="s">
        <v>2866</v>
      </c>
      <c r="C1287" s="10" t="s">
        <v>2867</v>
      </c>
      <c r="D1287" s="11">
        <v>42780.733530092592</v>
      </c>
      <c r="E1287" s="10" t="s">
        <v>656</v>
      </c>
    </row>
    <row r="1288" spans="1:5">
      <c r="A1288" s="11">
        <v>42743</v>
      </c>
      <c r="B1288" s="10" t="s">
        <v>2868</v>
      </c>
      <c r="C1288" s="10" t="s">
        <v>2869</v>
      </c>
      <c r="D1288" s="11">
        <v>42773.90520833333</v>
      </c>
      <c r="E1288" s="10" t="s">
        <v>320</v>
      </c>
    </row>
    <row r="1289" spans="1:5">
      <c r="A1289" s="11">
        <v>42743</v>
      </c>
      <c r="B1289" s="10" t="s">
        <v>2870</v>
      </c>
      <c r="C1289" s="10" t="s">
        <v>2871</v>
      </c>
      <c r="D1289" s="11">
        <v>42776.506782407407</v>
      </c>
      <c r="E1289" s="10" t="s">
        <v>2515</v>
      </c>
    </row>
    <row r="1290" spans="1:5">
      <c r="A1290" s="11">
        <v>42743</v>
      </c>
      <c r="B1290" s="10" t="s">
        <v>2872</v>
      </c>
      <c r="C1290" s="10" t="s">
        <v>2873</v>
      </c>
      <c r="D1290" s="11">
        <v>42778.528553240743</v>
      </c>
      <c r="E1290" s="10" t="s">
        <v>2277</v>
      </c>
    </row>
    <row r="1291" spans="1:5">
      <c r="A1291" s="11">
        <v>42743</v>
      </c>
      <c r="B1291" s="10" t="s">
        <v>2874</v>
      </c>
      <c r="C1291" s="10" t="s">
        <v>2875</v>
      </c>
      <c r="D1291" s="11">
        <v>42782.621458333335</v>
      </c>
      <c r="E1291" s="10" t="s">
        <v>2201</v>
      </c>
    </row>
    <row r="1292" spans="1:5">
      <c r="A1292" s="11">
        <v>42743</v>
      </c>
      <c r="B1292" s="10" t="s">
        <v>2876</v>
      </c>
      <c r="C1292" s="10" t="s">
        <v>2877</v>
      </c>
      <c r="D1292" s="11">
        <v>42780.609942129631</v>
      </c>
      <c r="E1292" s="10" t="s">
        <v>1103</v>
      </c>
    </row>
    <row r="1293" spans="1:5">
      <c r="A1293" s="11">
        <v>42743</v>
      </c>
      <c r="B1293" s="10" t="s">
        <v>2878</v>
      </c>
      <c r="C1293" s="10" t="s">
        <v>2879</v>
      </c>
      <c r="D1293" s="11">
        <v>42779.997106481482</v>
      </c>
      <c r="E1293" s="10" t="s">
        <v>237</v>
      </c>
    </row>
    <row r="1294" spans="1:5">
      <c r="A1294" s="11">
        <v>42743</v>
      </c>
      <c r="B1294" s="10" t="s">
        <v>2880</v>
      </c>
      <c r="C1294" s="10" t="s">
        <v>2881</v>
      </c>
      <c r="D1294" s="11">
        <v>42782.608773148146</v>
      </c>
      <c r="E1294" s="10" t="s">
        <v>237</v>
      </c>
    </row>
    <row r="1295" spans="1:5">
      <c r="A1295" s="11">
        <v>42743</v>
      </c>
      <c r="B1295" s="10" t="s">
        <v>2882</v>
      </c>
      <c r="C1295" s="10" t="s">
        <v>2883</v>
      </c>
      <c r="D1295" s="11">
        <v>42780.546736111108</v>
      </c>
      <c r="E1295" s="10" t="s">
        <v>1103</v>
      </c>
    </row>
    <row r="1296" spans="1:5">
      <c r="A1296" s="11">
        <v>42743</v>
      </c>
      <c r="B1296" s="10" t="s">
        <v>2884</v>
      </c>
      <c r="C1296" s="10" t="s">
        <v>2885</v>
      </c>
      <c r="D1296" s="11">
        <v>42782.552997685183</v>
      </c>
      <c r="E1296" s="10" t="s">
        <v>2180</v>
      </c>
    </row>
    <row r="1297" spans="1:5">
      <c r="A1297" s="11">
        <v>42743</v>
      </c>
      <c r="B1297" s="10" t="s">
        <v>2886</v>
      </c>
      <c r="C1297" s="10" t="s">
        <v>2887</v>
      </c>
      <c r="D1297" s="11">
        <v>42781.908541666664</v>
      </c>
      <c r="E1297" s="10" t="s">
        <v>433</v>
      </c>
    </row>
    <row r="1298" spans="1:5">
      <c r="A1298" s="11">
        <v>42743</v>
      </c>
      <c r="B1298" s="10" t="s">
        <v>2888</v>
      </c>
      <c r="C1298" s="10" t="s">
        <v>2889</v>
      </c>
      <c r="D1298" s="11">
        <v>42781.44866898148</v>
      </c>
      <c r="E1298" s="10" t="s">
        <v>902</v>
      </c>
    </row>
    <row r="1299" spans="1:5">
      <c r="A1299" s="11">
        <v>42744</v>
      </c>
      <c r="B1299" s="10" t="s">
        <v>2890</v>
      </c>
      <c r="C1299" s="10" t="s">
        <v>2891</v>
      </c>
      <c r="D1299" s="11">
        <v>42780.444965277777</v>
      </c>
      <c r="E1299" s="10" t="s">
        <v>122</v>
      </c>
    </row>
    <row r="1300" spans="1:5">
      <c r="A1300" s="11">
        <v>42744</v>
      </c>
      <c r="B1300" s="10" t="s">
        <v>2892</v>
      </c>
      <c r="C1300" s="10" t="s">
        <v>2893</v>
      </c>
      <c r="D1300" s="11">
        <v>42780.832129629627</v>
      </c>
      <c r="E1300" s="10" t="s">
        <v>2139</v>
      </c>
    </row>
    <row r="1301" spans="1:5">
      <c r="A1301" s="11">
        <v>42744</v>
      </c>
      <c r="B1301" s="10" t="s">
        <v>2894</v>
      </c>
      <c r="C1301" s="10" t="s">
        <v>2895</v>
      </c>
      <c r="D1301" s="11">
        <v>42778.643240740741</v>
      </c>
      <c r="E1301" s="10" t="s">
        <v>902</v>
      </c>
    </row>
    <row r="1302" spans="1:5">
      <c r="A1302" s="11">
        <v>42744</v>
      </c>
      <c r="B1302" s="10" t="s">
        <v>2896</v>
      </c>
      <c r="C1302" s="10" t="s">
        <v>2897</v>
      </c>
      <c r="D1302" s="11">
        <v>42782.556354166663</v>
      </c>
      <c r="E1302" s="10" t="s">
        <v>380</v>
      </c>
    </row>
    <row r="1303" spans="1:5">
      <c r="A1303" s="11">
        <v>42744</v>
      </c>
      <c r="B1303" s="10" t="s">
        <v>2898</v>
      </c>
      <c r="C1303" s="10" t="s">
        <v>2899</v>
      </c>
      <c r="D1303" s="11">
        <v>42780.522870370369</v>
      </c>
      <c r="E1303" s="10" t="s">
        <v>2201</v>
      </c>
    </row>
    <row r="1304" spans="1:5" ht="21.6">
      <c r="A1304" s="11">
        <v>42744</v>
      </c>
      <c r="B1304" s="10" t="s">
        <v>2900</v>
      </c>
      <c r="C1304" s="10" t="s">
        <v>2901</v>
      </c>
      <c r="D1304" s="11">
        <v>42782.507962962962</v>
      </c>
      <c r="E1304" s="10" t="s">
        <v>171</v>
      </c>
    </row>
    <row r="1305" spans="1:5">
      <c r="A1305" s="11">
        <v>42744</v>
      </c>
      <c r="B1305" s="10" t="s">
        <v>2902</v>
      </c>
      <c r="C1305" s="10" t="s">
        <v>2903</v>
      </c>
      <c r="D1305" s="11">
        <v>42782.506851851853</v>
      </c>
      <c r="E1305" s="10" t="s">
        <v>1103</v>
      </c>
    </row>
    <row r="1306" spans="1:5">
      <c r="A1306" s="11">
        <v>42744</v>
      </c>
      <c r="B1306" s="10" t="s">
        <v>2904</v>
      </c>
      <c r="C1306" s="10" t="s">
        <v>2905</v>
      </c>
      <c r="D1306" s="11">
        <v>42781.551851851851</v>
      </c>
      <c r="E1306" s="10" t="s">
        <v>433</v>
      </c>
    </row>
    <row r="1307" spans="1:5">
      <c r="A1307" s="11">
        <v>42744</v>
      </c>
      <c r="B1307" s="10" t="s">
        <v>2906</v>
      </c>
      <c r="C1307" s="10" t="s">
        <v>2907</v>
      </c>
      <c r="D1307" s="11">
        <v>42781.679895833331</v>
      </c>
      <c r="E1307" s="10" t="s">
        <v>2266</v>
      </c>
    </row>
    <row r="1308" spans="1:5">
      <c r="A1308" s="11">
        <v>42744</v>
      </c>
      <c r="B1308" s="10" t="s">
        <v>2908</v>
      </c>
      <c r="C1308" s="10" t="s">
        <v>2909</v>
      </c>
      <c r="D1308" s="11">
        <v>42782.652997685182</v>
      </c>
      <c r="E1308" s="10" t="s">
        <v>422</v>
      </c>
    </row>
    <row r="1309" spans="1:5">
      <c r="A1309" s="11">
        <v>42744</v>
      </c>
      <c r="B1309" s="10" t="s">
        <v>2910</v>
      </c>
      <c r="C1309" s="10" t="s">
        <v>2911</v>
      </c>
      <c r="D1309" s="11">
        <v>42782.55027777778</v>
      </c>
      <c r="E1309" s="10" t="s">
        <v>2912</v>
      </c>
    </row>
    <row r="1310" spans="1:5">
      <c r="A1310" s="11">
        <v>42744</v>
      </c>
      <c r="B1310" s="10" t="s">
        <v>2913</v>
      </c>
      <c r="C1310" s="10" t="s">
        <v>2914</v>
      </c>
      <c r="D1310" s="11">
        <v>42782.423576388886</v>
      </c>
      <c r="E1310" s="10" t="s">
        <v>237</v>
      </c>
    </row>
    <row r="1311" spans="1:5">
      <c r="A1311" s="11">
        <v>42744</v>
      </c>
      <c r="B1311" s="10" t="s">
        <v>2915</v>
      </c>
      <c r="C1311" s="10" t="s">
        <v>2916</v>
      </c>
      <c r="D1311" s="11">
        <v>42780.81523148148</v>
      </c>
      <c r="E1311" s="10" t="s">
        <v>155</v>
      </c>
    </row>
    <row r="1312" spans="1:5">
      <c r="A1312" s="11">
        <v>42744</v>
      </c>
      <c r="B1312" s="10" t="s">
        <v>2917</v>
      </c>
      <c r="C1312" s="10" t="s">
        <v>2918</v>
      </c>
      <c r="D1312" s="11">
        <v>42782.438449074078</v>
      </c>
      <c r="E1312" s="10" t="s">
        <v>2515</v>
      </c>
    </row>
    <row r="1313" spans="1:5">
      <c r="A1313" s="11">
        <v>42744</v>
      </c>
      <c r="B1313" s="10" t="s">
        <v>2919</v>
      </c>
      <c r="C1313" s="10" t="s">
        <v>2920</v>
      </c>
      <c r="D1313" s="11">
        <v>42773.895810185182</v>
      </c>
      <c r="E1313" s="10" t="s">
        <v>1190</v>
      </c>
    </row>
    <row r="1314" spans="1:5">
      <c r="A1314" s="11">
        <v>42744</v>
      </c>
      <c r="B1314" s="10" t="s">
        <v>2921</v>
      </c>
      <c r="C1314" s="10" t="s">
        <v>2922</v>
      </c>
      <c r="D1314" s="11">
        <v>42781.908553240741</v>
      </c>
      <c r="E1314" s="10" t="s">
        <v>433</v>
      </c>
    </row>
    <row r="1315" spans="1:5">
      <c r="A1315" s="11">
        <v>42745</v>
      </c>
      <c r="B1315" s="10" t="s">
        <v>2923</v>
      </c>
      <c r="C1315" s="10" t="s">
        <v>2924</v>
      </c>
      <c r="D1315" s="11">
        <v>42782.521273148152</v>
      </c>
      <c r="E1315" s="10" t="s">
        <v>308</v>
      </c>
    </row>
    <row r="1316" spans="1:5">
      <c r="A1316" s="11">
        <v>42745</v>
      </c>
      <c r="B1316" s="10" t="s">
        <v>2925</v>
      </c>
      <c r="C1316" s="10" t="s">
        <v>2926</v>
      </c>
      <c r="D1316" s="11">
        <v>42782.41574074074</v>
      </c>
      <c r="E1316" s="10" t="s">
        <v>433</v>
      </c>
    </row>
    <row r="1317" spans="1:5">
      <c r="A1317" s="11">
        <v>42745</v>
      </c>
      <c r="B1317" s="10" t="s">
        <v>2927</v>
      </c>
      <c r="C1317" s="10" t="s">
        <v>2928</v>
      </c>
      <c r="D1317" s="11">
        <v>42780.374166666668</v>
      </c>
      <c r="E1317" s="10" t="s">
        <v>433</v>
      </c>
    </row>
    <row r="1318" spans="1:5">
      <c r="A1318" s="11">
        <v>42745</v>
      </c>
      <c r="B1318" s="10" t="s">
        <v>2929</v>
      </c>
      <c r="C1318" s="10" t="s">
        <v>2930</v>
      </c>
      <c r="D1318" s="11">
        <v>42782.677581018521</v>
      </c>
      <c r="E1318" s="10" t="s">
        <v>237</v>
      </c>
    </row>
    <row r="1319" spans="1:5">
      <c r="A1319" s="11">
        <v>42745</v>
      </c>
      <c r="B1319" s="10" t="s">
        <v>2931</v>
      </c>
      <c r="C1319" s="10" t="s">
        <v>2932</v>
      </c>
      <c r="D1319" s="11">
        <v>42782.473738425928</v>
      </c>
      <c r="E1319" s="10" t="s">
        <v>122</v>
      </c>
    </row>
    <row r="1320" spans="1:5">
      <c r="A1320" s="11">
        <v>42745</v>
      </c>
      <c r="B1320" s="10" t="s">
        <v>2933</v>
      </c>
      <c r="C1320" s="10" t="s">
        <v>2934</v>
      </c>
      <c r="D1320" s="11">
        <v>42782.636064814818</v>
      </c>
      <c r="E1320" s="10" t="s">
        <v>122</v>
      </c>
    </row>
    <row r="1321" spans="1:5">
      <c r="A1321" s="11">
        <v>42745</v>
      </c>
      <c r="B1321" s="10" t="s">
        <v>2935</v>
      </c>
      <c r="C1321" s="10" t="s">
        <v>2936</v>
      </c>
      <c r="D1321" s="11">
        <v>42782.635787037034</v>
      </c>
      <c r="E1321" s="10" t="s">
        <v>2515</v>
      </c>
    </row>
    <row r="1322" spans="1:5">
      <c r="A1322" s="11">
        <v>42745</v>
      </c>
      <c r="B1322" s="10" t="s">
        <v>2937</v>
      </c>
      <c r="C1322" s="10" t="s">
        <v>2938</v>
      </c>
      <c r="D1322" s="11">
        <v>42782.64565972222</v>
      </c>
      <c r="E1322" s="10" t="s">
        <v>2139</v>
      </c>
    </row>
    <row r="1323" spans="1:5" ht="21.6">
      <c r="A1323" s="11">
        <v>42745</v>
      </c>
      <c r="B1323" s="10" t="s">
        <v>2939</v>
      </c>
      <c r="C1323" s="10" t="s">
        <v>2940</v>
      </c>
      <c r="D1323" s="11">
        <v>42782.485439814816</v>
      </c>
      <c r="E1323" s="10" t="s">
        <v>203</v>
      </c>
    </row>
    <row r="1324" spans="1:5">
      <c r="A1324" s="11">
        <v>42745</v>
      </c>
      <c r="B1324" s="10" t="s">
        <v>2941</v>
      </c>
      <c r="C1324" s="10" t="s">
        <v>2942</v>
      </c>
      <c r="D1324" s="11">
        <v>42782.414837962962</v>
      </c>
      <c r="E1324" s="10" t="s">
        <v>2234</v>
      </c>
    </row>
    <row r="1325" spans="1:5">
      <c r="A1325" s="11">
        <v>42745</v>
      </c>
      <c r="B1325" s="10" t="s">
        <v>2943</v>
      </c>
      <c r="C1325" s="10" t="s">
        <v>2944</v>
      </c>
      <c r="D1325" s="11">
        <v>42782.448530092595</v>
      </c>
      <c r="E1325" s="10" t="s">
        <v>99</v>
      </c>
    </row>
    <row r="1326" spans="1:5">
      <c r="A1326" s="11">
        <v>42745</v>
      </c>
      <c r="B1326" s="10" t="s">
        <v>2945</v>
      </c>
      <c r="C1326" s="10" t="s">
        <v>2946</v>
      </c>
      <c r="D1326" s="11">
        <v>42780.650868055556</v>
      </c>
      <c r="E1326" s="10" t="s">
        <v>237</v>
      </c>
    </row>
    <row r="1327" spans="1:5">
      <c r="A1327" s="11">
        <v>42745</v>
      </c>
      <c r="B1327" s="10" t="s">
        <v>2947</v>
      </c>
      <c r="C1327" s="10" t="s">
        <v>2948</v>
      </c>
      <c r="D1327" s="11">
        <v>42780.735613425924</v>
      </c>
      <c r="E1327" s="10" t="s">
        <v>656</v>
      </c>
    </row>
    <row r="1328" spans="1:5" ht="21.6">
      <c r="A1328" s="11">
        <v>42745</v>
      </c>
      <c r="B1328" s="10" t="s">
        <v>2949</v>
      </c>
      <c r="C1328" s="10" t="s">
        <v>2950</v>
      </c>
      <c r="D1328" s="11">
        <v>42781.803217592591</v>
      </c>
      <c r="E1328" s="10" t="s">
        <v>559</v>
      </c>
    </row>
    <row r="1329" spans="1:5">
      <c r="A1329" s="11">
        <v>42745</v>
      </c>
      <c r="B1329" s="10" t="s">
        <v>2951</v>
      </c>
      <c r="C1329" s="10" t="s">
        <v>2952</v>
      </c>
      <c r="D1329" s="11">
        <v>42782.337719907409</v>
      </c>
      <c r="E1329" s="10" t="s">
        <v>320</v>
      </c>
    </row>
    <row r="1330" spans="1:5">
      <c r="A1330" s="11">
        <v>42746</v>
      </c>
      <c r="B1330" s="10" t="s">
        <v>2953</v>
      </c>
      <c r="C1330" s="10" t="s">
        <v>2954</v>
      </c>
      <c r="D1330" s="11">
        <v>42781.721412037034</v>
      </c>
      <c r="E1330" s="10" t="s">
        <v>99</v>
      </c>
    </row>
    <row r="1331" spans="1:5">
      <c r="A1331" s="11">
        <v>42746</v>
      </c>
      <c r="B1331" s="10" t="s">
        <v>2955</v>
      </c>
      <c r="C1331" s="10" t="s">
        <v>2956</v>
      </c>
      <c r="D1331" s="11">
        <v>42781.744664351849</v>
      </c>
      <c r="E1331" s="10" t="s">
        <v>237</v>
      </c>
    </row>
    <row r="1332" spans="1:5">
      <c r="A1332" s="11">
        <v>42746</v>
      </c>
      <c r="B1332" s="10" t="s">
        <v>2957</v>
      </c>
      <c r="C1332" s="10" t="s">
        <v>2958</v>
      </c>
      <c r="D1332" s="11">
        <v>42781.690324074072</v>
      </c>
      <c r="E1332" s="10" t="s">
        <v>433</v>
      </c>
    </row>
    <row r="1333" spans="1:5">
      <c r="A1333" s="11">
        <v>42746</v>
      </c>
      <c r="B1333" s="10" t="s">
        <v>2959</v>
      </c>
      <c r="C1333" s="10" t="s">
        <v>2960</v>
      </c>
      <c r="D1333" s="11">
        <v>42782.529918981483</v>
      </c>
      <c r="E1333" s="10" t="s">
        <v>2124</v>
      </c>
    </row>
    <row r="1334" spans="1:5">
      <c r="A1334" s="11">
        <v>42746</v>
      </c>
      <c r="B1334" s="10" t="s">
        <v>2961</v>
      </c>
      <c r="C1334" s="10" t="s">
        <v>2962</v>
      </c>
      <c r="D1334" s="11">
        <v>42781.53334490741</v>
      </c>
      <c r="E1334" s="10" t="s">
        <v>2963</v>
      </c>
    </row>
    <row r="1335" spans="1:5">
      <c r="A1335" s="11">
        <v>42746</v>
      </c>
      <c r="B1335" s="10" t="s">
        <v>2964</v>
      </c>
      <c r="C1335" s="10" t="s">
        <v>2965</v>
      </c>
      <c r="D1335" s="11">
        <v>42782.519050925926</v>
      </c>
      <c r="E1335" s="10" t="s">
        <v>122</v>
      </c>
    </row>
    <row r="1336" spans="1:5">
      <c r="A1336" s="11">
        <v>42746</v>
      </c>
      <c r="B1336" s="10" t="s">
        <v>2966</v>
      </c>
      <c r="C1336" s="10" t="s">
        <v>2967</v>
      </c>
      <c r="D1336" s="11">
        <v>42782.678611111114</v>
      </c>
      <c r="E1336" s="10" t="s">
        <v>122</v>
      </c>
    </row>
    <row r="1337" spans="1:5">
      <c r="A1337" s="11">
        <v>42746</v>
      </c>
      <c r="B1337" s="10" t="s">
        <v>2968</v>
      </c>
      <c r="C1337" s="10" t="s">
        <v>2969</v>
      </c>
      <c r="D1337" s="11">
        <v>42782.7033912037</v>
      </c>
      <c r="E1337" s="10" t="s">
        <v>656</v>
      </c>
    </row>
    <row r="1338" spans="1:5">
      <c r="A1338" s="11">
        <v>42746</v>
      </c>
      <c r="B1338" s="10" t="s">
        <v>2970</v>
      </c>
      <c r="C1338" s="10" t="s">
        <v>2971</v>
      </c>
      <c r="D1338" s="11">
        <v>42782.703159722223</v>
      </c>
      <c r="E1338" s="10" t="s">
        <v>656</v>
      </c>
    </row>
    <row r="1339" spans="1:5">
      <c r="A1339" s="11">
        <v>42746</v>
      </c>
      <c r="B1339" s="10" t="s">
        <v>2972</v>
      </c>
      <c r="C1339" s="10" t="s">
        <v>2973</v>
      </c>
      <c r="D1339" s="11">
        <v>42781.769907407404</v>
      </c>
      <c r="E1339" s="10" t="s">
        <v>433</v>
      </c>
    </row>
    <row r="1340" spans="1:5">
      <c r="A1340" s="11">
        <v>42746</v>
      </c>
      <c r="B1340" s="10" t="s">
        <v>2974</v>
      </c>
      <c r="C1340" s="10" t="s">
        <v>2975</v>
      </c>
      <c r="D1340" s="11">
        <v>42782.541956018518</v>
      </c>
      <c r="E1340" s="10" t="s">
        <v>2180</v>
      </c>
    </row>
    <row r="1341" spans="1:5">
      <c r="A1341" s="11">
        <v>42746</v>
      </c>
      <c r="B1341" s="10" t="s">
        <v>2976</v>
      </c>
      <c r="C1341" s="10" t="s">
        <v>2977</v>
      </c>
      <c r="D1341" s="11">
        <v>42782.521863425929</v>
      </c>
      <c r="E1341" s="10" t="s">
        <v>2978</v>
      </c>
    </row>
    <row r="1342" spans="1:5">
      <c r="A1342" s="11">
        <v>42746</v>
      </c>
      <c r="B1342" s="10" t="s">
        <v>2979</v>
      </c>
      <c r="C1342" s="10" t="s">
        <v>2980</v>
      </c>
      <c r="D1342" s="11">
        <v>42781.627025462964</v>
      </c>
      <c r="E1342" s="10" t="s">
        <v>479</v>
      </c>
    </row>
    <row r="1343" spans="1:5">
      <c r="A1343" s="11">
        <v>42746</v>
      </c>
      <c r="B1343" s="10" t="s">
        <v>2981</v>
      </c>
      <c r="C1343" s="10" t="s">
        <v>2982</v>
      </c>
      <c r="D1343" s="11">
        <v>42777.7340625</v>
      </c>
      <c r="E1343" s="10" t="s">
        <v>2201</v>
      </c>
    </row>
    <row r="1344" spans="1:5">
      <c r="A1344" s="11">
        <v>42747</v>
      </c>
      <c r="B1344" s="10" t="s">
        <v>2983</v>
      </c>
      <c r="C1344" s="10" t="s">
        <v>2984</v>
      </c>
      <c r="D1344" s="11">
        <v>42782.586412037039</v>
      </c>
      <c r="E1344" s="10" t="s">
        <v>433</v>
      </c>
    </row>
    <row r="1345" spans="1:5">
      <c r="A1345" s="11">
        <v>42747</v>
      </c>
      <c r="B1345" s="10" t="s">
        <v>2985</v>
      </c>
      <c r="C1345" s="10" t="s">
        <v>2986</v>
      </c>
      <c r="D1345" s="11">
        <v>42781.768009259256</v>
      </c>
      <c r="E1345" s="10" t="s">
        <v>221</v>
      </c>
    </row>
    <row r="1346" spans="1:5">
      <c r="A1346" s="11">
        <v>42747</v>
      </c>
      <c r="B1346" s="10" t="s">
        <v>2987</v>
      </c>
      <c r="C1346" s="10" t="s">
        <v>2988</v>
      </c>
      <c r="D1346" s="11">
        <v>42779.696840277778</v>
      </c>
      <c r="E1346" s="10" t="s">
        <v>433</v>
      </c>
    </row>
    <row r="1347" spans="1:5">
      <c r="A1347" s="11">
        <v>42747</v>
      </c>
      <c r="B1347" s="10" t="s">
        <v>2989</v>
      </c>
      <c r="C1347" s="10" t="s">
        <v>2990</v>
      </c>
      <c r="D1347" s="11">
        <v>42782.616770833331</v>
      </c>
      <c r="E1347" s="10" t="s">
        <v>237</v>
      </c>
    </row>
    <row r="1348" spans="1:5">
      <c r="A1348" s="11">
        <v>42747</v>
      </c>
      <c r="B1348" s="10" t="s">
        <v>2991</v>
      </c>
      <c r="C1348" s="10" t="s">
        <v>2992</v>
      </c>
      <c r="D1348" s="11">
        <v>42782.692384259259</v>
      </c>
      <c r="E1348" s="10" t="s">
        <v>2186</v>
      </c>
    </row>
    <row r="1349" spans="1:5">
      <c r="A1349" s="11">
        <v>42747</v>
      </c>
      <c r="B1349" s="10" t="s">
        <v>2993</v>
      </c>
      <c r="C1349" s="10" t="s">
        <v>2994</v>
      </c>
      <c r="D1349" s="11">
        <v>42747.502824074072</v>
      </c>
      <c r="E1349" s="10" t="s">
        <v>2995</v>
      </c>
    </row>
    <row r="1350" spans="1:5">
      <c r="A1350" s="11">
        <v>42747</v>
      </c>
      <c r="B1350" s="10" t="s">
        <v>2996</v>
      </c>
      <c r="C1350" s="10" t="s">
        <v>2997</v>
      </c>
      <c r="D1350" s="11">
        <v>42782.435081018521</v>
      </c>
      <c r="E1350" s="10" t="s">
        <v>482</v>
      </c>
    </row>
    <row r="1351" spans="1:5">
      <c r="A1351" s="11">
        <v>42747</v>
      </c>
      <c r="B1351" s="10" t="s">
        <v>2998</v>
      </c>
      <c r="C1351" s="10" t="s">
        <v>2999</v>
      </c>
      <c r="D1351" s="11">
        <v>42782.434976851851</v>
      </c>
      <c r="E1351" s="10" t="s">
        <v>482</v>
      </c>
    </row>
    <row r="1352" spans="1:5">
      <c r="A1352" s="11">
        <v>42747</v>
      </c>
      <c r="B1352" s="10" t="s">
        <v>3000</v>
      </c>
      <c r="C1352" s="10" t="s">
        <v>3001</v>
      </c>
      <c r="D1352" s="11">
        <v>42782.487557870372</v>
      </c>
      <c r="E1352" s="10" t="s">
        <v>178</v>
      </c>
    </row>
    <row r="1353" spans="1:5">
      <c r="A1353" s="11">
        <v>42747</v>
      </c>
      <c r="B1353" s="10" t="s">
        <v>3002</v>
      </c>
      <c r="C1353" s="10" t="s">
        <v>3003</v>
      </c>
      <c r="D1353" s="11">
        <v>42782.44023148148</v>
      </c>
      <c r="E1353" s="10" t="s">
        <v>237</v>
      </c>
    </row>
    <row r="1354" spans="1:5">
      <c r="A1354" s="11">
        <v>42747</v>
      </c>
      <c r="B1354" s="10" t="s">
        <v>3004</v>
      </c>
      <c r="C1354" s="10" t="s">
        <v>3005</v>
      </c>
      <c r="D1354" s="11">
        <v>42780.71025462963</v>
      </c>
      <c r="E1354" s="10" t="s">
        <v>209</v>
      </c>
    </row>
    <row r="1355" spans="1:5">
      <c r="A1355" s="11">
        <v>42747</v>
      </c>
      <c r="B1355" s="10" t="s">
        <v>3006</v>
      </c>
      <c r="C1355" s="10" t="s">
        <v>3007</v>
      </c>
      <c r="D1355" s="11">
        <v>42777.255416666667</v>
      </c>
      <c r="E1355" s="10" t="s">
        <v>237</v>
      </c>
    </row>
    <row r="1356" spans="1:5">
      <c r="A1356" s="11">
        <v>42747</v>
      </c>
      <c r="B1356" s="10" t="s">
        <v>3008</v>
      </c>
      <c r="C1356" s="10" t="s">
        <v>3009</v>
      </c>
      <c r="D1356" s="11">
        <v>42779.855370370373</v>
      </c>
      <c r="E1356" s="10" t="s">
        <v>2823</v>
      </c>
    </row>
    <row r="1357" spans="1:5">
      <c r="A1357" s="11">
        <v>42747</v>
      </c>
      <c r="B1357" s="10" t="s">
        <v>3010</v>
      </c>
      <c r="C1357" s="10" t="s">
        <v>3011</v>
      </c>
      <c r="D1357" s="11">
        <v>42781.575104166666</v>
      </c>
      <c r="E1357" s="10" t="s">
        <v>218</v>
      </c>
    </row>
    <row r="1358" spans="1:5">
      <c r="A1358" s="11">
        <v>42747</v>
      </c>
      <c r="B1358" s="10" t="s">
        <v>3012</v>
      </c>
      <c r="C1358" s="10" t="s">
        <v>3013</v>
      </c>
      <c r="D1358" s="11">
        <v>42781.49019675926</v>
      </c>
      <c r="E1358" s="10" t="s">
        <v>178</v>
      </c>
    </row>
    <row r="1359" spans="1:5">
      <c r="A1359" s="11">
        <v>42748</v>
      </c>
      <c r="B1359" s="10" t="s">
        <v>3014</v>
      </c>
      <c r="C1359" s="10" t="s">
        <v>3015</v>
      </c>
      <c r="D1359" s="11">
        <v>42780.582708333335</v>
      </c>
      <c r="E1359" s="10" t="s">
        <v>465</v>
      </c>
    </row>
    <row r="1360" spans="1:5">
      <c r="A1360" s="11">
        <v>42748</v>
      </c>
      <c r="B1360" s="10" t="s">
        <v>3016</v>
      </c>
      <c r="C1360" s="10" t="s">
        <v>3017</v>
      </c>
      <c r="D1360" s="11">
        <v>42782.353541666664</v>
      </c>
      <c r="E1360" s="10" t="s">
        <v>209</v>
      </c>
    </row>
    <row r="1361" spans="1:5">
      <c r="A1361" s="11">
        <v>42748</v>
      </c>
      <c r="B1361" s="10" t="s">
        <v>3018</v>
      </c>
      <c r="C1361" s="10" t="s">
        <v>3019</v>
      </c>
      <c r="D1361" s="11">
        <v>42781.717777777776</v>
      </c>
      <c r="E1361" s="10" t="s">
        <v>373</v>
      </c>
    </row>
    <row r="1362" spans="1:5">
      <c r="A1362" s="11">
        <v>42748</v>
      </c>
      <c r="B1362" s="10" t="s">
        <v>3020</v>
      </c>
      <c r="C1362" s="10" t="s">
        <v>3021</v>
      </c>
      <c r="D1362" s="11">
        <v>42782.651655092595</v>
      </c>
      <c r="E1362" s="10" t="s">
        <v>2201</v>
      </c>
    </row>
    <row r="1363" spans="1:5">
      <c r="A1363" s="11">
        <v>42748</v>
      </c>
      <c r="B1363" s="10" t="s">
        <v>3022</v>
      </c>
      <c r="C1363" s="10" t="s">
        <v>3023</v>
      </c>
      <c r="D1363" s="11">
        <v>42781.648518518516</v>
      </c>
      <c r="E1363" s="10" t="s">
        <v>3024</v>
      </c>
    </row>
    <row r="1364" spans="1:5" ht="21.6">
      <c r="A1364" s="11">
        <v>42748</v>
      </c>
      <c r="B1364" s="10" t="s">
        <v>3025</v>
      </c>
      <c r="C1364" s="10" t="s">
        <v>3026</v>
      </c>
      <c r="D1364" s="11">
        <v>42781.718159722222</v>
      </c>
      <c r="E1364" s="10" t="s">
        <v>3027</v>
      </c>
    </row>
    <row r="1365" spans="1:5">
      <c r="A1365" s="11">
        <v>42748</v>
      </c>
      <c r="B1365" s="10" t="s">
        <v>3028</v>
      </c>
      <c r="C1365" s="10" t="s">
        <v>3029</v>
      </c>
      <c r="D1365" s="11">
        <v>42781.722546296296</v>
      </c>
      <c r="E1365" s="10" t="s">
        <v>221</v>
      </c>
    </row>
    <row r="1366" spans="1:5">
      <c r="A1366" s="11">
        <v>42748</v>
      </c>
      <c r="B1366" s="10" t="s">
        <v>3030</v>
      </c>
      <c r="C1366" s="10" t="s">
        <v>3031</v>
      </c>
      <c r="D1366" s="11">
        <v>42781.744803240741</v>
      </c>
      <c r="E1366" s="10" t="s">
        <v>209</v>
      </c>
    </row>
    <row r="1367" spans="1:5">
      <c r="A1367" s="11">
        <v>42748</v>
      </c>
      <c r="B1367" s="10" t="s">
        <v>3032</v>
      </c>
      <c r="C1367" s="10" t="s">
        <v>3033</v>
      </c>
      <c r="D1367" s="11">
        <v>42781.842812499999</v>
      </c>
      <c r="E1367" s="10" t="s">
        <v>218</v>
      </c>
    </row>
    <row r="1368" spans="1:5">
      <c r="A1368" s="11">
        <v>42748</v>
      </c>
      <c r="B1368" s="10" t="s">
        <v>3034</v>
      </c>
      <c r="C1368" s="10" t="s">
        <v>3035</v>
      </c>
      <c r="D1368" s="11">
        <v>42755.712546296294</v>
      </c>
      <c r="E1368" s="10" t="s">
        <v>1208</v>
      </c>
    </row>
    <row r="1369" spans="1:5">
      <c r="A1369" s="11">
        <v>42748</v>
      </c>
      <c r="B1369" s="10" t="s">
        <v>3036</v>
      </c>
      <c r="C1369" s="10" t="s">
        <v>3037</v>
      </c>
      <c r="D1369" s="11">
        <v>42779.669641203705</v>
      </c>
      <c r="E1369" s="10" t="s">
        <v>240</v>
      </c>
    </row>
    <row r="1370" spans="1:5">
      <c r="A1370" s="11">
        <v>42748</v>
      </c>
      <c r="B1370" s="10" t="s">
        <v>3038</v>
      </c>
      <c r="C1370" s="10" t="s">
        <v>3039</v>
      </c>
      <c r="D1370" s="11">
        <v>42782.591273148151</v>
      </c>
      <c r="E1370" s="10" t="s">
        <v>482</v>
      </c>
    </row>
    <row r="1371" spans="1:5">
      <c r="A1371" s="11">
        <v>42748</v>
      </c>
      <c r="B1371" s="10" t="s">
        <v>3040</v>
      </c>
      <c r="C1371" s="10" t="s">
        <v>3041</v>
      </c>
      <c r="D1371" s="11">
        <v>42779.541180555556</v>
      </c>
      <c r="E1371" s="10" t="s">
        <v>125</v>
      </c>
    </row>
    <row r="1372" spans="1:5">
      <c r="A1372" s="11">
        <v>42748</v>
      </c>
      <c r="B1372" s="10" t="s">
        <v>3042</v>
      </c>
      <c r="C1372" s="10" t="s">
        <v>3043</v>
      </c>
      <c r="D1372" s="11">
        <v>42779.649050925924</v>
      </c>
      <c r="E1372" s="10" t="s">
        <v>2183</v>
      </c>
    </row>
    <row r="1373" spans="1:5">
      <c r="A1373" s="11">
        <v>42748</v>
      </c>
      <c r="B1373" s="10" t="s">
        <v>3044</v>
      </c>
      <c r="C1373" s="10" t="s">
        <v>3045</v>
      </c>
      <c r="D1373" s="11">
        <v>42781.444039351853</v>
      </c>
      <c r="E1373" s="10" t="s">
        <v>2124</v>
      </c>
    </row>
    <row r="1374" spans="1:5">
      <c r="A1374" s="11">
        <v>42748</v>
      </c>
      <c r="B1374" s="10" t="s">
        <v>3046</v>
      </c>
      <c r="C1374" s="10" t="s">
        <v>3047</v>
      </c>
      <c r="D1374" s="11">
        <v>42780.371736111112</v>
      </c>
      <c r="E1374" s="10" t="s">
        <v>237</v>
      </c>
    </row>
    <row r="1375" spans="1:5">
      <c r="A1375" s="11">
        <v>42748</v>
      </c>
      <c r="B1375" s="10" t="s">
        <v>3048</v>
      </c>
      <c r="C1375" s="10" t="s">
        <v>3049</v>
      </c>
      <c r="D1375" s="11">
        <v>42780.470046296294</v>
      </c>
      <c r="E1375" s="10" t="s">
        <v>2180</v>
      </c>
    </row>
    <row r="1376" spans="1:5">
      <c r="A1376" s="11">
        <v>42748</v>
      </c>
      <c r="B1376" s="10" t="s">
        <v>3050</v>
      </c>
      <c r="C1376" s="10" t="s">
        <v>3051</v>
      </c>
      <c r="D1376" s="11">
        <v>42781.815104166664</v>
      </c>
      <c r="E1376" s="10" t="s">
        <v>433</v>
      </c>
    </row>
    <row r="1377" spans="1:5">
      <c r="A1377" s="11">
        <v>42748</v>
      </c>
      <c r="B1377" s="10" t="s">
        <v>3052</v>
      </c>
      <c r="C1377" s="10" t="s">
        <v>3053</v>
      </c>
      <c r="D1377" s="11">
        <v>42781.870752314811</v>
      </c>
      <c r="E1377" s="10" t="s">
        <v>122</v>
      </c>
    </row>
    <row r="1378" spans="1:5">
      <c r="A1378" s="11">
        <v>42748</v>
      </c>
      <c r="B1378" s="10" t="s">
        <v>3054</v>
      </c>
      <c r="C1378" s="10" t="s">
        <v>3055</v>
      </c>
      <c r="D1378" s="11">
        <v>42782.628900462965</v>
      </c>
      <c r="E1378" s="10" t="s">
        <v>2201</v>
      </c>
    </row>
    <row r="1379" spans="1:5">
      <c r="A1379" s="11">
        <v>42748</v>
      </c>
      <c r="B1379" s="10" t="s">
        <v>3056</v>
      </c>
      <c r="C1379" s="10" t="s">
        <v>3057</v>
      </c>
      <c r="D1379" s="11">
        <v>42780.729895833334</v>
      </c>
      <c r="E1379" s="10" t="s">
        <v>433</v>
      </c>
    </row>
    <row r="1380" spans="1:5">
      <c r="A1380" s="11">
        <v>42748</v>
      </c>
      <c r="B1380" s="10" t="s">
        <v>3058</v>
      </c>
      <c r="C1380" s="10" t="s">
        <v>3059</v>
      </c>
      <c r="D1380" s="11">
        <v>42781.435335648152</v>
      </c>
      <c r="E1380" s="10" t="s">
        <v>3060</v>
      </c>
    </row>
    <row r="1381" spans="1:5">
      <c r="A1381" s="11">
        <v>42748</v>
      </c>
      <c r="B1381" s="10" t="s">
        <v>3061</v>
      </c>
      <c r="C1381" s="10" t="s">
        <v>3062</v>
      </c>
      <c r="D1381" s="11">
        <v>42748.98233796296</v>
      </c>
      <c r="E1381" s="10" t="s">
        <v>2823</v>
      </c>
    </row>
    <row r="1382" spans="1:5">
      <c r="A1382" s="11">
        <v>42749</v>
      </c>
      <c r="B1382" s="10" t="s">
        <v>3063</v>
      </c>
      <c r="C1382" s="10" t="s">
        <v>3064</v>
      </c>
      <c r="D1382" s="11">
        <v>42780.783136574071</v>
      </c>
      <c r="E1382" s="10" t="s">
        <v>373</v>
      </c>
    </row>
    <row r="1383" spans="1:5">
      <c r="A1383" s="11">
        <v>42749</v>
      </c>
      <c r="B1383" s="10" t="s">
        <v>3065</v>
      </c>
      <c r="C1383" s="10" t="s">
        <v>3066</v>
      </c>
      <c r="D1383" s="11">
        <v>42782.348611111112</v>
      </c>
      <c r="E1383" s="10" t="s">
        <v>193</v>
      </c>
    </row>
    <row r="1384" spans="1:5" ht="21.6">
      <c r="A1384" s="11">
        <v>42749</v>
      </c>
      <c r="B1384" s="10" t="s">
        <v>3067</v>
      </c>
      <c r="C1384" s="10" t="s">
        <v>3068</v>
      </c>
      <c r="D1384" s="11">
        <v>42780.640289351853</v>
      </c>
      <c r="E1384" s="10" t="s">
        <v>419</v>
      </c>
    </row>
    <row r="1385" spans="1:5">
      <c r="A1385" s="11">
        <v>42749</v>
      </c>
      <c r="B1385" s="10" t="s">
        <v>3069</v>
      </c>
      <c r="C1385" s="10" t="s">
        <v>3070</v>
      </c>
      <c r="D1385" s="11">
        <v>42780.595312500001</v>
      </c>
      <c r="E1385" s="10" t="s">
        <v>433</v>
      </c>
    </row>
    <row r="1386" spans="1:5">
      <c r="A1386" s="11">
        <v>42749</v>
      </c>
      <c r="B1386" s="10" t="s">
        <v>3071</v>
      </c>
      <c r="C1386" s="10" t="s">
        <v>3072</v>
      </c>
      <c r="D1386" s="11">
        <v>42779.719212962962</v>
      </c>
      <c r="E1386" s="10" t="s">
        <v>237</v>
      </c>
    </row>
    <row r="1387" spans="1:5">
      <c r="A1387" s="11">
        <v>42749</v>
      </c>
      <c r="B1387" s="10" t="s">
        <v>3073</v>
      </c>
      <c r="C1387" s="10" t="s">
        <v>3074</v>
      </c>
      <c r="D1387" s="11">
        <v>42775.677534722221</v>
      </c>
      <c r="E1387" s="10" t="s">
        <v>433</v>
      </c>
    </row>
    <row r="1388" spans="1:5">
      <c r="A1388" s="11">
        <v>42749</v>
      </c>
      <c r="B1388" s="10" t="s">
        <v>3075</v>
      </c>
      <c r="C1388" s="10" t="s">
        <v>3076</v>
      </c>
      <c r="D1388" s="11">
        <v>42782.505891203706</v>
      </c>
      <c r="E1388" s="10" t="s">
        <v>2201</v>
      </c>
    </row>
    <row r="1389" spans="1:5">
      <c r="A1389" s="11">
        <v>42749</v>
      </c>
      <c r="B1389" s="10" t="s">
        <v>3077</v>
      </c>
      <c r="C1389" s="10" t="s">
        <v>3078</v>
      </c>
      <c r="D1389" s="11">
        <v>42782.373599537037</v>
      </c>
      <c r="E1389" s="10" t="s">
        <v>482</v>
      </c>
    </row>
    <row r="1390" spans="1:5">
      <c r="A1390" s="11">
        <v>42749</v>
      </c>
      <c r="B1390" s="10" t="s">
        <v>3079</v>
      </c>
      <c r="C1390" s="10" t="s">
        <v>3080</v>
      </c>
      <c r="D1390" s="11">
        <v>42781.662835648145</v>
      </c>
      <c r="E1390" s="10" t="s">
        <v>433</v>
      </c>
    </row>
    <row r="1391" spans="1:5">
      <c r="A1391" s="11">
        <v>42749</v>
      </c>
      <c r="B1391" s="10" t="s">
        <v>3081</v>
      </c>
      <c r="C1391" s="10" t="s">
        <v>3082</v>
      </c>
      <c r="D1391" s="11">
        <v>42781.635972222219</v>
      </c>
      <c r="E1391" s="10" t="s">
        <v>656</v>
      </c>
    </row>
    <row r="1392" spans="1:5">
      <c r="A1392" s="11">
        <v>42749</v>
      </c>
      <c r="B1392" s="10" t="s">
        <v>3083</v>
      </c>
      <c r="C1392" s="10" t="s">
        <v>3084</v>
      </c>
      <c r="D1392" s="11">
        <v>42776.752002314817</v>
      </c>
      <c r="E1392" s="10" t="s">
        <v>1103</v>
      </c>
    </row>
    <row r="1393" spans="1:5">
      <c r="A1393" s="11">
        <v>42749</v>
      </c>
      <c r="B1393" s="10" t="s">
        <v>3085</v>
      </c>
      <c r="C1393" s="10" t="s">
        <v>3086</v>
      </c>
      <c r="D1393" s="11">
        <v>42782.450810185182</v>
      </c>
      <c r="E1393" s="10" t="s">
        <v>433</v>
      </c>
    </row>
    <row r="1394" spans="1:5">
      <c r="A1394" s="11">
        <v>42749</v>
      </c>
      <c r="B1394" s="10" t="s">
        <v>3087</v>
      </c>
      <c r="C1394" s="10" t="s">
        <v>3088</v>
      </c>
      <c r="D1394" s="11">
        <v>42780.525277777779</v>
      </c>
      <c r="E1394" s="10" t="s">
        <v>237</v>
      </c>
    </row>
    <row r="1395" spans="1:5">
      <c r="A1395" s="11">
        <v>42749</v>
      </c>
      <c r="B1395" s="10" t="s">
        <v>3089</v>
      </c>
      <c r="C1395" s="10" t="s">
        <v>3090</v>
      </c>
      <c r="D1395" s="11">
        <v>42782.526006944441</v>
      </c>
      <c r="E1395" s="10" t="s">
        <v>2622</v>
      </c>
    </row>
    <row r="1396" spans="1:5">
      <c r="A1396" s="11">
        <v>42749</v>
      </c>
      <c r="B1396" s="10" t="s">
        <v>3091</v>
      </c>
      <c r="C1396" s="10" t="s">
        <v>3092</v>
      </c>
      <c r="D1396" s="11">
        <v>42781.686516203707</v>
      </c>
      <c r="E1396" s="10" t="s">
        <v>3093</v>
      </c>
    </row>
    <row r="1397" spans="1:5">
      <c r="A1397" s="11">
        <v>42749</v>
      </c>
      <c r="B1397" s="10" t="s">
        <v>3094</v>
      </c>
      <c r="C1397" s="10" t="s">
        <v>3095</v>
      </c>
      <c r="D1397" s="11">
        <v>42782.595925925925</v>
      </c>
      <c r="E1397" s="10" t="s">
        <v>2180</v>
      </c>
    </row>
    <row r="1398" spans="1:5">
      <c r="A1398" s="11">
        <v>42749</v>
      </c>
      <c r="B1398" s="10" t="s">
        <v>3096</v>
      </c>
      <c r="C1398" s="10" t="s">
        <v>3097</v>
      </c>
      <c r="D1398" s="11">
        <v>42782.702013888891</v>
      </c>
      <c r="E1398" s="10" t="s">
        <v>108</v>
      </c>
    </row>
    <row r="1399" spans="1:5">
      <c r="A1399" s="11">
        <v>42750</v>
      </c>
      <c r="B1399" s="10" t="s">
        <v>3098</v>
      </c>
      <c r="C1399" s="10" t="s">
        <v>3099</v>
      </c>
      <c r="D1399" s="11">
        <v>42780.646307870367</v>
      </c>
      <c r="E1399" s="10" t="s">
        <v>2515</v>
      </c>
    </row>
    <row r="1400" spans="1:5">
      <c r="A1400" s="11">
        <v>42750</v>
      </c>
      <c r="B1400" s="10" t="s">
        <v>3100</v>
      </c>
      <c r="C1400" s="10" t="s">
        <v>3101</v>
      </c>
      <c r="D1400" s="11">
        <v>42782.65488425926</v>
      </c>
      <c r="E1400" s="10" t="s">
        <v>2201</v>
      </c>
    </row>
    <row r="1401" spans="1:5">
      <c r="A1401" s="11">
        <v>42750</v>
      </c>
      <c r="B1401" s="10" t="s">
        <v>3102</v>
      </c>
      <c r="C1401" s="10" t="s">
        <v>3103</v>
      </c>
      <c r="D1401" s="11">
        <v>42781.803726851853</v>
      </c>
      <c r="E1401" s="10" t="s">
        <v>240</v>
      </c>
    </row>
    <row r="1402" spans="1:5">
      <c r="A1402" s="11">
        <v>42750</v>
      </c>
      <c r="B1402" s="10" t="s">
        <v>3104</v>
      </c>
      <c r="C1402" s="10" t="s">
        <v>3105</v>
      </c>
      <c r="D1402" s="11">
        <v>42782.504675925928</v>
      </c>
      <c r="E1402" s="10" t="s">
        <v>240</v>
      </c>
    </row>
    <row r="1403" spans="1:5">
      <c r="A1403" s="11">
        <v>42750</v>
      </c>
      <c r="B1403" s="10" t="s">
        <v>3106</v>
      </c>
      <c r="C1403" s="10" t="s">
        <v>3107</v>
      </c>
      <c r="D1403" s="11">
        <v>42779.754374999997</v>
      </c>
      <c r="E1403" s="10" t="s">
        <v>479</v>
      </c>
    </row>
    <row r="1404" spans="1:5">
      <c r="A1404" s="11">
        <v>42751</v>
      </c>
      <c r="B1404" s="10" t="s">
        <v>3108</v>
      </c>
      <c r="C1404" s="10" t="s">
        <v>3109</v>
      </c>
      <c r="D1404" s="11">
        <v>42781.426747685182</v>
      </c>
      <c r="E1404" s="10" t="s">
        <v>212</v>
      </c>
    </row>
    <row r="1405" spans="1:5">
      <c r="A1405" s="11">
        <v>42751</v>
      </c>
      <c r="B1405" s="10" t="s">
        <v>3110</v>
      </c>
      <c r="C1405" s="10" t="s">
        <v>3111</v>
      </c>
      <c r="D1405" s="11">
        <v>42782.679131944446</v>
      </c>
      <c r="E1405" s="10" t="s">
        <v>2234</v>
      </c>
    </row>
    <row r="1406" spans="1:5" ht="21.6">
      <c r="A1406" s="11">
        <v>42751</v>
      </c>
      <c r="B1406" s="10" t="s">
        <v>3112</v>
      </c>
      <c r="C1406" s="10" t="s">
        <v>3113</v>
      </c>
      <c r="D1406" s="11">
        <v>42782.613749999997</v>
      </c>
      <c r="E1406" s="10" t="s">
        <v>2554</v>
      </c>
    </row>
    <row r="1407" spans="1:5">
      <c r="A1407" s="11">
        <v>42751</v>
      </c>
      <c r="B1407" s="10" t="s">
        <v>3114</v>
      </c>
      <c r="C1407" s="10" t="s">
        <v>3115</v>
      </c>
      <c r="D1407" s="11">
        <v>42781.151967592596</v>
      </c>
      <c r="E1407" s="10" t="s">
        <v>2144</v>
      </c>
    </row>
    <row r="1408" spans="1:5">
      <c r="A1408" s="11">
        <v>42751</v>
      </c>
      <c r="B1408" s="10" t="s">
        <v>3116</v>
      </c>
      <c r="C1408" s="10" t="s">
        <v>3117</v>
      </c>
      <c r="D1408" s="11">
        <v>42782.568761574075</v>
      </c>
      <c r="E1408" s="10" t="s">
        <v>2538</v>
      </c>
    </row>
    <row r="1409" spans="1:5">
      <c r="A1409" s="11">
        <v>42751</v>
      </c>
      <c r="B1409" s="10" t="s">
        <v>3118</v>
      </c>
      <c r="C1409" s="10" t="s">
        <v>3119</v>
      </c>
      <c r="D1409" s="11">
        <v>42782.561249999999</v>
      </c>
      <c r="E1409" s="10" t="s">
        <v>218</v>
      </c>
    </row>
    <row r="1410" spans="1:5" ht="21.6">
      <c r="A1410" s="11">
        <v>42751</v>
      </c>
      <c r="B1410" s="10" t="s">
        <v>3120</v>
      </c>
      <c r="C1410" s="10" t="s">
        <v>3121</v>
      </c>
      <c r="D1410" s="11">
        <v>42782.47729166667</v>
      </c>
      <c r="E1410" s="10" t="s">
        <v>2299</v>
      </c>
    </row>
    <row r="1411" spans="1:5">
      <c r="A1411" s="11">
        <v>42751</v>
      </c>
      <c r="B1411" s="10" t="s">
        <v>3122</v>
      </c>
      <c r="C1411" s="10" t="s">
        <v>3123</v>
      </c>
      <c r="D1411" s="11">
        <v>42779.621319444443</v>
      </c>
      <c r="E1411" s="10" t="s">
        <v>479</v>
      </c>
    </row>
    <row r="1412" spans="1:5">
      <c r="A1412" s="11">
        <v>42751</v>
      </c>
      <c r="B1412" s="10" t="s">
        <v>3124</v>
      </c>
      <c r="C1412" s="10" t="s">
        <v>3125</v>
      </c>
      <c r="D1412" s="11">
        <v>42779.621550925927</v>
      </c>
      <c r="E1412" s="10" t="s">
        <v>902</v>
      </c>
    </row>
    <row r="1413" spans="1:5">
      <c r="A1413" s="11">
        <v>42751</v>
      </c>
      <c r="B1413" s="10" t="s">
        <v>3126</v>
      </c>
      <c r="C1413" s="10" t="s">
        <v>3127</v>
      </c>
      <c r="D1413" s="11">
        <v>42781.584108796298</v>
      </c>
      <c r="E1413" s="10" t="s">
        <v>2554</v>
      </c>
    </row>
    <row r="1414" spans="1:5">
      <c r="A1414" s="11">
        <v>42751</v>
      </c>
      <c r="B1414" s="10" t="s">
        <v>3128</v>
      </c>
      <c r="C1414" s="10" t="s">
        <v>3129</v>
      </c>
      <c r="D1414" s="11">
        <v>42779.674085648148</v>
      </c>
      <c r="E1414" s="10" t="s">
        <v>237</v>
      </c>
    </row>
    <row r="1415" spans="1:5">
      <c r="A1415" s="11">
        <v>42751</v>
      </c>
      <c r="B1415" s="10" t="s">
        <v>3130</v>
      </c>
      <c r="C1415" s="10" t="s">
        <v>3131</v>
      </c>
      <c r="D1415" s="11">
        <v>42781.375324074077</v>
      </c>
      <c r="E1415" s="10" t="s">
        <v>2201</v>
      </c>
    </row>
    <row r="1416" spans="1:5">
      <c r="A1416" s="11">
        <v>42751</v>
      </c>
      <c r="B1416" s="10" t="s">
        <v>3132</v>
      </c>
      <c r="C1416" s="10" t="s">
        <v>3133</v>
      </c>
      <c r="D1416" s="11">
        <v>42782.638310185182</v>
      </c>
      <c r="E1416" s="10" t="s">
        <v>218</v>
      </c>
    </row>
    <row r="1417" spans="1:5">
      <c r="A1417" s="11">
        <v>42751</v>
      </c>
      <c r="B1417" s="10" t="s">
        <v>3134</v>
      </c>
      <c r="C1417" s="10" t="s">
        <v>3135</v>
      </c>
      <c r="D1417" s="11">
        <v>42781.880682870367</v>
      </c>
      <c r="E1417" s="10" t="s">
        <v>218</v>
      </c>
    </row>
    <row r="1418" spans="1:5">
      <c r="A1418" s="11">
        <v>42751</v>
      </c>
      <c r="B1418" s="10" t="s">
        <v>3136</v>
      </c>
      <c r="C1418" s="10" t="s">
        <v>3137</v>
      </c>
      <c r="D1418" s="11">
        <v>42780.36109953704</v>
      </c>
      <c r="E1418" s="10" t="s">
        <v>99</v>
      </c>
    </row>
    <row r="1419" spans="1:5">
      <c r="A1419" s="11">
        <v>42751</v>
      </c>
      <c r="B1419" s="10" t="s">
        <v>3138</v>
      </c>
      <c r="C1419" s="10" t="s">
        <v>3139</v>
      </c>
      <c r="D1419" s="11">
        <v>42781.641273148147</v>
      </c>
      <c r="E1419" s="10" t="s">
        <v>902</v>
      </c>
    </row>
    <row r="1420" spans="1:5">
      <c r="A1420" s="11">
        <v>42751</v>
      </c>
      <c r="B1420" s="10" t="s">
        <v>3140</v>
      </c>
      <c r="C1420" s="10" t="s">
        <v>3141</v>
      </c>
      <c r="D1420" s="11">
        <v>42781.633657407408</v>
      </c>
      <c r="E1420" s="10" t="s">
        <v>479</v>
      </c>
    </row>
    <row r="1421" spans="1:5">
      <c r="A1421" s="11">
        <v>42751</v>
      </c>
      <c r="B1421" s="10" t="s">
        <v>3142</v>
      </c>
      <c r="C1421" s="10" t="s">
        <v>3143</v>
      </c>
      <c r="D1421" s="11">
        <v>42780.367314814815</v>
      </c>
      <c r="E1421" s="10" t="s">
        <v>99</v>
      </c>
    </row>
    <row r="1422" spans="1:5">
      <c r="A1422" s="11">
        <v>42751</v>
      </c>
      <c r="B1422" s="10" t="s">
        <v>3144</v>
      </c>
      <c r="C1422" s="10" t="s">
        <v>3145</v>
      </c>
      <c r="D1422" s="11">
        <v>42780.637094907404</v>
      </c>
      <c r="E1422" s="10" t="s">
        <v>2515</v>
      </c>
    </row>
    <row r="1423" spans="1:5">
      <c r="A1423" s="11">
        <v>42751</v>
      </c>
      <c r="B1423" s="10" t="s">
        <v>3146</v>
      </c>
      <c r="C1423" s="10" t="s">
        <v>3147</v>
      </c>
      <c r="D1423" s="11">
        <v>42781.836331018516</v>
      </c>
      <c r="E1423" s="10" t="s">
        <v>218</v>
      </c>
    </row>
    <row r="1424" spans="1:5">
      <c r="A1424" s="11">
        <v>42751</v>
      </c>
      <c r="B1424" s="10" t="s">
        <v>3148</v>
      </c>
      <c r="C1424" s="10" t="s">
        <v>3149</v>
      </c>
      <c r="D1424" s="11">
        <v>42779.361608796295</v>
      </c>
      <c r="E1424" s="10" t="s">
        <v>2266</v>
      </c>
    </row>
    <row r="1425" spans="1:5">
      <c r="A1425" s="11">
        <v>42751</v>
      </c>
      <c r="B1425" s="10" t="s">
        <v>3150</v>
      </c>
      <c r="C1425" s="10" t="s">
        <v>3151</v>
      </c>
      <c r="D1425" s="11">
        <v>42781.580196759256</v>
      </c>
      <c r="E1425" s="10" t="s">
        <v>320</v>
      </c>
    </row>
    <row r="1426" spans="1:5">
      <c r="A1426" s="11">
        <v>42751</v>
      </c>
      <c r="B1426" s="10" t="s">
        <v>3152</v>
      </c>
      <c r="C1426" s="10" t="s">
        <v>3153</v>
      </c>
      <c r="D1426" s="11">
        <v>42781.510833333334</v>
      </c>
      <c r="E1426" s="10" t="s">
        <v>237</v>
      </c>
    </row>
    <row r="1427" spans="1:5">
      <c r="A1427" s="11">
        <v>42751</v>
      </c>
      <c r="B1427" s="10" t="s">
        <v>3154</v>
      </c>
      <c r="C1427" s="10" t="s">
        <v>3155</v>
      </c>
      <c r="D1427" s="11">
        <v>42782.446875000001</v>
      </c>
      <c r="E1427" s="10" t="s">
        <v>2201</v>
      </c>
    </row>
    <row r="1428" spans="1:5" ht="21.6">
      <c r="A1428" s="11">
        <v>42751</v>
      </c>
      <c r="B1428" s="10" t="s">
        <v>3156</v>
      </c>
      <c r="C1428" s="10" t="s">
        <v>3157</v>
      </c>
      <c r="D1428" s="11">
        <v>42780.579780092594</v>
      </c>
      <c r="E1428" s="10" t="s">
        <v>229</v>
      </c>
    </row>
    <row r="1429" spans="1:5">
      <c r="A1429" s="11">
        <v>42752</v>
      </c>
      <c r="B1429" s="10" t="s">
        <v>3158</v>
      </c>
      <c r="C1429" s="10" t="s">
        <v>3159</v>
      </c>
      <c r="D1429" s="11">
        <v>42776.468495370369</v>
      </c>
      <c r="E1429" s="10" t="s">
        <v>237</v>
      </c>
    </row>
    <row r="1430" spans="1:5">
      <c r="A1430" s="11">
        <v>42752</v>
      </c>
      <c r="B1430" s="10" t="s">
        <v>3160</v>
      </c>
      <c r="C1430" s="10" t="s">
        <v>3161</v>
      </c>
      <c r="D1430" s="11">
        <v>42776.471458333333</v>
      </c>
      <c r="E1430" s="10" t="s">
        <v>237</v>
      </c>
    </row>
    <row r="1431" spans="1:5">
      <c r="A1431" s="11">
        <v>42752</v>
      </c>
      <c r="B1431" s="10" t="s">
        <v>3162</v>
      </c>
      <c r="C1431" s="10" t="s">
        <v>3163</v>
      </c>
      <c r="D1431" s="11">
        <v>42781.676504629628</v>
      </c>
      <c r="E1431" s="10" t="s">
        <v>1022</v>
      </c>
    </row>
    <row r="1432" spans="1:5">
      <c r="A1432" s="11">
        <v>42752</v>
      </c>
      <c r="B1432" s="10" t="s">
        <v>3164</v>
      </c>
      <c r="C1432" s="10" t="s">
        <v>3165</v>
      </c>
      <c r="D1432" s="11">
        <v>42781.764849537038</v>
      </c>
      <c r="E1432" s="10" t="s">
        <v>433</v>
      </c>
    </row>
    <row r="1433" spans="1:5">
      <c r="A1433" s="11">
        <v>42752</v>
      </c>
      <c r="B1433" s="10" t="s">
        <v>3166</v>
      </c>
      <c r="C1433" s="10" t="s">
        <v>3167</v>
      </c>
      <c r="D1433" s="11">
        <v>42781.764432870368</v>
      </c>
      <c r="E1433" s="10" t="s">
        <v>433</v>
      </c>
    </row>
    <row r="1434" spans="1:5">
      <c r="A1434" s="11">
        <v>42752</v>
      </c>
      <c r="B1434" s="10" t="s">
        <v>3168</v>
      </c>
      <c r="C1434" s="10" t="s">
        <v>3169</v>
      </c>
      <c r="D1434" s="11">
        <v>42779.586527777778</v>
      </c>
      <c r="E1434" s="10" t="s">
        <v>218</v>
      </c>
    </row>
    <row r="1435" spans="1:5">
      <c r="A1435" s="11">
        <v>42752</v>
      </c>
      <c r="B1435" s="10" t="s">
        <v>3170</v>
      </c>
      <c r="C1435" s="10" t="s">
        <v>3171</v>
      </c>
      <c r="D1435" s="11">
        <v>42780.665138888886</v>
      </c>
      <c r="E1435" s="10" t="s">
        <v>373</v>
      </c>
    </row>
    <row r="1436" spans="1:5">
      <c r="A1436" s="11">
        <v>42752</v>
      </c>
      <c r="B1436" s="10" t="s">
        <v>3172</v>
      </c>
      <c r="C1436" s="10" t="s">
        <v>3173</v>
      </c>
      <c r="D1436" s="11">
        <v>42781.769872685189</v>
      </c>
      <c r="E1436" s="10" t="s">
        <v>2124</v>
      </c>
    </row>
    <row r="1437" spans="1:5">
      <c r="A1437" s="11">
        <v>42752</v>
      </c>
      <c r="B1437" s="10" t="s">
        <v>3174</v>
      </c>
      <c r="C1437" s="10" t="s">
        <v>3175</v>
      </c>
      <c r="D1437" s="11">
        <v>42781.758923611109</v>
      </c>
      <c r="E1437" s="10" t="s">
        <v>373</v>
      </c>
    </row>
    <row r="1438" spans="1:5">
      <c r="A1438" s="11">
        <v>42752</v>
      </c>
      <c r="B1438" s="10" t="s">
        <v>3176</v>
      </c>
      <c r="C1438" s="10" t="s">
        <v>3177</v>
      </c>
      <c r="D1438" s="11">
        <v>42781.936516203707</v>
      </c>
      <c r="E1438" s="10" t="s">
        <v>2180</v>
      </c>
    </row>
    <row r="1439" spans="1:5">
      <c r="A1439" s="11">
        <v>42752</v>
      </c>
      <c r="B1439" s="10" t="s">
        <v>3178</v>
      </c>
      <c r="C1439" s="10" t="s">
        <v>3179</v>
      </c>
      <c r="D1439" s="11">
        <v>42775.406504629631</v>
      </c>
      <c r="E1439" s="10" t="s">
        <v>221</v>
      </c>
    </row>
    <row r="1440" spans="1:5">
      <c r="A1440" s="11">
        <v>42752</v>
      </c>
      <c r="B1440" s="10" t="s">
        <v>3180</v>
      </c>
      <c r="C1440" s="10" t="s">
        <v>3181</v>
      </c>
      <c r="D1440" s="11">
        <v>42782.463333333333</v>
      </c>
      <c r="E1440" s="10" t="s">
        <v>218</v>
      </c>
    </row>
    <row r="1441" spans="1:5">
      <c r="A1441" s="11">
        <v>42752</v>
      </c>
      <c r="B1441" s="10" t="s">
        <v>3182</v>
      </c>
      <c r="C1441" s="10" t="s">
        <v>3183</v>
      </c>
      <c r="D1441" s="11">
        <v>42781.565405092595</v>
      </c>
      <c r="E1441" s="10" t="s">
        <v>380</v>
      </c>
    </row>
    <row r="1442" spans="1:5">
      <c r="A1442" s="11">
        <v>42752</v>
      </c>
      <c r="B1442" s="10" t="s">
        <v>3184</v>
      </c>
      <c r="C1442" s="10" t="s">
        <v>3185</v>
      </c>
      <c r="D1442" s="11">
        <v>42782.406527777777</v>
      </c>
      <c r="E1442" s="10" t="s">
        <v>433</v>
      </c>
    </row>
    <row r="1443" spans="1:5">
      <c r="A1443" s="11">
        <v>42752</v>
      </c>
      <c r="B1443" s="10" t="s">
        <v>3186</v>
      </c>
      <c r="C1443" s="10" t="s">
        <v>3187</v>
      </c>
      <c r="D1443" s="11">
        <v>42779.622835648152</v>
      </c>
      <c r="E1443" s="10" t="s">
        <v>2515</v>
      </c>
    </row>
    <row r="1444" spans="1:5">
      <c r="A1444" s="11">
        <v>42752</v>
      </c>
      <c r="B1444" s="10" t="s">
        <v>3188</v>
      </c>
      <c r="C1444" s="10" t="s">
        <v>3189</v>
      </c>
      <c r="D1444" s="11">
        <v>42780.436400462961</v>
      </c>
      <c r="E1444" s="10" t="s">
        <v>373</v>
      </c>
    </row>
    <row r="1445" spans="1:5" ht="21.6">
      <c r="A1445" s="11">
        <v>42752</v>
      </c>
      <c r="B1445" s="10" t="s">
        <v>3190</v>
      </c>
      <c r="C1445" s="10" t="s">
        <v>3191</v>
      </c>
      <c r="D1445" s="11">
        <v>42781.510717592595</v>
      </c>
      <c r="E1445" s="10" t="s">
        <v>966</v>
      </c>
    </row>
    <row r="1446" spans="1:5">
      <c r="A1446" s="11">
        <v>42752</v>
      </c>
      <c r="B1446" s="10" t="s">
        <v>3192</v>
      </c>
      <c r="C1446" s="10" t="s">
        <v>3193</v>
      </c>
      <c r="D1446" s="11">
        <v>42768.861134259256</v>
      </c>
      <c r="E1446" s="10" t="s">
        <v>2515</v>
      </c>
    </row>
    <row r="1447" spans="1:5">
      <c r="A1447" s="11">
        <v>42752</v>
      </c>
      <c r="B1447" s="10" t="s">
        <v>3194</v>
      </c>
      <c r="C1447" s="10" t="s">
        <v>3195</v>
      </c>
      <c r="D1447" s="11">
        <v>42780.820532407408</v>
      </c>
      <c r="E1447" s="10" t="s">
        <v>2515</v>
      </c>
    </row>
    <row r="1448" spans="1:5">
      <c r="A1448" s="11">
        <v>42752</v>
      </c>
      <c r="B1448" s="10" t="s">
        <v>3196</v>
      </c>
      <c r="C1448" s="10" t="s">
        <v>3197</v>
      </c>
      <c r="D1448" s="11">
        <v>42780.823611111111</v>
      </c>
      <c r="E1448" s="10" t="s">
        <v>2515</v>
      </c>
    </row>
    <row r="1449" spans="1:5">
      <c r="A1449" s="11">
        <v>42752</v>
      </c>
      <c r="B1449" s="10" t="s">
        <v>3198</v>
      </c>
      <c r="C1449" s="10" t="s">
        <v>3199</v>
      </c>
      <c r="D1449" s="11">
        <v>42782.600740740738</v>
      </c>
      <c r="E1449" s="10" t="s">
        <v>2201</v>
      </c>
    </row>
    <row r="1450" spans="1:5">
      <c r="A1450" s="11">
        <v>42752</v>
      </c>
      <c r="B1450" s="10" t="s">
        <v>3200</v>
      </c>
      <c r="C1450" s="10" t="s">
        <v>3201</v>
      </c>
      <c r="D1450" s="11">
        <v>42782.433483796296</v>
      </c>
      <c r="E1450" s="10" t="s">
        <v>433</v>
      </c>
    </row>
    <row r="1451" spans="1:5">
      <c r="A1451" s="11">
        <v>42752</v>
      </c>
      <c r="B1451" s="10" t="s">
        <v>3202</v>
      </c>
      <c r="C1451" s="10" t="s">
        <v>3203</v>
      </c>
      <c r="D1451" s="11">
        <v>42779.382349537038</v>
      </c>
      <c r="E1451" s="10" t="s">
        <v>2144</v>
      </c>
    </row>
    <row r="1452" spans="1:5">
      <c r="A1452" s="11">
        <v>42752</v>
      </c>
      <c r="B1452" s="10" t="s">
        <v>3204</v>
      </c>
      <c r="C1452" s="10" t="s">
        <v>3205</v>
      </c>
      <c r="D1452" s="11">
        <v>42781.936805555553</v>
      </c>
      <c r="E1452" s="10" t="s">
        <v>240</v>
      </c>
    </row>
    <row r="1453" spans="1:5">
      <c r="A1453" s="11">
        <v>42752</v>
      </c>
      <c r="B1453" s="10" t="s">
        <v>3206</v>
      </c>
      <c r="C1453" s="10" t="s">
        <v>3207</v>
      </c>
      <c r="D1453" s="11">
        <v>42782.350416666668</v>
      </c>
      <c r="E1453" s="10" t="s">
        <v>373</v>
      </c>
    </row>
    <row r="1454" spans="1:5">
      <c r="A1454" s="11">
        <v>42752</v>
      </c>
      <c r="B1454" s="10" t="s">
        <v>3208</v>
      </c>
      <c r="C1454" s="10" t="s">
        <v>3209</v>
      </c>
      <c r="D1454" s="11">
        <v>42752.91443287037</v>
      </c>
      <c r="E1454" s="10" t="s">
        <v>1145</v>
      </c>
    </row>
    <row r="1455" spans="1:5">
      <c r="A1455" s="11">
        <v>42752</v>
      </c>
      <c r="B1455" s="10" t="s">
        <v>3210</v>
      </c>
      <c r="C1455" s="10" t="s">
        <v>3211</v>
      </c>
      <c r="D1455" s="11">
        <v>42782.70071759259</v>
      </c>
      <c r="E1455" s="10" t="s">
        <v>178</v>
      </c>
    </row>
    <row r="1456" spans="1:5">
      <c r="A1456" s="11">
        <v>42753</v>
      </c>
      <c r="B1456" s="10" t="s">
        <v>3212</v>
      </c>
      <c r="C1456" s="10" t="s">
        <v>3213</v>
      </c>
      <c r="D1456" s="11">
        <v>42780.522326388891</v>
      </c>
      <c r="E1456" s="10" t="s">
        <v>433</v>
      </c>
    </row>
    <row r="1457" spans="1:5">
      <c r="A1457" s="11">
        <v>42753</v>
      </c>
      <c r="B1457" s="10" t="s">
        <v>3214</v>
      </c>
      <c r="C1457" s="10" t="s">
        <v>3215</v>
      </c>
      <c r="D1457" s="11">
        <v>42776.593645833331</v>
      </c>
      <c r="E1457" s="10" t="s">
        <v>1696</v>
      </c>
    </row>
    <row r="1458" spans="1:5">
      <c r="A1458" s="11">
        <v>42753</v>
      </c>
      <c r="B1458" s="10" t="s">
        <v>3216</v>
      </c>
      <c r="C1458" s="10" t="s">
        <v>3217</v>
      </c>
      <c r="D1458" s="11">
        <v>42781.428888888891</v>
      </c>
      <c r="E1458" s="10" t="s">
        <v>2515</v>
      </c>
    </row>
    <row r="1459" spans="1:5">
      <c r="A1459" s="11">
        <v>42753</v>
      </c>
      <c r="B1459" s="10" t="s">
        <v>3218</v>
      </c>
      <c r="C1459" s="10" t="s">
        <v>3219</v>
      </c>
      <c r="D1459" s="11">
        <v>42782.637777777774</v>
      </c>
      <c r="E1459" s="10" t="s">
        <v>122</v>
      </c>
    </row>
    <row r="1460" spans="1:5">
      <c r="A1460" s="11">
        <v>42753</v>
      </c>
      <c r="B1460" s="10" t="s">
        <v>3220</v>
      </c>
      <c r="C1460" s="10" t="s">
        <v>3221</v>
      </c>
      <c r="D1460" s="11">
        <v>42780.574479166666</v>
      </c>
      <c r="E1460" s="10" t="s">
        <v>613</v>
      </c>
    </row>
    <row r="1461" spans="1:5">
      <c r="A1461" s="11">
        <v>42753</v>
      </c>
      <c r="B1461" s="10" t="s">
        <v>3222</v>
      </c>
      <c r="C1461" s="10" t="s">
        <v>3223</v>
      </c>
      <c r="D1461" s="11">
        <v>42779.594687500001</v>
      </c>
      <c r="E1461" s="10" t="s">
        <v>433</v>
      </c>
    </row>
    <row r="1462" spans="1:5">
      <c r="A1462" s="11">
        <v>42753</v>
      </c>
      <c r="B1462" s="10" t="s">
        <v>3224</v>
      </c>
      <c r="C1462" s="10" t="s">
        <v>3225</v>
      </c>
      <c r="D1462" s="11">
        <v>42780.554745370369</v>
      </c>
      <c r="E1462" s="10" t="s">
        <v>240</v>
      </c>
    </row>
    <row r="1463" spans="1:5">
      <c r="A1463" s="11">
        <v>42753</v>
      </c>
      <c r="B1463" s="10" t="s">
        <v>3226</v>
      </c>
      <c r="C1463" s="10" t="s">
        <v>3227</v>
      </c>
      <c r="D1463" s="11">
        <v>42782.678043981483</v>
      </c>
      <c r="E1463" s="10" t="s">
        <v>209</v>
      </c>
    </row>
    <row r="1464" spans="1:5">
      <c r="A1464" s="11">
        <v>42753</v>
      </c>
      <c r="B1464" s="10" t="s">
        <v>3228</v>
      </c>
      <c r="C1464" s="10" t="s">
        <v>3229</v>
      </c>
      <c r="D1464" s="11">
        <v>42779.622476851851</v>
      </c>
      <c r="E1464" s="10" t="s">
        <v>2515</v>
      </c>
    </row>
    <row r="1465" spans="1:5">
      <c r="A1465" s="11">
        <v>42753</v>
      </c>
      <c r="B1465" s="10" t="s">
        <v>3230</v>
      </c>
      <c r="C1465" s="10" t="s">
        <v>3231</v>
      </c>
      <c r="D1465" s="11">
        <v>42780.74664351852</v>
      </c>
      <c r="E1465" s="10" t="s">
        <v>237</v>
      </c>
    </row>
    <row r="1466" spans="1:5">
      <c r="A1466" s="11">
        <v>42753</v>
      </c>
      <c r="B1466" s="10" t="s">
        <v>3232</v>
      </c>
      <c r="C1466" s="10" t="s">
        <v>3233</v>
      </c>
      <c r="D1466" s="11">
        <v>42782.524386574078</v>
      </c>
      <c r="E1466" s="10" t="s">
        <v>2124</v>
      </c>
    </row>
    <row r="1467" spans="1:5">
      <c r="A1467" s="11">
        <v>42753</v>
      </c>
      <c r="B1467" s="10" t="s">
        <v>3234</v>
      </c>
      <c r="C1467" s="10" t="s">
        <v>3235</v>
      </c>
      <c r="D1467" s="11">
        <v>42782.540717592594</v>
      </c>
      <c r="E1467" s="10" t="s">
        <v>2169</v>
      </c>
    </row>
    <row r="1468" spans="1:5">
      <c r="A1468" s="11">
        <v>42753</v>
      </c>
      <c r="B1468" s="10" t="s">
        <v>3236</v>
      </c>
      <c r="C1468" s="10" t="s">
        <v>3237</v>
      </c>
      <c r="D1468" s="11">
        <v>42781.956666666665</v>
      </c>
      <c r="E1468" s="10" t="s">
        <v>96</v>
      </c>
    </row>
    <row r="1469" spans="1:5">
      <c r="A1469" s="11">
        <v>42753</v>
      </c>
      <c r="B1469" s="10" t="s">
        <v>3238</v>
      </c>
      <c r="C1469" s="10" t="s">
        <v>3239</v>
      </c>
      <c r="D1469" s="11">
        <v>42782.298414351855</v>
      </c>
      <c r="E1469" s="10" t="s">
        <v>122</v>
      </c>
    </row>
    <row r="1470" spans="1:5">
      <c r="A1470" s="11">
        <v>42753</v>
      </c>
      <c r="B1470" s="10" t="s">
        <v>3240</v>
      </c>
      <c r="C1470" s="10" t="s">
        <v>3241</v>
      </c>
      <c r="D1470" s="11">
        <v>42781.9530787037</v>
      </c>
      <c r="E1470" s="10" t="s">
        <v>237</v>
      </c>
    </row>
    <row r="1471" spans="1:5">
      <c r="A1471" s="11">
        <v>42753</v>
      </c>
      <c r="B1471" s="10" t="s">
        <v>3242</v>
      </c>
      <c r="C1471" s="10" t="s">
        <v>3243</v>
      </c>
      <c r="D1471" s="11">
        <v>42781.645497685182</v>
      </c>
      <c r="E1471" s="10" t="s">
        <v>902</v>
      </c>
    </row>
    <row r="1472" spans="1:5">
      <c r="A1472" s="11">
        <v>42753</v>
      </c>
      <c r="B1472" s="10" t="s">
        <v>3244</v>
      </c>
      <c r="C1472" s="10" t="s">
        <v>3245</v>
      </c>
      <c r="D1472" s="11">
        <v>42782.435289351852</v>
      </c>
      <c r="E1472" s="10" t="s">
        <v>1103</v>
      </c>
    </row>
    <row r="1473" spans="1:5">
      <c r="A1473" s="11">
        <v>42753</v>
      </c>
      <c r="B1473" s="10" t="s">
        <v>3246</v>
      </c>
      <c r="C1473" s="10" t="s">
        <v>3247</v>
      </c>
      <c r="D1473" s="11">
        <v>42782.477025462962</v>
      </c>
      <c r="E1473" s="10" t="s">
        <v>218</v>
      </c>
    </row>
    <row r="1474" spans="1:5">
      <c r="A1474" s="11">
        <v>42753</v>
      </c>
      <c r="B1474" s="10" t="s">
        <v>3248</v>
      </c>
      <c r="C1474" s="10" t="s">
        <v>3249</v>
      </c>
      <c r="D1474" s="11">
        <v>42780.367881944447</v>
      </c>
      <c r="E1474" s="10" t="s">
        <v>433</v>
      </c>
    </row>
    <row r="1475" spans="1:5" ht="21.6">
      <c r="A1475" s="11">
        <v>42753</v>
      </c>
      <c r="B1475" s="10" t="s">
        <v>3250</v>
      </c>
      <c r="C1475" s="10" t="s">
        <v>3251</v>
      </c>
      <c r="D1475" s="11">
        <v>42781.613680555558</v>
      </c>
      <c r="E1475" s="10" t="s">
        <v>1316</v>
      </c>
    </row>
    <row r="1476" spans="1:5">
      <c r="A1476" s="11">
        <v>42753</v>
      </c>
      <c r="B1476" s="10" t="s">
        <v>3252</v>
      </c>
      <c r="C1476" s="10" t="s">
        <v>3253</v>
      </c>
      <c r="D1476" s="11">
        <v>42782.406446759262</v>
      </c>
      <c r="E1476" s="10" t="s">
        <v>99</v>
      </c>
    </row>
    <row r="1477" spans="1:5">
      <c r="A1477" s="11">
        <v>42753</v>
      </c>
      <c r="B1477" s="10" t="s">
        <v>3254</v>
      </c>
      <c r="C1477" s="10" t="s">
        <v>3255</v>
      </c>
      <c r="D1477" s="11">
        <v>42782.684629629628</v>
      </c>
      <c r="E1477" s="10" t="s">
        <v>237</v>
      </c>
    </row>
    <row r="1478" spans="1:5">
      <c r="A1478" s="11">
        <v>42753</v>
      </c>
      <c r="B1478" s="10" t="s">
        <v>3256</v>
      </c>
      <c r="C1478" s="10" t="s">
        <v>3257</v>
      </c>
      <c r="D1478" s="11">
        <v>42753.769849537035</v>
      </c>
      <c r="E1478" s="10" t="s">
        <v>209</v>
      </c>
    </row>
    <row r="1479" spans="1:5">
      <c r="A1479" s="11">
        <v>42753</v>
      </c>
      <c r="B1479" s="10" t="s">
        <v>3258</v>
      </c>
      <c r="C1479" s="10" t="s">
        <v>3259</v>
      </c>
      <c r="D1479" s="11">
        <v>42779.667164351849</v>
      </c>
      <c r="E1479" s="10" t="s">
        <v>237</v>
      </c>
    </row>
    <row r="1480" spans="1:5">
      <c r="A1480" s="11">
        <v>42753</v>
      </c>
      <c r="B1480" s="10" t="s">
        <v>3260</v>
      </c>
      <c r="C1480" s="10" t="s">
        <v>3261</v>
      </c>
      <c r="D1480" s="11">
        <v>42781.698784722219</v>
      </c>
      <c r="E1480" s="10" t="s">
        <v>335</v>
      </c>
    </row>
    <row r="1481" spans="1:5">
      <c r="A1481" s="11">
        <v>42754</v>
      </c>
      <c r="B1481" s="10" t="s">
        <v>3262</v>
      </c>
      <c r="C1481" s="10" t="s">
        <v>3263</v>
      </c>
      <c r="D1481" s="11">
        <v>42776.770937499998</v>
      </c>
      <c r="E1481" s="10" t="s">
        <v>433</v>
      </c>
    </row>
    <row r="1482" spans="1:5">
      <c r="A1482" s="11">
        <v>42754</v>
      </c>
      <c r="B1482" s="10" t="s">
        <v>3264</v>
      </c>
      <c r="C1482" s="10" t="s">
        <v>3265</v>
      </c>
      <c r="D1482" s="11">
        <v>42782.708449074074</v>
      </c>
      <c r="E1482" s="10" t="s">
        <v>122</v>
      </c>
    </row>
    <row r="1483" spans="1:5" ht="21.6">
      <c r="A1483" s="11">
        <v>42754</v>
      </c>
      <c r="B1483" s="10" t="s">
        <v>3266</v>
      </c>
      <c r="C1483" s="10" t="s">
        <v>3267</v>
      </c>
      <c r="D1483" s="11">
        <v>42782.469039351854</v>
      </c>
      <c r="E1483" s="10" t="s">
        <v>966</v>
      </c>
    </row>
    <row r="1484" spans="1:5">
      <c r="A1484" s="11">
        <v>42754</v>
      </c>
      <c r="B1484" s="10" t="s">
        <v>3268</v>
      </c>
      <c r="C1484" s="10" t="s">
        <v>3269</v>
      </c>
      <c r="D1484" s="11">
        <v>42782.480694444443</v>
      </c>
      <c r="E1484" s="10" t="s">
        <v>433</v>
      </c>
    </row>
    <row r="1485" spans="1:5">
      <c r="A1485" s="11">
        <v>42754</v>
      </c>
      <c r="B1485" s="10" t="s">
        <v>3270</v>
      </c>
      <c r="C1485" s="10" t="s">
        <v>3271</v>
      </c>
      <c r="D1485" s="11">
        <v>42781.566388888888</v>
      </c>
      <c r="E1485" s="10" t="s">
        <v>2124</v>
      </c>
    </row>
    <row r="1486" spans="1:5">
      <c r="A1486" s="11">
        <v>42754</v>
      </c>
      <c r="B1486" s="10" t="s">
        <v>3272</v>
      </c>
      <c r="C1486" s="10" t="s">
        <v>3273</v>
      </c>
      <c r="D1486" s="11">
        <v>42782.484270833331</v>
      </c>
      <c r="E1486" s="10" t="s">
        <v>335</v>
      </c>
    </row>
    <row r="1487" spans="1:5">
      <c r="A1487" s="11">
        <v>42754</v>
      </c>
      <c r="B1487" s="10" t="s">
        <v>3274</v>
      </c>
      <c r="C1487" s="10" t="s">
        <v>3275</v>
      </c>
      <c r="D1487" s="11">
        <v>42782.627893518518</v>
      </c>
      <c r="E1487" s="10" t="s">
        <v>122</v>
      </c>
    </row>
    <row r="1488" spans="1:5">
      <c r="A1488" s="11">
        <v>42754</v>
      </c>
      <c r="B1488" s="10" t="s">
        <v>3276</v>
      </c>
      <c r="C1488" s="10" t="s">
        <v>3277</v>
      </c>
      <c r="D1488" s="11">
        <v>42780.734409722223</v>
      </c>
      <c r="E1488" s="10" t="s">
        <v>2515</v>
      </c>
    </row>
    <row r="1489" spans="1:5">
      <c r="A1489" s="11">
        <v>42754</v>
      </c>
      <c r="B1489" s="10" t="s">
        <v>3278</v>
      </c>
      <c r="C1489" s="10" t="s">
        <v>3279</v>
      </c>
      <c r="D1489" s="11">
        <v>42782.541018518517</v>
      </c>
      <c r="E1489" s="10" t="s">
        <v>122</v>
      </c>
    </row>
    <row r="1490" spans="1:5">
      <c r="A1490" s="11">
        <v>42754</v>
      </c>
      <c r="B1490" s="10" t="s">
        <v>3280</v>
      </c>
      <c r="C1490" s="10" t="s">
        <v>3281</v>
      </c>
      <c r="D1490" s="11">
        <v>42782.439259259256</v>
      </c>
      <c r="E1490" s="10" t="s">
        <v>1319</v>
      </c>
    </row>
    <row r="1491" spans="1:5">
      <c r="A1491" s="11">
        <v>42754</v>
      </c>
      <c r="B1491" s="10" t="s">
        <v>3282</v>
      </c>
      <c r="C1491" s="10" t="s">
        <v>3283</v>
      </c>
      <c r="D1491" s="11">
        <v>42781.796689814815</v>
      </c>
      <c r="E1491" s="10" t="s">
        <v>479</v>
      </c>
    </row>
    <row r="1492" spans="1:5">
      <c r="A1492" s="11">
        <v>42754</v>
      </c>
      <c r="B1492" s="10" t="s">
        <v>3284</v>
      </c>
      <c r="C1492" s="10" t="s">
        <v>3285</v>
      </c>
      <c r="D1492" s="11">
        <v>42778.724664351852</v>
      </c>
      <c r="E1492" s="10" t="s">
        <v>2515</v>
      </c>
    </row>
    <row r="1493" spans="1:5">
      <c r="A1493" s="11">
        <v>42754</v>
      </c>
      <c r="B1493" s="10" t="s">
        <v>3286</v>
      </c>
      <c r="C1493" s="10" t="s">
        <v>3287</v>
      </c>
      <c r="D1493" s="11">
        <v>42781.482997685183</v>
      </c>
      <c r="E1493" s="10" t="s">
        <v>215</v>
      </c>
    </row>
    <row r="1494" spans="1:5">
      <c r="A1494" s="11">
        <v>42754</v>
      </c>
      <c r="B1494" s="10" t="s">
        <v>3288</v>
      </c>
      <c r="C1494" s="10" t="s">
        <v>3289</v>
      </c>
      <c r="D1494" s="11">
        <v>42779.480717592596</v>
      </c>
      <c r="E1494" s="10" t="s">
        <v>482</v>
      </c>
    </row>
    <row r="1495" spans="1:5">
      <c r="A1495" s="11">
        <v>42754</v>
      </c>
      <c r="B1495" s="10" t="s">
        <v>3290</v>
      </c>
      <c r="C1495" s="10" t="s">
        <v>3291</v>
      </c>
      <c r="D1495" s="11">
        <v>42754.625949074078</v>
      </c>
      <c r="E1495" s="10" t="s">
        <v>2277</v>
      </c>
    </row>
    <row r="1496" spans="1:5">
      <c r="A1496" s="11">
        <v>42754</v>
      </c>
      <c r="B1496" s="10" t="s">
        <v>3292</v>
      </c>
      <c r="C1496" s="10" t="s">
        <v>3293</v>
      </c>
      <c r="D1496" s="11">
        <v>42754.626689814817</v>
      </c>
      <c r="E1496" s="10" t="s">
        <v>2277</v>
      </c>
    </row>
    <row r="1497" spans="1:5">
      <c r="A1497" s="11">
        <v>42754</v>
      </c>
      <c r="B1497" s="10" t="s">
        <v>3294</v>
      </c>
      <c r="C1497" s="10" t="s">
        <v>3295</v>
      </c>
      <c r="D1497" s="11">
        <v>42780.413611111115</v>
      </c>
      <c r="E1497" s="10" t="s">
        <v>218</v>
      </c>
    </row>
    <row r="1498" spans="1:5">
      <c r="A1498" s="11">
        <v>42754</v>
      </c>
      <c r="B1498" s="10" t="s">
        <v>3296</v>
      </c>
      <c r="C1498" s="10" t="s">
        <v>3297</v>
      </c>
      <c r="D1498" s="11">
        <v>42781.452534722222</v>
      </c>
      <c r="E1498" s="10" t="s">
        <v>178</v>
      </c>
    </row>
    <row r="1499" spans="1:5">
      <c r="A1499" s="11">
        <v>42754</v>
      </c>
      <c r="B1499" s="10" t="s">
        <v>3298</v>
      </c>
      <c r="C1499" s="10" t="s">
        <v>3299</v>
      </c>
      <c r="D1499" s="11">
        <v>42779.622164351851</v>
      </c>
      <c r="E1499" s="10" t="s">
        <v>2515</v>
      </c>
    </row>
    <row r="1500" spans="1:5">
      <c r="A1500" s="11">
        <v>42754</v>
      </c>
      <c r="B1500" s="10" t="s">
        <v>3300</v>
      </c>
      <c r="C1500" s="10" t="s">
        <v>3301</v>
      </c>
      <c r="D1500" s="11">
        <v>42781.537094907406</v>
      </c>
      <c r="E1500" s="10" t="s">
        <v>479</v>
      </c>
    </row>
    <row r="1501" spans="1:5">
      <c r="A1501" s="11">
        <v>42754</v>
      </c>
      <c r="B1501" s="10" t="s">
        <v>3302</v>
      </c>
      <c r="C1501" s="10" t="s">
        <v>3303</v>
      </c>
      <c r="D1501" s="11">
        <v>42780.52034722222</v>
      </c>
      <c r="E1501" s="10" t="s">
        <v>683</v>
      </c>
    </row>
    <row r="1502" spans="1:5">
      <c r="A1502" s="11">
        <v>42754</v>
      </c>
      <c r="B1502" s="10" t="s">
        <v>3304</v>
      </c>
      <c r="C1502" s="10" t="s">
        <v>3305</v>
      </c>
      <c r="D1502" s="11">
        <v>42782.6094212963</v>
      </c>
      <c r="E1502" s="10" t="s">
        <v>240</v>
      </c>
    </row>
    <row r="1503" spans="1:5">
      <c r="A1503" s="11">
        <v>42754</v>
      </c>
      <c r="B1503" s="10" t="s">
        <v>3306</v>
      </c>
      <c r="C1503" s="10" t="s">
        <v>3307</v>
      </c>
      <c r="D1503" s="11">
        <v>42781.947824074072</v>
      </c>
      <c r="E1503" s="10" t="s">
        <v>2201</v>
      </c>
    </row>
    <row r="1504" spans="1:5">
      <c r="A1504" s="11">
        <v>42754</v>
      </c>
      <c r="B1504" s="10" t="s">
        <v>3308</v>
      </c>
      <c r="C1504" s="10" t="s">
        <v>3309</v>
      </c>
      <c r="D1504" s="11">
        <v>42782.609907407408</v>
      </c>
      <c r="E1504" s="10" t="s">
        <v>209</v>
      </c>
    </row>
    <row r="1505" spans="1:5">
      <c r="A1505" s="11">
        <v>42754</v>
      </c>
      <c r="B1505" s="10" t="s">
        <v>3310</v>
      </c>
      <c r="C1505" s="10" t="s">
        <v>3311</v>
      </c>
      <c r="D1505" s="11">
        <v>42781.397662037038</v>
      </c>
      <c r="E1505" s="10" t="s">
        <v>2547</v>
      </c>
    </row>
    <row r="1506" spans="1:5">
      <c r="A1506" s="11">
        <v>42755</v>
      </c>
      <c r="B1506" s="10" t="s">
        <v>3312</v>
      </c>
      <c r="C1506" s="10" t="s">
        <v>3313</v>
      </c>
      <c r="D1506" s="11">
        <v>42782.574918981481</v>
      </c>
      <c r="E1506" s="10" t="s">
        <v>3314</v>
      </c>
    </row>
    <row r="1507" spans="1:5">
      <c r="A1507" s="11">
        <v>42755</v>
      </c>
      <c r="B1507" s="10" t="s">
        <v>3315</v>
      </c>
      <c r="C1507" s="10" t="s">
        <v>3316</v>
      </c>
      <c r="D1507" s="11">
        <v>42781.712048611109</v>
      </c>
      <c r="E1507" s="10" t="s">
        <v>465</v>
      </c>
    </row>
    <row r="1508" spans="1:5">
      <c r="A1508" s="11">
        <v>42755</v>
      </c>
      <c r="B1508" s="10" t="s">
        <v>3317</v>
      </c>
      <c r="C1508" s="10" t="s">
        <v>3318</v>
      </c>
      <c r="D1508" s="11">
        <v>42782.44804398148</v>
      </c>
      <c r="E1508" s="10" t="s">
        <v>3319</v>
      </c>
    </row>
    <row r="1509" spans="1:5">
      <c r="A1509" s="11">
        <v>42755</v>
      </c>
      <c r="B1509" s="10" t="s">
        <v>3320</v>
      </c>
      <c r="C1509" s="10" t="s">
        <v>3321</v>
      </c>
      <c r="D1509" s="11">
        <v>42770.364560185182</v>
      </c>
      <c r="E1509" s="10" t="s">
        <v>433</v>
      </c>
    </row>
    <row r="1510" spans="1:5">
      <c r="A1510" s="11">
        <v>42755</v>
      </c>
      <c r="B1510" s="10" t="s">
        <v>3322</v>
      </c>
      <c r="C1510" s="10" t="s">
        <v>3323</v>
      </c>
      <c r="D1510" s="11">
        <v>42782.705983796295</v>
      </c>
      <c r="E1510" s="10" t="s">
        <v>122</v>
      </c>
    </row>
    <row r="1511" spans="1:5">
      <c r="A1511" s="11">
        <v>42755</v>
      </c>
      <c r="B1511" s="10" t="s">
        <v>3324</v>
      </c>
      <c r="C1511" s="10" t="s">
        <v>3325</v>
      </c>
      <c r="D1511" s="11">
        <v>42755.561342592591</v>
      </c>
      <c r="E1511" s="10" t="s">
        <v>422</v>
      </c>
    </row>
    <row r="1512" spans="1:5">
      <c r="A1512" s="11">
        <v>42755</v>
      </c>
      <c r="B1512" s="10" t="s">
        <v>3326</v>
      </c>
      <c r="C1512" s="10" t="s">
        <v>3327</v>
      </c>
      <c r="D1512" s="11">
        <v>42780.618113425924</v>
      </c>
      <c r="E1512" s="10" t="s">
        <v>237</v>
      </c>
    </row>
    <row r="1513" spans="1:5">
      <c r="A1513" s="11">
        <v>42755</v>
      </c>
      <c r="B1513" s="10" t="s">
        <v>3328</v>
      </c>
      <c r="C1513" s="10" t="s">
        <v>3329</v>
      </c>
      <c r="D1513" s="11">
        <v>42782.41133101852</v>
      </c>
      <c r="E1513" s="10" t="s">
        <v>433</v>
      </c>
    </row>
    <row r="1514" spans="1:5">
      <c r="A1514" s="11">
        <v>42755</v>
      </c>
      <c r="B1514" s="10" t="s">
        <v>3330</v>
      </c>
      <c r="C1514" s="10" t="s">
        <v>3331</v>
      </c>
      <c r="D1514" s="11">
        <v>42780.669282407405</v>
      </c>
      <c r="E1514" s="10" t="s">
        <v>218</v>
      </c>
    </row>
    <row r="1515" spans="1:5">
      <c r="A1515" s="11">
        <v>42755</v>
      </c>
      <c r="B1515" s="10" t="s">
        <v>3332</v>
      </c>
      <c r="C1515" s="10" t="s">
        <v>3333</v>
      </c>
      <c r="D1515" s="11">
        <v>42782.611666666664</v>
      </c>
      <c r="E1515" s="10" t="s">
        <v>2201</v>
      </c>
    </row>
    <row r="1516" spans="1:5">
      <c r="A1516" s="11">
        <v>42755</v>
      </c>
      <c r="B1516" s="10" t="s">
        <v>3334</v>
      </c>
      <c r="C1516" s="10" t="s">
        <v>3335</v>
      </c>
      <c r="D1516" s="11">
        <v>42779.588206018518</v>
      </c>
      <c r="E1516" s="10" t="s">
        <v>2201</v>
      </c>
    </row>
    <row r="1517" spans="1:5">
      <c r="A1517" s="11">
        <v>42755</v>
      </c>
      <c r="B1517" s="10" t="s">
        <v>3336</v>
      </c>
      <c r="C1517" s="10" t="s">
        <v>3337</v>
      </c>
      <c r="D1517" s="11">
        <v>42779.606840277775</v>
      </c>
      <c r="E1517" s="10" t="s">
        <v>122</v>
      </c>
    </row>
    <row r="1518" spans="1:5">
      <c r="A1518" s="11">
        <v>42755</v>
      </c>
      <c r="B1518" s="10" t="s">
        <v>3338</v>
      </c>
      <c r="C1518" s="10" t="s">
        <v>3339</v>
      </c>
      <c r="D1518" s="11">
        <v>42781.653854166667</v>
      </c>
      <c r="E1518" s="10" t="s">
        <v>1103</v>
      </c>
    </row>
    <row r="1519" spans="1:5">
      <c r="A1519" s="11">
        <v>42755</v>
      </c>
      <c r="B1519" s="10" t="s">
        <v>3340</v>
      </c>
      <c r="C1519" s="10" t="s">
        <v>3341</v>
      </c>
      <c r="D1519" s="11">
        <v>42779.755740740744</v>
      </c>
      <c r="E1519" s="10" t="s">
        <v>902</v>
      </c>
    </row>
    <row r="1520" spans="1:5">
      <c r="A1520" s="11">
        <v>42755</v>
      </c>
      <c r="B1520" s="10" t="s">
        <v>3342</v>
      </c>
      <c r="C1520" s="10" t="s">
        <v>3343</v>
      </c>
      <c r="D1520" s="11">
        <v>42781.609016203707</v>
      </c>
      <c r="E1520" s="10" t="s">
        <v>902</v>
      </c>
    </row>
    <row r="1521" spans="1:5">
      <c r="A1521" s="11">
        <v>42755</v>
      </c>
      <c r="B1521" s="10" t="s">
        <v>3344</v>
      </c>
      <c r="C1521" s="10" t="s">
        <v>3345</v>
      </c>
      <c r="D1521" s="11">
        <v>42782.430636574078</v>
      </c>
      <c r="E1521" s="10" t="s">
        <v>237</v>
      </c>
    </row>
    <row r="1522" spans="1:5">
      <c r="A1522" s="11">
        <v>42755</v>
      </c>
      <c r="B1522" s="10" t="s">
        <v>3346</v>
      </c>
      <c r="C1522" s="10" t="s">
        <v>3347</v>
      </c>
      <c r="D1522" s="11">
        <v>42777.682291666664</v>
      </c>
      <c r="E1522" s="10" t="s">
        <v>373</v>
      </c>
    </row>
    <row r="1523" spans="1:5">
      <c r="A1523" s="11">
        <v>42755</v>
      </c>
      <c r="B1523" s="10" t="s">
        <v>3348</v>
      </c>
      <c r="C1523" s="10" t="s">
        <v>3349</v>
      </c>
      <c r="D1523" s="11">
        <v>42782.476759259262</v>
      </c>
      <c r="E1523" s="10" t="s">
        <v>1103</v>
      </c>
    </row>
    <row r="1524" spans="1:5">
      <c r="A1524" s="11">
        <v>42755</v>
      </c>
      <c r="B1524" s="10" t="s">
        <v>3350</v>
      </c>
      <c r="C1524" s="10" t="s">
        <v>3351</v>
      </c>
      <c r="D1524" s="11">
        <v>42782.540752314817</v>
      </c>
      <c r="E1524" s="10" t="s">
        <v>1658</v>
      </c>
    </row>
    <row r="1525" spans="1:5">
      <c r="A1525" s="11">
        <v>42755</v>
      </c>
      <c r="B1525" s="10" t="s">
        <v>3352</v>
      </c>
      <c r="C1525" s="10" t="s">
        <v>3353</v>
      </c>
      <c r="D1525" s="11">
        <v>42781.380624999998</v>
      </c>
      <c r="E1525" s="10" t="s">
        <v>108</v>
      </c>
    </row>
    <row r="1526" spans="1:5">
      <c r="A1526" s="11">
        <v>42755</v>
      </c>
      <c r="B1526" s="10" t="s">
        <v>3354</v>
      </c>
      <c r="C1526" s="10" t="s">
        <v>3355</v>
      </c>
      <c r="D1526" s="11">
        <v>42781.450196759259</v>
      </c>
      <c r="E1526" s="10" t="s">
        <v>380</v>
      </c>
    </row>
    <row r="1527" spans="1:5">
      <c r="A1527" s="11">
        <v>42756</v>
      </c>
      <c r="B1527" s="10" t="s">
        <v>3356</v>
      </c>
      <c r="C1527" s="10" t="s">
        <v>3357</v>
      </c>
      <c r="D1527" s="11">
        <v>42773.636874999997</v>
      </c>
      <c r="E1527" s="10" t="s">
        <v>212</v>
      </c>
    </row>
    <row r="1528" spans="1:5">
      <c r="A1528" s="11">
        <v>42756</v>
      </c>
      <c r="B1528" s="10" t="s">
        <v>3358</v>
      </c>
      <c r="C1528" s="10" t="s">
        <v>3359</v>
      </c>
      <c r="D1528" s="11">
        <v>42781.716747685183</v>
      </c>
      <c r="E1528" s="10" t="s">
        <v>373</v>
      </c>
    </row>
    <row r="1529" spans="1:5">
      <c r="A1529" s="11">
        <v>42756</v>
      </c>
      <c r="B1529" s="10" t="s">
        <v>3360</v>
      </c>
      <c r="C1529" s="10" t="s">
        <v>3361</v>
      </c>
      <c r="D1529" s="11">
        <v>42779.488113425927</v>
      </c>
      <c r="E1529" s="10" t="s">
        <v>308</v>
      </c>
    </row>
    <row r="1530" spans="1:5">
      <c r="A1530" s="11">
        <v>42756</v>
      </c>
      <c r="B1530" s="10" t="s">
        <v>3362</v>
      </c>
      <c r="C1530" s="10" t="s">
        <v>3363</v>
      </c>
      <c r="D1530" s="11">
        <v>42781.886331018519</v>
      </c>
      <c r="E1530" s="10" t="s">
        <v>2186</v>
      </c>
    </row>
    <row r="1531" spans="1:5">
      <c r="A1531" s="11">
        <v>42756</v>
      </c>
      <c r="B1531" s="10" t="s">
        <v>3364</v>
      </c>
      <c r="C1531" s="10" t="s">
        <v>3365</v>
      </c>
      <c r="D1531" s="11">
        <v>42782.709189814814</v>
      </c>
      <c r="E1531" s="10" t="s">
        <v>433</v>
      </c>
    </row>
    <row r="1532" spans="1:5">
      <c r="A1532" s="11">
        <v>42756</v>
      </c>
      <c r="B1532" s="10" t="s">
        <v>3366</v>
      </c>
      <c r="C1532" s="10" t="s">
        <v>3367</v>
      </c>
      <c r="D1532" s="11">
        <v>42782.696168981478</v>
      </c>
      <c r="E1532" s="10" t="s">
        <v>2201</v>
      </c>
    </row>
    <row r="1533" spans="1:5">
      <c r="A1533" s="11">
        <v>42756</v>
      </c>
      <c r="B1533" s="10" t="s">
        <v>3368</v>
      </c>
      <c r="C1533" s="10" t="s">
        <v>3369</v>
      </c>
      <c r="D1533" s="11">
        <v>42780.517974537041</v>
      </c>
      <c r="E1533" s="10" t="s">
        <v>479</v>
      </c>
    </row>
    <row r="1534" spans="1:5">
      <c r="A1534" s="11">
        <v>42756</v>
      </c>
      <c r="B1534" s="10" t="s">
        <v>3370</v>
      </c>
      <c r="C1534" s="10" t="s">
        <v>3371</v>
      </c>
      <c r="D1534" s="11">
        <v>42782.676157407404</v>
      </c>
      <c r="E1534" s="10" t="s">
        <v>308</v>
      </c>
    </row>
    <row r="1535" spans="1:5">
      <c r="A1535" s="11">
        <v>42756</v>
      </c>
      <c r="B1535" s="10" t="s">
        <v>3372</v>
      </c>
      <c r="C1535" s="10" t="s">
        <v>3373</v>
      </c>
      <c r="D1535" s="11">
        <v>42781.959733796299</v>
      </c>
      <c r="E1535" s="10" t="s">
        <v>966</v>
      </c>
    </row>
    <row r="1536" spans="1:5">
      <c r="A1536" s="11">
        <v>42756</v>
      </c>
      <c r="B1536" s="10" t="s">
        <v>3374</v>
      </c>
      <c r="C1536" s="10" t="s">
        <v>3375</v>
      </c>
      <c r="D1536" s="11">
        <v>42781.959872685184</v>
      </c>
      <c r="E1536" s="10" t="s">
        <v>1103</v>
      </c>
    </row>
    <row r="1537" spans="1:5">
      <c r="A1537" s="11">
        <v>42756</v>
      </c>
      <c r="B1537" s="10" t="s">
        <v>3376</v>
      </c>
      <c r="C1537" s="10" t="s">
        <v>3377</v>
      </c>
      <c r="D1537" s="11">
        <v>42779.684537037036</v>
      </c>
      <c r="E1537" s="10" t="s">
        <v>2538</v>
      </c>
    </row>
    <row r="1538" spans="1:5">
      <c r="A1538" s="11">
        <v>42756</v>
      </c>
      <c r="B1538" s="10" t="s">
        <v>3378</v>
      </c>
      <c r="C1538" s="10" t="s">
        <v>3379</v>
      </c>
      <c r="D1538" s="11">
        <v>42779.440937500003</v>
      </c>
      <c r="E1538" s="10" t="s">
        <v>479</v>
      </c>
    </row>
    <row r="1539" spans="1:5" ht="21.6">
      <c r="A1539" s="11">
        <v>42756</v>
      </c>
      <c r="B1539" s="10" t="s">
        <v>3380</v>
      </c>
      <c r="C1539" s="10" t="s">
        <v>3381</v>
      </c>
      <c r="D1539" s="11">
        <v>42780.823368055557</v>
      </c>
      <c r="E1539" s="10" t="s">
        <v>966</v>
      </c>
    </row>
    <row r="1540" spans="1:5">
      <c r="A1540" s="11">
        <v>42756</v>
      </c>
      <c r="B1540" s="10" t="s">
        <v>3382</v>
      </c>
      <c r="C1540" s="10" t="s">
        <v>3383</v>
      </c>
      <c r="D1540" s="11">
        <v>42781.778912037036</v>
      </c>
      <c r="E1540" s="10" t="s">
        <v>373</v>
      </c>
    </row>
    <row r="1541" spans="1:5">
      <c r="A1541" s="11">
        <v>42756</v>
      </c>
      <c r="B1541" s="10" t="s">
        <v>3384</v>
      </c>
      <c r="C1541" s="10" t="s">
        <v>3385</v>
      </c>
      <c r="D1541" s="11">
        <v>42782.452997685185</v>
      </c>
      <c r="E1541" s="10" t="s">
        <v>2683</v>
      </c>
    </row>
    <row r="1542" spans="1:5">
      <c r="A1542" s="11">
        <v>42756</v>
      </c>
      <c r="B1542" s="10" t="s">
        <v>3386</v>
      </c>
      <c r="C1542" s="10" t="s">
        <v>3387</v>
      </c>
      <c r="D1542" s="11">
        <v>42769.436249999999</v>
      </c>
      <c r="E1542" s="10" t="s">
        <v>2201</v>
      </c>
    </row>
    <row r="1543" spans="1:5">
      <c r="A1543" s="11">
        <v>42756</v>
      </c>
      <c r="B1543" s="10" t="s">
        <v>3388</v>
      </c>
      <c r="C1543" s="10" t="s">
        <v>3389</v>
      </c>
      <c r="D1543" s="11">
        <v>42782.667870370373</v>
      </c>
      <c r="E1543" s="10" t="s">
        <v>122</v>
      </c>
    </row>
    <row r="1544" spans="1:5">
      <c r="A1544" s="11">
        <v>42756</v>
      </c>
      <c r="B1544" s="10" t="s">
        <v>3390</v>
      </c>
      <c r="C1544" s="10" t="s">
        <v>3391</v>
      </c>
      <c r="D1544" s="11">
        <v>42780.429409722223</v>
      </c>
      <c r="E1544" s="10" t="s">
        <v>373</v>
      </c>
    </row>
    <row r="1545" spans="1:5">
      <c r="A1545" s="11">
        <v>42756</v>
      </c>
      <c r="B1545" s="10" t="s">
        <v>3392</v>
      </c>
      <c r="C1545" s="10" t="s">
        <v>3393</v>
      </c>
      <c r="D1545" s="11">
        <v>42779.803414351853</v>
      </c>
      <c r="E1545" s="10" t="s">
        <v>2124</v>
      </c>
    </row>
    <row r="1546" spans="1:5" ht="21.6">
      <c r="A1546" s="11">
        <v>42756</v>
      </c>
      <c r="B1546" s="10" t="s">
        <v>3394</v>
      </c>
      <c r="C1546" s="10" t="s">
        <v>3395</v>
      </c>
      <c r="D1546" s="11">
        <v>42782.414768518516</v>
      </c>
      <c r="E1546" s="10" t="s">
        <v>966</v>
      </c>
    </row>
    <row r="1547" spans="1:5">
      <c r="A1547" s="11">
        <v>42756</v>
      </c>
      <c r="B1547" s="10" t="s">
        <v>3396</v>
      </c>
      <c r="C1547" s="10" t="s">
        <v>3397</v>
      </c>
      <c r="D1547" s="11">
        <v>42782.701967592591</v>
      </c>
      <c r="E1547" s="10" t="s">
        <v>218</v>
      </c>
    </row>
    <row r="1548" spans="1:5">
      <c r="A1548" s="11">
        <v>42756</v>
      </c>
      <c r="B1548" s="10" t="s">
        <v>3398</v>
      </c>
      <c r="C1548" s="10" t="s">
        <v>3399</v>
      </c>
      <c r="D1548" s="11">
        <v>42781.751770833333</v>
      </c>
      <c r="E1548" s="10" t="s">
        <v>240</v>
      </c>
    </row>
    <row r="1549" spans="1:5">
      <c r="A1549" s="11">
        <v>42756</v>
      </c>
      <c r="B1549" s="10" t="s">
        <v>3400</v>
      </c>
      <c r="C1549" s="10" t="s">
        <v>3401</v>
      </c>
      <c r="D1549" s="11">
        <v>42782.344259259262</v>
      </c>
      <c r="E1549" s="10" t="s">
        <v>608</v>
      </c>
    </row>
    <row r="1550" spans="1:5">
      <c r="A1550" s="11">
        <v>42756</v>
      </c>
      <c r="B1550" s="10" t="s">
        <v>3402</v>
      </c>
      <c r="C1550" s="10" t="s">
        <v>3403</v>
      </c>
      <c r="D1550" s="11">
        <v>42781.886782407404</v>
      </c>
      <c r="E1550" s="10" t="s">
        <v>2547</v>
      </c>
    </row>
    <row r="1551" spans="1:5">
      <c r="A1551" s="11">
        <v>42756</v>
      </c>
      <c r="B1551" s="10" t="s">
        <v>3404</v>
      </c>
      <c r="C1551" s="10" t="s">
        <v>3405</v>
      </c>
      <c r="D1551" s="11">
        <v>42778.856377314813</v>
      </c>
      <c r="E1551" s="10" t="s">
        <v>218</v>
      </c>
    </row>
    <row r="1552" spans="1:5">
      <c r="A1552" s="11">
        <v>42757</v>
      </c>
      <c r="B1552" s="10" t="s">
        <v>3406</v>
      </c>
      <c r="C1552" s="10" t="s">
        <v>3407</v>
      </c>
      <c r="D1552" s="11">
        <v>42757.056319444448</v>
      </c>
      <c r="E1552" s="10" t="s">
        <v>96</v>
      </c>
    </row>
    <row r="1553" spans="1:5">
      <c r="A1553" s="11">
        <v>42757</v>
      </c>
      <c r="B1553" s="10" t="s">
        <v>3408</v>
      </c>
      <c r="C1553" s="10" t="s">
        <v>3409</v>
      </c>
      <c r="D1553" s="11">
        <v>42757.083124999997</v>
      </c>
      <c r="E1553" s="10" t="s">
        <v>96</v>
      </c>
    </row>
    <row r="1554" spans="1:5">
      <c r="A1554" s="11">
        <v>42757</v>
      </c>
      <c r="B1554" s="10" t="s">
        <v>3410</v>
      </c>
      <c r="C1554" s="10" t="s">
        <v>3411</v>
      </c>
      <c r="D1554" s="11">
        <v>42757.219155092593</v>
      </c>
      <c r="E1554" s="10" t="s">
        <v>96</v>
      </c>
    </row>
    <row r="1555" spans="1:5">
      <c r="A1555" s="11">
        <v>42757</v>
      </c>
      <c r="B1555" s="10" t="s">
        <v>3412</v>
      </c>
      <c r="C1555" s="10" t="s">
        <v>3413</v>
      </c>
      <c r="D1555" s="11">
        <v>42781.555833333332</v>
      </c>
      <c r="E1555" s="10" t="s">
        <v>240</v>
      </c>
    </row>
    <row r="1556" spans="1:5">
      <c r="A1556" s="11">
        <v>42757</v>
      </c>
      <c r="B1556" s="10" t="s">
        <v>3414</v>
      </c>
      <c r="C1556" s="10" t="s">
        <v>3415</v>
      </c>
      <c r="D1556" s="11">
        <v>42779.472592592596</v>
      </c>
      <c r="E1556" s="10" t="s">
        <v>2515</v>
      </c>
    </row>
    <row r="1557" spans="1:5">
      <c r="A1557" s="11">
        <v>42757</v>
      </c>
      <c r="B1557" s="10" t="s">
        <v>3416</v>
      </c>
      <c r="C1557" s="10" t="s">
        <v>3417</v>
      </c>
      <c r="D1557" s="11">
        <v>42782.593958333331</v>
      </c>
      <c r="E1557" s="10" t="s">
        <v>237</v>
      </c>
    </row>
    <row r="1558" spans="1:5">
      <c r="A1558" s="11">
        <v>42757</v>
      </c>
      <c r="B1558" s="10" t="s">
        <v>3418</v>
      </c>
      <c r="C1558" s="10" t="s">
        <v>3419</v>
      </c>
      <c r="D1558" s="11">
        <v>42769.439791666664</v>
      </c>
      <c r="E1558" s="10" t="s">
        <v>2201</v>
      </c>
    </row>
    <row r="1559" spans="1:5" ht="21.6">
      <c r="A1559" s="11">
        <v>42757</v>
      </c>
      <c r="B1559" s="10" t="s">
        <v>3420</v>
      </c>
      <c r="C1559" s="10" t="s">
        <v>3421</v>
      </c>
      <c r="D1559" s="11">
        <v>42780.491724537038</v>
      </c>
      <c r="E1559" s="10" t="s">
        <v>830</v>
      </c>
    </row>
    <row r="1560" spans="1:5">
      <c r="A1560" s="11">
        <v>42757</v>
      </c>
      <c r="B1560" s="10" t="s">
        <v>3422</v>
      </c>
      <c r="C1560" s="10" t="s">
        <v>3423</v>
      </c>
      <c r="D1560" s="11">
        <v>42781.650914351849</v>
      </c>
      <c r="E1560" s="10" t="s">
        <v>373</v>
      </c>
    </row>
    <row r="1561" spans="1:5">
      <c r="A1561" s="11">
        <v>42757</v>
      </c>
      <c r="B1561" s="10" t="s">
        <v>3424</v>
      </c>
      <c r="C1561" s="10" t="s">
        <v>3425</v>
      </c>
      <c r="D1561" s="11">
        <v>42772.866284722222</v>
      </c>
      <c r="E1561" s="10" t="s">
        <v>2191</v>
      </c>
    </row>
    <row r="1562" spans="1:5">
      <c r="A1562" s="11">
        <v>42757</v>
      </c>
      <c r="B1562" s="10" t="s">
        <v>3426</v>
      </c>
      <c r="C1562" s="10" t="s">
        <v>3427</v>
      </c>
      <c r="D1562" s="11">
        <v>42779.647118055553</v>
      </c>
      <c r="E1562" s="10" t="s">
        <v>373</v>
      </c>
    </row>
    <row r="1563" spans="1:5">
      <c r="A1563" s="11">
        <v>42757</v>
      </c>
      <c r="B1563" s="10" t="s">
        <v>3428</v>
      </c>
      <c r="C1563" s="10" t="s">
        <v>3429</v>
      </c>
      <c r="D1563" s="11">
        <v>42781.81821759259</v>
      </c>
      <c r="E1563" s="10" t="s">
        <v>221</v>
      </c>
    </row>
    <row r="1564" spans="1:5">
      <c r="A1564" s="11">
        <v>42757</v>
      </c>
      <c r="B1564" s="10" t="s">
        <v>3430</v>
      </c>
      <c r="C1564" s="10" t="s">
        <v>3431</v>
      </c>
      <c r="D1564" s="11">
        <v>42782.443043981482</v>
      </c>
      <c r="E1564" s="10" t="s">
        <v>2201</v>
      </c>
    </row>
    <row r="1565" spans="1:5">
      <c r="A1565" s="11">
        <v>42757</v>
      </c>
      <c r="B1565" s="10" t="s">
        <v>3432</v>
      </c>
      <c r="C1565" s="10" t="s">
        <v>3433</v>
      </c>
      <c r="D1565" s="11">
        <v>42757.653645833336</v>
      </c>
      <c r="E1565" s="10" t="s">
        <v>3434</v>
      </c>
    </row>
    <row r="1566" spans="1:5">
      <c r="A1566" s="11">
        <v>42757</v>
      </c>
      <c r="B1566" s="10" t="s">
        <v>3435</v>
      </c>
      <c r="C1566" s="10" t="s">
        <v>3436</v>
      </c>
      <c r="D1566" s="11">
        <v>42779.547789351855</v>
      </c>
      <c r="E1566" s="10" t="s">
        <v>240</v>
      </c>
    </row>
    <row r="1567" spans="1:5" ht="21.6">
      <c r="A1567" s="11">
        <v>42757</v>
      </c>
      <c r="B1567" s="10" t="s">
        <v>3437</v>
      </c>
      <c r="C1567" s="10" t="s">
        <v>3438</v>
      </c>
      <c r="D1567" s="11">
        <v>42782.695590277777</v>
      </c>
      <c r="E1567" s="10" t="s">
        <v>2442</v>
      </c>
    </row>
    <row r="1568" spans="1:5">
      <c r="A1568" s="11">
        <v>42757</v>
      </c>
      <c r="B1568" s="10" t="s">
        <v>3439</v>
      </c>
      <c r="C1568" s="10" t="s">
        <v>3440</v>
      </c>
      <c r="D1568" s="11">
        <v>42779.445567129631</v>
      </c>
      <c r="E1568" s="10" t="s">
        <v>656</v>
      </c>
    </row>
    <row r="1569" spans="1:5">
      <c r="A1569" s="11">
        <v>42757</v>
      </c>
      <c r="B1569" s="10" t="s">
        <v>3441</v>
      </c>
      <c r="C1569" s="10" t="s">
        <v>3442</v>
      </c>
      <c r="D1569" s="11">
        <v>42779.815775462965</v>
      </c>
      <c r="E1569" s="10" t="s">
        <v>155</v>
      </c>
    </row>
    <row r="1570" spans="1:5">
      <c r="A1570" s="11">
        <v>42757</v>
      </c>
      <c r="B1570" s="10" t="s">
        <v>3443</v>
      </c>
      <c r="C1570" s="10" t="s">
        <v>3444</v>
      </c>
      <c r="D1570" s="11">
        <v>42780.915358796294</v>
      </c>
      <c r="E1570" s="10" t="s">
        <v>155</v>
      </c>
    </row>
    <row r="1571" spans="1:5">
      <c r="A1571" s="11">
        <v>42757</v>
      </c>
      <c r="B1571" s="10" t="s">
        <v>3445</v>
      </c>
      <c r="C1571" s="10" t="s">
        <v>3446</v>
      </c>
      <c r="D1571" s="11">
        <v>42782.641481481478</v>
      </c>
      <c r="E1571" s="10" t="s">
        <v>308</v>
      </c>
    </row>
    <row r="1572" spans="1:5">
      <c r="A1572" s="11">
        <v>42757</v>
      </c>
      <c r="B1572" s="10" t="s">
        <v>3447</v>
      </c>
      <c r="C1572" s="10" t="s">
        <v>3448</v>
      </c>
      <c r="D1572" s="11">
        <v>42780.681192129632</v>
      </c>
      <c r="E1572" s="10" t="s">
        <v>308</v>
      </c>
    </row>
    <row r="1573" spans="1:5">
      <c r="A1573" s="11">
        <v>42757</v>
      </c>
      <c r="B1573" s="10" t="s">
        <v>3449</v>
      </c>
      <c r="C1573" s="10" t="s">
        <v>3450</v>
      </c>
      <c r="D1573" s="11">
        <v>42782.416979166665</v>
      </c>
      <c r="E1573" s="10" t="s">
        <v>966</v>
      </c>
    </row>
    <row r="1574" spans="1:5">
      <c r="A1574" s="11">
        <v>42757</v>
      </c>
      <c r="B1574" s="10" t="s">
        <v>3451</v>
      </c>
      <c r="C1574" s="10" t="s">
        <v>3452</v>
      </c>
      <c r="D1574" s="11">
        <v>42782.650706018518</v>
      </c>
      <c r="E1574" s="10" t="s">
        <v>108</v>
      </c>
    </row>
    <row r="1575" spans="1:5">
      <c r="A1575" s="11">
        <v>42757</v>
      </c>
      <c r="B1575" s="10" t="s">
        <v>3453</v>
      </c>
      <c r="C1575" s="10" t="s">
        <v>3454</v>
      </c>
      <c r="D1575" s="11">
        <v>42782.569618055553</v>
      </c>
      <c r="E1575" s="10" t="s">
        <v>683</v>
      </c>
    </row>
    <row r="1576" spans="1:5">
      <c r="A1576" s="11">
        <v>42758</v>
      </c>
      <c r="B1576" s="10" t="s">
        <v>3455</v>
      </c>
      <c r="C1576" s="10" t="s">
        <v>3456</v>
      </c>
      <c r="D1576" s="11">
        <v>42781.888067129628</v>
      </c>
      <c r="E1576" s="10" t="s">
        <v>122</v>
      </c>
    </row>
    <row r="1577" spans="1:5">
      <c r="A1577" s="11">
        <v>42758</v>
      </c>
      <c r="B1577" s="10" t="s">
        <v>3457</v>
      </c>
      <c r="C1577" s="10" t="s">
        <v>3458</v>
      </c>
      <c r="D1577" s="11">
        <v>42773.45</v>
      </c>
      <c r="E1577" s="10" t="s">
        <v>122</v>
      </c>
    </row>
    <row r="1578" spans="1:5">
      <c r="A1578" s="11">
        <v>42758</v>
      </c>
      <c r="B1578" s="10" t="s">
        <v>3459</v>
      </c>
      <c r="C1578" s="10" t="s">
        <v>3460</v>
      </c>
      <c r="D1578" s="11">
        <v>42782.709097222221</v>
      </c>
      <c r="E1578" s="10" t="s">
        <v>433</v>
      </c>
    </row>
    <row r="1579" spans="1:5">
      <c r="A1579" s="11">
        <v>42758</v>
      </c>
      <c r="B1579" s="10" t="s">
        <v>3461</v>
      </c>
      <c r="C1579" s="10" t="s">
        <v>3462</v>
      </c>
      <c r="D1579" s="11">
        <v>42782.676886574074</v>
      </c>
      <c r="E1579" s="10" t="s">
        <v>433</v>
      </c>
    </row>
    <row r="1580" spans="1:5">
      <c r="A1580" s="11">
        <v>42758</v>
      </c>
      <c r="B1580" s="10" t="s">
        <v>3463</v>
      </c>
      <c r="C1580" s="10" t="s">
        <v>3464</v>
      </c>
      <c r="D1580" s="11">
        <v>42781.648761574077</v>
      </c>
      <c r="E1580" s="10" t="s">
        <v>2515</v>
      </c>
    </row>
    <row r="1581" spans="1:5">
      <c r="A1581" s="11">
        <v>42758</v>
      </c>
      <c r="B1581" s="10" t="s">
        <v>3465</v>
      </c>
      <c r="C1581" s="10" t="s">
        <v>3466</v>
      </c>
      <c r="D1581" s="11">
        <v>42781.580300925925</v>
      </c>
      <c r="E1581" s="10" t="s">
        <v>240</v>
      </c>
    </row>
    <row r="1582" spans="1:5">
      <c r="A1582" s="11">
        <v>42758</v>
      </c>
      <c r="B1582" s="10" t="s">
        <v>3467</v>
      </c>
      <c r="C1582" s="10" t="s">
        <v>3468</v>
      </c>
      <c r="D1582" s="11">
        <v>42781.46974537037</v>
      </c>
      <c r="E1582" s="10" t="s">
        <v>433</v>
      </c>
    </row>
    <row r="1583" spans="1:5">
      <c r="A1583" s="11">
        <v>42758</v>
      </c>
      <c r="B1583" s="10" t="s">
        <v>3469</v>
      </c>
      <c r="C1583" s="10" t="s">
        <v>3470</v>
      </c>
      <c r="D1583" s="11">
        <v>42780.669895833336</v>
      </c>
      <c r="E1583" s="10" t="s">
        <v>373</v>
      </c>
    </row>
    <row r="1584" spans="1:5">
      <c r="A1584" s="11">
        <v>42758</v>
      </c>
      <c r="B1584" s="10" t="s">
        <v>3471</v>
      </c>
      <c r="C1584" s="10" t="s">
        <v>3472</v>
      </c>
      <c r="D1584" s="11">
        <v>42781.482997685183</v>
      </c>
      <c r="E1584" s="10" t="s">
        <v>613</v>
      </c>
    </row>
    <row r="1585" spans="1:5">
      <c r="A1585" s="11">
        <v>42758</v>
      </c>
      <c r="B1585" s="10" t="s">
        <v>3473</v>
      </c>
      <c r="C1585" s="10" t="s">
        <v>3474</v>
      </c>
      <c r="D1585" s="11">
        <v>42780.480092592596</v>
      </c>
      <c r="E1585" s="10" t="s">
        <v>373</v>
      </c>
    </row>
    <row r="1586" spans="1:5">
      <c r="A1586" s="11">
        <v>42758</v>
      </c>
      <c r="B1586" s="10" t="s">
        <v>3475</v>
      </c>
      <c r="C1586" s="10" t="s">
        <v>3476</v>
      </c>
      <c r="D1586" s="11">
        <v>42781.926504629628</v>
      </c>
      <c r="E1586" s="10" t="s">
        <v>122</v>
      </c>
    </row>
    <row r="1587" spans="1:5">
      <c r="A1587" s="11">
        <v>42758</v>
      </c>
      <c r="B1587" s="10" t="s">
        <v>3477</v>
      </c>
      <c r="C1587" s="10" t="s">
        <v>3478</v>
      </c>
      <c r="D1587" s="11">
        <v>42782.549189814818</v>
      </c>
      <c r="E1587" s="10" t="s">
        <v>3319</v>
      </c>
    </row>
    <row r="1588" spans="1:5">
      <c r="A1588" s="11">
        <v>42758</v>
      </c>
      <c r="B1588" s="10" t="s">
        <v>3479</v>
      </c>
      <c r="C1588" s="10" t="s">
        <v>3480</v>
      </c>
      <c r="D1588" s="11">
        <v>42781.626030092593</v>
      </c>
      <c r="E1588" s="10" t="s">
        <v>433</v>
      </c>
    </row>
    <row r="1589" spans="1:5">
      <c r="A1589" s="11">
        <v>42758</v>
      </c>
      <c r="B1589" s="10" t="s">
        <v>3481</v>
      </c>
      <c r="C1589" s="10" t="s">
        <v>3482</v>
      </c>
      <c r="D1589" s="11">
        <v>42781.417951388888</v>
      </c>
      <c r="E1589" s="10" t="s">
        <v>1103</v>
      </c>
    </row>
    <row r="1590" spans="1:5">
      <c r="A1590" s="11">
        <v>42758</v>
      </c>
      <c r="B1590" s="10" t="s">
        <v>3483</v>
      </c>
      <c r="C1590" s="10" t="s">
        <v>3484</v>
      </c>
      <c r="D1590" s="11">
        <v>42780.540613425925</v>
      </c>
      <c r="E1590" s="10" t="s">
        <v>373</v>
      </c>
    </row>
    <row r="1591" spans="1:5">
      <c r="A1591" s="11">
        <v>42758</v>
      </c>
      <c r="B1591" s="10" t="s">
        <v>3485</v>
      </c>
      <c r="C1591" s="10" t="s">
        <v>3486</v>
      </c>
      <c r="D1591" s="11">
        <v>42779.64603009259</v>
      </c>
      <c r="E1591" s="10" t="s">
        <v>308</v>
      </c>
    </row>
    <row r="1592" spans="1:5">
      <c r="A1592" s="11">
        <v>42758</v>
      </c>
      <c r="B1592" s="10" t="s">
        <v>3487</v>
      </c>
      <c r="C1592" s="10" t="s">
        <v>3488</v>
      </c>
      <c r="D1592" s="11">
        <v>42779.716770833336</v>
      </c>
      <c r="E1592" s="10" t="s">
        <v>2515</v>
      </c>
    </row>
    <row r="1593" spans="1:5">
      <c r="A1593" s="11">
        <v>42758</v>
      </c>
      <c r="B1593" s="10" t="s">
        <v>3489</v>
      </c>
      <c r="C1593" s="10" t="s">
        <v>3490</v>
      </c>
      <c r="D1593" s="11">
        <v>42781.65724537037</v>
      </c>
      <c r="E1593" s="10" t="s">
        <v>2865</v>
      </c>
    </row>
    <row r="1594" spans="1:5">
      <c r="A1594" s="11">
        <v>42758</v>
      </c>
      <c r="B1594" s="10" t="s">
        <v>3491</v>
      </c>
      <c r="C1594" s="10" t="s">
        <v>3492</v>
      </c>
      <c r="D1594" s="11">
        <v>42773.491168981483</v>
      </c>
      <c r="E1594" s="10" t="s">
        <v>130</v>
      </c>
    </row>
    <row r="1595" spans="1:5">
      <c r="A1595" s="11">
        <v>42758</v>
      </c>
      <c r="B1595" s="10" t="s">
        <v>3493</v>
      </c>
      <c r="C1595" s="10" t="s">
        <v>3494</v>
      </c>
      <c r="D1595" s="11">
        <v>42782.566435185188</v>
      </c>
      <c r="E1595" s="10" t="s">
        <v>152</v>
      </c>
    </row>
    <row r="1596" spans="1:5">
      <c r="A1596" s="11">
        <v>42758</v>
      </c>
      <c r="B1596" s="10" t="s">
        <v>3495</v>
      </c>
      <c r="C1596" s="10" t="s">
        <v>3496</v>
      </c>
      <c r="D1596" s="11">
        <v>42781.828009259261</v>
      </c>
      <c r="E1596" s="10" t="s">
        <v>122</v>
      </c>
    </row>
    <row r="1597" spans="1:5">
      <c r="A1597" s="11">
        <v>42758</v>
      </c>
      <c r="B1597" s="10" t="s">
        <v>3497</v>
      </c>
      <c r="C1597" s="10" t="s">
        <v>3498</v>
      </c>
      <c r="D1597" s="11">
        <v>42779.582858796297</v>
      </c>
      <c r="E1597" s="10" t="s">
        <v>373</v>
      </c>
    </row>
    <row r="1598" spans="1:5">
      <c r="A1598" s="11">
        <v>42758</v>
      </c>
      <c r="B1598" s="10" t="s">
        <v>3499</v>
      </c>
      <c r="C1598" s="10" t="s">
        <v>3500</v>
      </c>
      <c r="D1598" s="11">
        <v>42781.631481481483</v>
      </c>
      <c r="E1598" s="10" t="s">
        <v>433</v>
      </c>
    </row>
    <row r="1599" spans="1:5">
      <c r="A1599" s="11">
        <v>42758</v>
      </c>
      <c r="B1599" s="10" t="s">
        <v>3501</v>
      </c>
      <c r="C1599" s="10" t="s">
        <v>3502</v>
      </c>
      <c r="D1599" s="11">
        <v>42781.842442129629</v>
      </c>
      <c r="E1599" s="10" t="s">
        <v>433</v>
      </c>
    </row>
    <row r="1600" spans="1:5">
      <c r="A1600" s="11">
        <v>42758</v>
      </c>
      <c r="B1600" s="10" t="s">
        <v>3503</v>
      </c>
      <c r="C1600" s="10" t="s">
        <v>3504</v>
      </c>
      <c r="D1600" s="11">
        <v>42781.823530092595</v>
      </c>
      <c r="E1600" s="10" t="s">
        <v>1103</v>
      </c>
    </row>
    <row r="1601" spans="1:5">
      <c r="A1601" s="11">
        <v>42758</v>
      </c>
      <c r="B1601" s="10" t="s">
        <v>3505</v>
      </c>
      <c r="C1601" s="10" t="s">
        <v>3506</v>
      </c>
      <c r="D1601" s="11">
        <v>42779.476041666669</v>
      </c>
      <c r="E1601" s="10" t="s">
        <v>2823</v>
      </c>
    </row>
    <row r="1602" spans="1:5">
      <c r="A1602" s="11">
        <v>42758</v>
      </c>
      <c r="B1602" s="10" t="s">
        <v>3507</v>
      </c>
      <c r="C1602" s="10" t="s">
        <v>3508</v>
      </c>
      <c r="D1602" s="11">
        <v>42780.58803240741</v>
      </c>
      <c r="E1602" s="10" t="s">
        <v>108</v>
      </c>
    </row>
    <row r="1603" spans="1:5">
      <c r="A1603" s="11">
        <v>42758</v>
      </c>
      <c r="B1603" s="10" t="s">
        <v>3509</v>
      </c>
      <c r="C1603" s="10" t="s">
        <v>3510</v>
      </c>
      <c r="D1603" s="11">
        <v>42782.656041666669</v>
      </c>
      <c r="E1603" s="10" t="s">
        <v>122</v>
      </c>
    </row>
    <row r="1604" spans="1:5">
      <c r="A1604" s="11">
        <v>42758</v>
      </c>
      <c r="B1604" s="10" t="s">
        <v>3511</v>
      </c>
      <c r="C1604" s="10" t="s">
        <v>3512</v>
      </c>
      <c r="D1604" s="11">
        <v>42780.372939814813</v>
      </c>
      <c r="E1604" s="10" t="s">
        <v>433</v>
      </c>
    </row>
    <row r="1605" spans="1:5">
      <c r="A1605" s="11">
        <v>42758</v>
      </c>
      <c r="B1605" s="10" t="s">
        <v>3513</v>
      </c>
      <c r="C1605" s="10" t="s">
        <v>3514</v>
      </c>
      <c r="D1605" s="11">
        <v>42781.871469907404</v>
      </c>
      <c r="E1605" s="10" t="s">
        <v>683</v>
      </c>
    </row>
    <row r="1606" spans="1:5">
      <c r="A1606" s="11">
        <v>42759</v>
      </c>
      <c r="B1606" s="10" t="s">
        <v>3515</v>
      </c>
      <c r="C1606" s="10" t="s">
        <v>3516</v>
      </c>
      <c r="D1606" s="11">
        <v>42777.559618055559</v>
      </c>
      <c r="E1606" s="10" t="s">
        <v>2515</v>
      </c>
    </row>
    <row r="1607" spans="1:5">
      <c r="A1607" s="11">
        <v>42759</v>
      </c>
      <c r="B1607" s="10" t="s">
        <v>3517</v>
      </c>
      <c r="C1607" s="10" t="s">
        <v>3518</v>
      </c>
      <c r="D1607" s="11">
        <v>42782.379548611112</v>
      </c>
      <c r="E1607" s="10" t="s">
        <v>433</v>
      </c>
    </row>
    <row r="1608" spans="1:5">
      <c r="A1608" s="11">
        <v>42759</v>
      </c>
      <c r="B1608" s="10" t="s">
        <v>3519</v>
      </c>
      <c r="C1608" s="10" t="s">
        <v>3520</v>
      </c>
      <c r="D1608" s="11">
        <v>42780.36178240741</v>
      </c>
      <c r="E1608" s="10" t="s">
        <v>433</v>
      </c>
    </row>
    <row r="1609" spans="1:5">
      <c r="A1609" s="11">
        <v>42759</v>
      </c>
      <c r="B1609" s="10" t="s">
        <v>3521</v>
      </c>
      <c r="C1609" s="10" t="s">
        <v>3522</v>
      </c>
      <c r="D1609" s="11">
        <v>42782.432303240741</v>
      </c>
      <c r="E1609" s="10" t="s">
        <v>155</v>
      </c>
    </row>
    <row r="1610" spans="1:5">
      <c r="A1610" s="11">
        <v>42759</v>
      </c>
      <c r="B1610" s="10" t="s">
        <v>3523</v>
      </c>
      <c r="C1610" s="10" t="s">
        <v>3524</v>
      </c>
      <c r="D1610" s="11">
        <v>42779.656608796293</v>
      </c>
      <c r="E1610" s="10" t="s">
        <v>656</v>
      </c>
    </row>
    <row r="1611" spans="1:5">
      <c r="A1611" s="11">
        <v>42759</v>
      </c>
      <c r="B1611" s="10" t="s">
        <v>3525</v>
      </c>
      <c r="C1611" s="10" t="s">
        <v>3526</v>
      </c>
      <c r="D1611" s="11">
        <v>42782.656724537039</v>
      </c>
      <c r="E1611" s="10" t="s">
        <v>433</v>
      </c>
    </row>
    <row r="1612" spans="1:5">
      <c r="A1612" s="11">
        <v>42759</v>
      </c>
      <c r="B1612" s="10" t="s">
        <v>3527</v>
      </c>
      <c r="C1612" s="10" t="s">
        <v>3528</v>
      </c>
      <c r="D1612" s="11">
        <v>42781.756481481483</v>
      </c>
      <c r="E1612" s="10" t="s">
        <v>433</v>
      </c>
    </row>
    <row r="1613" spans="1:5">
      <c r="A1613" s="11">
        <v>42759</v>
      </c>
      <c r="B1613" s="10" t="s">
        <v>3529</v>
      </c>
      <c r="C1613" s="10" t="s">
        <v>3530</v>
      </c>
      <c r="D1613" s="11">
        <v>42782.485092592593</v>
      </c>
      <c r="E1613" s="10" t="s">
        <v>2515</v>
      </c>
    </row>
    <row r="1614" spans="1:5" ht="21.6">
      <c r="A1614" s="11">
        <v>42759</v>
      </c>
      <c r="B1614" s="10" t="s">
        <v>3531</v>
      </c>
      <c r="C1614" s="10" t="s">
        <v>3532</v>
      </c>
      <c r="D1614" s="11">
        <v>42781.727337962962</v>
      </c>
      <c r="E1614" s="10" t="s">
        <v>966</v>
      </c>
    </row>
    <row r="1615" spans="1:5">
      <c r="A1615" s="11">
        <v>42759</v>
      </c>
      <c r="B1615" s="10" t="s">
        <v>3533</v>
      </c>
      <c r="C1615" s="10" t="s">
        <v>3534</v>
      </c>
      <c r="D1615" s="11">
        <v>42781.597812499997</v>
      </c>
      <c r="E1615" s="10" t="s">
        <v>305</v>
      </c>
    </row>
    <row r="1616" spans="1:5">
      <c r="A1616" s="11">
        <v>42759</v>
      </c>
      <c r="B1616" s="10" t="s">
        <v>3535</v>
      </c>
      <c r="C1616" s="10" t="s">
        <v>3536</v>
      </c>
      <c r="D1616" s="11">
        <v>42781.693935185183</v>
      </c>
      <c r="E1616" s="10" t="s">
        <v>237</v>
      </c>
    </row>
    <row r="1617" spans="1:5">
      <c r="A1617" s="11">
        <v>42759</v>
      </c>
      <c r="B1617" s="10" t="s">
        <v>3537</v>
      </c>
      <c r="C1617" s="10" t="s">
        <v>3538</v>
      </c>
      <c r="D1617" s="11">
        <v>42782.377858796295</v>
      </c>
      <c r="E1617" s="10" t="s">
        <v>433</v>
      </c>
    </row>
    <row r="1618" spans="1:5">
      <c r="A1618" s="11">
        <v>42759</v>
      </c>
      <c r="B1618" s="10" t="s">
        <v>3539</v>
      </c>
      <c r="C1618" s="10" t="s">
        <v>3540</v>
      </c>
      <c r="D1618" s="11">
        <v>42781.893912037034</v>
      </c>
      <c r="E1618" s="10" t="s">
        <v>2144</v>
      </c>
    </row>
    <row r="1619" spans="1:5">
      <c r="A1619" s="11">
        <v>42759</v>
      </c>
      <c r="B1619" s="10" t="s">
        <v>3541</v>
      </c>
      <c r="C1619" s="10" t="s">
        <v>3542</v>
      </c>
      <c r="D1619" s="11">
        <v>42782.486180555556</v>
      </c>
      <c r="E1619" s="10" t="s">
        <v>3543</v>
      </c>
    </row>
    <row r="1620" spans="1:5">
      <c r="A1620" s="11">
        <v>42759</v>
      </c>
      <c r="B1620" s="10" t="s">
        <v>3544</v>
      </c>
      <c r="C1620" s="10" t="s">
        <v>3545</v>
      </c>
      <c r="D1620" s="11">
        <v>42782.536041666666</v>
      </c>
      <c r="E1620" s="10" t="s">
        <v>2515</v>
      </c>
    </row>
    <row r="1621" spans="1:5">
      <c r="A1621" s="11">
        <v>42759</v>
      </c>
      <c r="B1621" s="10" t="s">
        <v>3546</v>
      </c>
      <c r="C1621" s="10" t="s">
        <v>3547</v>
      </c>
      <c r="D1621" s="11">
        <v>42780.534895833334</v>
      </c>
      <c r="E1621" s="10" t="s">
        <v>902</v>
      </c>
    </row>
    <row r="1622" spans="1:5">
      <c r="A1622" s="11">
        <v>42759</v>
      </c>
      <c r="B1622" s="10" t="s">
        <v>3548</v>
      </c>
      <c r="C1622" s="10" t="s">
        <v>3549</v>
      </c>
      <c r="D1622" s="11">
        <v>42782.667210648149</v>
      </c>
      <c r="E1622" s="10" t="s">
        <v>3550</v>
      </c>
    </row>
    <row r="1623" spans="1:5">
      <c r="A1623" s="11">
        <v>42759</v>
      </c>
      <c r="B1623" s="10" t="s">
        <v>3551</v>
      </c>
      <c r="C1623" s="10" t="s">
        <v>3552</v>
      </c>
      <c r="D1623" s="11">
        <v>42779.461898148147</v>
      </c>
      <c r="E1623" s="10" t="s">
        <v>212</v>
      </c>
    </row>
    <row r="1624" spans="1:5">
      <c r="A1624" s="11">
        <v>42759</v>
      </c>
      <c r="B1624" s="10" t="s">
        <v>3553</v>
      </c>
      <c r="C1624" s="10" t="s">
        <v>3554</v>
      </c>
      <c r="D1624" s="11">
        <v>42780.697905092595</v>
      </c>
      <c r="E1624" s="10" t="s">
        <v>373</v>
      </c>
    </row>
    <row r="1625" spans="1:5">
      <c r="A1625" s="11">
        <v>42759</v>
      </c>
      <c r="B1625" s="10" t="s">
        <v>3555</v>
      </c>
      <c r="C1625" s="10" t="s">
        <v>3556</v>
      </c>
      <c r="D1625" s="11">
        <v>42779.469178240739</v>
      </c>
      <c r="E1625" s="10" t="s">
        <v>482</v>
      </c>
    </row>
    <row r="1626" spans="1:5">
      <c r="A1626" s="11">
        <v>42759</v>
      </c>
      <c r="B1626" s="10" t="s">
        <v>3557</v>
      </c>
      <c r="C1626" s="10" t="s">
        <v>3558</v>
      </c>
      <c r="D1626" s="11">
        <v>42782.596307870372</v>
      </c>
      <c r="E1626" s="10" t="s">
        <v>3559</v>
      </c>
    </row>
    <row r="1627" spans="1:5">
      <c r="A1627" s="11">
        <v>42759</v>
      </c>
      <c r="B1627" s="10" t="s">
        <v>3560</v>
      </c>
      <c r="C1627" s="10" t="s">
        <v>3561</v>
      </c>
      <c r="D1627" s="11">
        <v>42781.669791666667</v>
      </c>
      <c r="E1627" s="10" t="s">
        <v>2515</v>
      </c>
    </row>
    <row r="1628" spans="1:5">
      <c r="A1628" s="11">
        <v>42759</v>
      </c>
      <c r="B1628" s="10" t="s">
        <v>3562</v>
      </c>
      <c r="C1628" s="10" t="s">
        <v>3563</v>
      </c>
      <c r="D1628" s="11">
        <v>42780.59888888889</v>
      </c>
      <c r="E1628" s="10" t="s">
        <v>373</v>
      </c>
    </row>
    <row r="1629" spans="1:5">
      <c r="A1629" s="11">
        <v>42759</v>
      </c>
      <c r="B1629" s="10" t="s">
        <v>3564</v>
      </c>
      <c r="C1629" s="10" t="s">
        <v>3565</v>
      </c>
      <c r="D1629" s="11">
        <v>42782.360902777778</v>
      </c>
      <c r="E1629" s="10" t="s">
        <v>683</v>
      </c>
    </row>
    <row r="1630" spans="1:5">
      <c r="A1630" s="11">
        <v>42759</v>
      </c>
      <c r="B1630" s="10" t="s">
        <v>3566</v>
      </c>
      <c r="C1630" s="10" t="s">
        <v>3567</v>
      </c>
      <c r="D1630" s="11">
        <v>42781.688437500001</v>
      </c>
      <c r="E1630" s="10" t="s">
        <v>130</v>
      </c>
    </row>
    <row r="1631" spans="1:5">
      <c r="A1631" s="11">
        <v>42759</v>
      </c>
      <c r="B1631" s="10" t="s">
        <v>3568</v>
      </c>
      <c r="C1631" s="10" t="s">
        <v>3569</v>
      </c>
      <c r="D1631" s="11">
        <v>42781.926249999997</v>
      </c>
      <c r="E1631" s="10" t="s">
        <v>3570</v>
      </c>
    </row>
    <row r="1632" spans="1:5">
      <c r="A1632" s="11">
        <v>42759</v>
      </c>
      <c r="B1632" s="10" t="s">
        <v>3571</v>
      </c>
      <c r="C1632" s="10" t="s">
        <v>3572</v>
      </c>
      <c r="D1632" s="11">
        <v>42777.645601851851</v>
      </c>
      <c r="E1632" s="10" t="s">
        <v>608</v>
      </c>
    </row>
    <row r="1633" spans="1:5">
      <c r="A1633" s="11">
        <v>42759</v>
      </c>
      <c r="B1633" s="10" t="s">
        <v>3573</v>
      </c>
      <c r="C1633" s="10" t="s">
        <v>3574</v>
      </c>
      <c r="D1633" s="11">
        <v>42780.3675</v>
      </c>
      <c r="E1633" s="10" t="s">
        <v>433</v>
      </c>
    </row>
    <row r="1634" spans="1:5">
      <c r="A1634" s="11">
        <v>42759</v>
      </c>
      <c r="B1634" s="10" t="s">
        <v>3575</v>
      </c>
      <c r="C1634" s="10" t="s">
        <v>3576</v>
      </c>
      <c r="D1634" s="11">
        <v>42780.713020833333</v>
      </c>
      <c r="E1634" s="10" t="s">
        <v>3577</v>
      </c>
    </row>
    <row r="1635" spans="1:5">
      <c r="A1635" s="11">
        <v>42759</v>
      </c>
      <c r="B1635" s="10" t="s">
        <v>3578</v>
      </c>
      <c r="C1635" s="10" t="s">
        <v>3579</v>
      </c>
      <c r="D1635" s="11">
        <v>42782.64199074074</v>
      </c>
      <c r="E1635" s="10" t="s">
        <v>2622</v>
      </c>
    </row>
    <row r="1636" spans="1:5">
      <c r="A1636" s="11">
        <v>42759</v>
      </c>
      <c r="B1636" s="10" t="s">
        <v>3580</v>
      </c>
      <c r="C1636" s="10" t="s">
        <v>3581</v>
      </c>
      <c r="D1636" s="11">
        <v>42780.45653935185</v>
      </c>
      <c r="E1636" s="10" t="s">
        <v>353</v>
      </c>
    </row>
    <row r="1637" spans="1:5">
      <c r="A1637" s="11">
        <v>42759</v>
      </c>
      <c r="B1637" s="10" t="s">
        <v>3582</v>
      </c>
      <c r="C1637" s="10" t="s">
        <v>3583</v>
      </c>
      <c r="D1637" s="11">
        <v>42779.511504629627</v>
      </c>
      <c r="E1637" s="10" t="s">
        <v>433</v>
      </c>
    </row>
    <row r="1638" spans="1:5">
      <c r="A1638" s="11">
        <v>42759</v>
      </c>
      <c r="B1638" s="10" t="s">
        <v>3584</v>
      </c>
      <c r="C1638" s="10" t="s">
        <v>3585</v>
      </c>
      <c r="D1638" s="11">
        <v>42781.496076388888</v>
      </c>
      <c r="E1638" s="10" t="s">
        <v>380</v>
      </c>
    </row>
    <row r="1639" spans="1:5">
      <c r="A1639" s="11">
        <v>42759</v>
      </c>
      <c r="B1639" s="10" t="s">
        <v>3586</v>
      </c>
      <c r="C1639" s="10" t="s">
        <v>3587</v>
      </c>
      <c r="D1639" s="11">
        <v>42782.503217592595</v>
      </c>
      <c r="E1639" s="10" t="s">
        <v>122</v>
      </c>
    </row>
    <row r="1640" spans="1:5">
      <c r="A1640" s="11">
        <v>42760</v>
      </c>
      <c r="B1640" s="10" t="s">
        <v>3588</v>
      </c>
      <c r="C1640" s="10" t="s">
        <v>3589</v>
      </c>
      <c r="D1640" s="11">
        <v>42781.469224537039</v>
      </c>
      <c r="E1640" s="10" t="s">
        <v>212</v>
      </c>
    </row>
    <row r="1641" spans="1:5">
      <c r="A1641" s="11">
        <v>42760</v>
      </c>
      <c r="B1641" s="10" t="s">
        <v>3590</v>
      </c>
      <c r="C1641" s="10" t="s">
        <v>3591</v>
      </c>
      <c r="D1641" s="11">
        <v>42775.794537037036</v>
      </c>
      <c r="E1641" s="10" t="s">
        <v>2515</v>
      </c>
    </row>
    <row r="1642" spans="1:5">
      <c r="A1642" s="11">
        <v>42760</v>
      </c>
      <c r="B1642" s="10" t="s">
        <v>3592</v>
      </c>
      <c r="C1642" s="10" t="s">
        <v>3593</v>
      </c>
      <c r="D1642" s="11">
        <v>42780.634733796294</v>
      </c>
      <c r="E1642" s="10" t="s">
        <v>305</v>
      </c>
    </row>
    <row r="1643" spans="1:5">
      <c r="A1643" s="11">
        <v>42760</v>
      </c>
      <c r="B1643" s="10" t="s">
        <v>3594</v>
      </c>
      <c r="C1643" s="10" t="s">
        <v>3595</v>
      </c>
      <c r="D1643" s="11">
        <v>42760.465150462966</v>
      </c>
      <c r="E1643" s="10" t="s">
        <v>707</v>
      </c>
    </row>
    <row r="1644" spans="1:5">
      <c r="A1644" s="11">
        <v>42760</v>
      </c>
      <c r="B1644" s="10" t="s">
        <v>3596</v>
      </c>
      <c r="C1644" s="10" t="s">
        <v>3597</v>
      </c>
      <c r="D1644" s="11">
        <v>42782.625115740739</v>
      </c>
      <c r="E1644" s="10" t="s">
        <v>2266</v>
      </c>
    </row>
    <row r="1645" spans="1:5">
      <c r="A1645" s="11">
        <v>42760</v>
      </c>
      <c r="B1645" s="10" t="s">
        <v>3598</v>
      </c>
      <c r="C1645" s="10" t="s">
        <v>3599</v>
      </c>
      <c r="D1645" s="11">
        <v>42781.629016203704</v>
      </c>
      <c r="E1645" s="10" t="s">
        <v>433</v>
      </c>
    </row>
    <row r="1646" spans="1:5">
      <c r="A1646" s="11">
        <v>42760</v>
      </c>
      <c r="B1646" s="10" t="s">
        <v>3600</v>
      </c>
      <c r="C1646" s="10" t="s">
        <v>3601</v>
      </c>
      <c r="D1646" s="11">
        <v>42781.639178240737</v>
      </c>
      <c r="E1646" s="10" t="s">
        <v>422</v>
      </c>
    </row>
    <row r="1647" spans="1:5">
      <c r="A1647" s="11">
        <v>42760</v>
      </c>
      <c r="B1647" s="10" t="s">
        <v>3602</v>
      </c>
      <c r="C1647" s="10" t="s">
        <v>3603</v>
      </c>
      <c r="D1647" s="11">
        <v>42780.390034722222</v>
      </c>
      <c r="E1647" s="10" t="s">
        <v>155</v>
      </c>
    </row>
    <row r="1648" spans="1:5">
      <c r="A1648" s="11">
        <v>42760</v>
      </c>
      <c r="B1648" s="10" t="s">
        <v>3604</v>
      </c>
      <c r="C1648" s="10" t="s">
        <v>3605</v>
      </c>
      <c r="D1648" s="11">
        <v>42760.680891203701</v>
      </c>
      <c r="E1648" s="10" t="s">
        <v>433</v>
      </c>
    </row>
    <row r="1649" spans="1:5">
      <c r="A1649" s="11">
        <v>42760</v>
      </c>
      <c r="B1649" s="10" t="s">
        <v>3606</v>
      </c>
      <c r="C1649" s="10" t="s">
        <v>3607</v>
      </c>
      <c r="D1649" s="11">
        <v>42781.607314814813</v>
      </c>
      <c r="E1649" s="10" t="s">
        <v>2515</v>
      </c>
    </row>
    <row r="1650" spans="1:5">
      <c r="A1650" s="11">
        <v>42760</v>
      </c>
      <c r="B1650" s="10" t="s">
        <v>3608</v>
      </c>
      <c r="C1650" s="10" t="s">
        <v>3609</v>
      </c>
      <c r="D1650" s="11">
        <v>42781.891342592593</v>
      </c>
      <c r="E1650" s="10" t="s">
        <v>203</v>
      </c>
    </row>
    <row r="1651" spans="1:5">
      <c r="A1651" s="11">
        <v>42760</v>
      </c>
      <c r="B1651" s="10" t="s">
        <v>3610</v>
      </c>
      <c r="C1651" s="10" t="s">
        <v>3611</v>
      </c>
      <c r="D1651" s="11">
        <v>42782.687569444446</v>
      </c>
      <c r="E1651" s="10" t="s">
        <v>902</v>
      </c>
    </row>
    <row r="1652" spans="1:5">
      <c r="A1652" s="11">
        <v>42760</v>
      </c>
      <c r="B1652" s="10" t="s">
        <v>3612</v>
      </c>
      <c r="C1652" s="10" t="s">
        <v>3613</v>
      </c>
      <c r="D1652" s="11">
        <v>42781.60050925926</v>
      </c>
      <c r="E1652" s="10" t="s">
        <v>178</v>
      </c>
    </row>
    <row r="1653" spans="1:5">
      <c r="A1653" s="11">
        <v>42760</v>
      </c>
      <c r="B1653" s="10" t="s">
        <v>3614</v>
      </c>
      <c r="C1653" s="10" t="s">
        <v>3615</v>
      </c>
      <c r="D1653" s="11">
        <v>42782.150856481479</v>
      </c>
      <c r="E1653" s="10" t="s">
        <v>122</v>
      </c>
    </row>
    <row r="1654" spans="1:5">
      <c r="A1654" s="11">
        <v>42760</v>
      </c>
      <c r="B1654" s="10" t="s">
        <v>3616</v>
      </c>
      <c r="C1654" s="10" t="s">
        <v>3617</v>
      </c>
      <c r="D1654" s="11">
        <v>42782.626076388886</v>
      </c>
      <c r="E1654" s="10" t="s">
        <v>433</v>
      </c>
    </row>
    <row r="1655" spans="1:5">
      <c r="A1655" s="11">
        <v>42761</v>
      </c>
      <c r="B1655" s="10" t="s">
        <v>3618</v>
      </c>
      <c r="C1655" s="10" t="s">
        <v>3619</v>
      </c>
      <c r="D1655" s="11">
        <v>42782.413784722223</v>
      </c>
      <c r="E1655" s="10" t="s">
        <v>2515</v>
      </c>
    </row>
    <row r="1656" spans="1:5">
      <c r="A1656" s="11">
        <v>42761</v>
      </c>
      <c r="B1656" s="10" t="s">
        <v>3620</v>
      </c>
      <c r="C1656" s="10" t="s">
        <v>3621</v>
      </c>
      <c r="D1656" s="11">
        <v>42780.853148148148</v>
      </c>
      <c r="E1656" s="10" t="s">
        <v>122</v>
      </c>
    </row>
    <row r="1657" spans="1:5">
      <c r="A1657" s="11">
        <v>42761</v>
      </c>
      <c r="B1657" s="10" t="s">
        <v>3622</v>
      </c>
      <c r="C1657" s="10" t="s">
        <v>3623</v>
      </c>
      <c r="D1657" s="11">
        <v>42782.65996527778</v>
      </c>
      <c r="E1657" s="10" t="s">
        <v>193</v>
      </c>
    </row>
    <row r="1658" spans="1:5">
      <c r="A1658" s="11">
        <v>42761</v>
      </c>
      <c r="B1658" s="10" t="s">
        <v>3624</v>
      </c>
      <c r="C1658" s="10" t="s">
        <v>3625</v>
      </c>
      <c r="D1658" s="11">
        <v>42778.742708333331</v>
      </c>
      <c r="E1658" s="10" t="s">
        <v>218</v>
      </c>
    </row>
    <row r="1659" spans="1:5">
      <c r="A1659" s="11">
        <v>42761</v>
      </c>
      <c r="B1659" s="10" t="s">
        <v>3626</v>
      </c>
      <c r="C1659" s="10" t="s">
        <v>3627</v>
      </c>
      <c r="D1659" s="11">
        <v>42777.681701388887</v>
      </c>
      <c r="E1659" s="10" t="s">
        <v>125</v>
      </c>
    </row>
    <row r="1660" spans="1:5">
      <c r="A1660" s="11">
        <v>42761</v>
      </c>
      <c r="B1660" s="10" t="s">
        <v>3628</v>
      </c>
      <c r="C1660" s="10" t="s">
        <v>3629</v>
      </c>
      <c r="D1660" s="11">
        <v>42780.567789351851</v>
      </c>
      <c r="E1660" s="10" t="s">
        <v>122</v>
      </c>
    </row>
    <row r="1661" spans="1:5">
      <c r="A1661" s="11">
        <v>42761</v>
      </c>
      <c r="B1661" s="10" t="s">
        <v>3630</v>
      </c>
      <c r="C1661" s="10" t="s">
        <v>3631</v>
      </c>
      <c r="D1661" s="11">
        <v>42782.581192129626</v>
      </c>
      <c r="E1661" s="10" t="s">
        <v>656</v>
      </c>
    </row>
    <row r="1662" spans="1:5">
      <c r="A1662" s="11">
        <v>42761</v>
      </c>
      <c r="B1662" s="10" t="s">
        <v>3632</v>
      </c>
      <c r="C1662" s="10" t="s">
        <v>3633</v>
      </c>
      <c r="D1662" s="11">
        <v>42781.395798611113</v>
      </c>
      <c r="E1662" s="10" t="s">
        <v>433</v>
      </c>
    </row>
    <row r="1663" spans="1:5">
      <c r="A1663" s="11">
        <v>42761</v>
      </c>
      <c r="B1663" s="10" t="s">
        <v>3634</v>
      </c>
      <c r="C1663" s="10" t="s">
        <v>3635</v>
      </c>
      <c r="D1663" s="11">
        <v>42780.43109953704</v>
      </c>
      <c r="E1663" s="10" t="s">
        <v>373</v>
      </c>
    </row>
    <row r="1664" spans="1:5">
      <c r="A1664" s="11">
        <v>42761</v>
      </c>
      <c r="B1664" s="10" t="s">
        <v>3636</v>
      </c>
      <c r="C1664" s="10" t="s">
        <v>3637</v>
      </c>
      <c r="D1664" s="11">
        <v>42779.680474537039</v>
      </c>
      <c r="E1664" s="10" t="s">
        <v>2515</v>
      </c>
    </row>
    <row r="1665" spans="1:5">
      <c r="A1665" s="11">
        <v>42761</v>
      </c>
      <c r="B1665" s="10" t="s">
        <v>3638</v>
      </c>
      <c r="C1665" s="10" t="s">
        <v>3639</v>
      </c>
      <c r="D1665" s="11">
        <v>42780.629074074073</v>
      </c>
      <c r="E1665" s="10" t="s">
        <v>308</v>
      </c>
    </row>
    <row r="1666" spans="1:5">
      <c r="A1666" s="11">
        <v>42761</v>
      </c>
      <c r="B1666" s="10" t="s">
        <v>3640</v>
      </c>
      <c r="C1666" s="10" t="s">
        <v>3641</v>
      </c>
      <c r="D1666" s="11">
        <v>42782.137175925927</v>
      </c>
      <c r="E1666" s="10" t="s">
        <v>122</v>
      </c>
    </row>
    <row r="1667" spans="1:5">
      <c r="A1667" s="11">
        <v>42761</v>
      </c>
      <c r="B1667" s="10" t="s">
        <v>3642</v>
      </c>
      <c r="C1667" s="10" t="s">
        <v>3643</v>
      </c>
      <c r="D1667" s="11">
        <v>42781.975289351853</v>
      </c>
      <c r="E1667" s="10" t="s">
        <v>380</v>
      </c>
    </row>
    <row r="1668" spans="1:5">
      <c r="A1668" s="11">
        <v>42761</v>
      </c>
      <c r="B1668" s="10" t="s">
        <v>3644</v>
      </c>
      <c r="C1668" s="10" t="s">
        <v>3645</v>
      </c>
      <c r="D1668" s="11">
        <v>42781.730370370373</v>
      </c>
      <c r="E1668" s="10" t="s">
        <v>2515</v>
      </c>
    </row>
    <row r="1669" spans="1:5">
      <c r="A1669" s="11">
        <v>42761</v>
      </c>
      <c r="B1669" s="10" t="s">
        <v>3646</v>
      </c>
      <c r="C1669" s="10" t="s">
        <v>3647</v>
      </c>
      <c r="D1669" s="11">
        <v>42781.599293981482</v>
      </c>
      <c r="E1669" s="10" t="s">
        <v>1103</v>
      </c>
    </row>
    <row r="1670" spans="1:5">
      <c r="A1670" s="11">
        <v>42761</v>
      </c>
      <c r="B1670" s="10" t="s">
        <v>3648</v>
      </c>
      <c r="C1670" s="10" t="s">
        <v>3649</v>
      </c>
      <c r="D1670" s="11">
        <v>42781.53738425926</v>
      </c>
      <c r="E1670" s="10" t="s">
        <v>2266</v>
      </c>
    </row>
    <row r="1671" spans="1:5">
      <c r="A1671" s="11">
        <v>42761</v>
      </c>
      <c r="B1671" s="10" t="s">
        <v>3650</v>
      </c>
      <c r="C1671" s="10" t="s">
        <v>3651</v>
      </c>
      <c r="D1671" s="11">
        <v>42782.700266203705</v>
      </c>
      <c r="E1671" s="10" t="s">
        <v>122</v>
      </c>
    </row>
    <row r="1672" spans="1:5">
      <c r="A1672" s="11">
        <v>42761</v>
      </c>
      <c r="B1672" s="10" t="s">
        <v>3652</v>
      </c>
      <c r="C1672" s="10" t="s">
        <v>3653</v>
      </c>
      <c r="D1672" s="11">
        <v>42782.700381944444</v>
      </c>
      <c r="E1672" s="10" t="s">
        <v>2180</v>
      </c>
    </row>
    <row r="1673" spans="1:5">
      <c r="A1673" s="11">
        <v>42761</v>
      </c>
      <c r="B1673" s="10" t="s">
        <v>3654</v>
      </c>
      <c r="C1673" s="10" t="s">
        <v>3655</v>
      </c>
      <c r="D1673" s="11">
        <v>42782.700960648152</v>
      </c>
      <c r="E1673" s="10" t="s">
        <v>2180</v>
      </c>
    </row>
    <row r="1674" spans="1:5">
      <c r="A1674" s="11">
        <v>42762</v>
      </c>
      <c r="B1674" s="10" t="s">
        <v>3656</v>
      </c>
      <c r="C1674" s="10" t="s">
        <v>3657</v>
      </c>
      <c r="D1674" s="11">
        <v>42781.687002314815</v>
      </c>
      <c r="E1674" s="10" t="s">
        <v>122</v>
      </c>
    </row>
    <row r="1675" spans="1:5">
      <c r="A1675" s="11">
        <v>42762</v>
      </c>
      <c r="B1675" s="10" t="s">
        <v>3658</v>
      </c>
      <c r="C1675" s="10" t="s">
        <v>3659</v>
      </c>
      <c r="D1675" s="11">
        <v>42781.436157407406</v>
      </c>
      <c r="E1675" s="10" t="s">
        <v>482</v>
      </c>
    </row>
    <row r="1676" spans="1:5">
      <c r="A1676" s="11">
        <v>42762</v>
      </c>
      <c r="B1676" s="10" t="s">
        <v>3660</v>
      </c>
      <c r="C1676" s="10" t="s">
        <v>3661</v>
      </c>
      <c r="D1676" s="11">
        <v>42773.802164351851</v>
      </c>
      <c r="E1676" s="10" t="s">
        <v>320</v>
      </c>
    </row>
    <row r="1677" spans="1:5">
      <c r="A1677" s="11">
        <v>42762</v>
      </c>
      <c r="B1677" s="10" t="s">
        <v>3662</v>
      </c>
      <c r="C1677" s="10" t="s">
        <v>3663</v>
      </c>
      <c r="D1677" s="11">
        <v>42780.588125000002</v>
      </c>
      <c r="E1677" s="10" t="s">
        <v>373</v>
      </c>
    </row>
    <row r="1678" spans="1:5">
      <c r="A1678" s="11">
        <v>42762</v>
      </c>
      <c r="B1678" s="10" t="s">
        <v>3664</v>
      </c>
      <c r="C1678" s="10" t="s">
        <v>3665</v>
      </c>
      <c r="D1678" s="11">
        <v>42780.576064814813</v>
      </c>
      <c r="E1678" s="10" t="s">
        <v>373</v>
      </c>
    </row>
    <row r="1679" spans="1:5">
      <c r="A1679" s="11">
        <v>42762</v>
      </c>
      <c r="B1679" s="10" t="s">
        <v>3666</v>
      </c>
      <c r="C1679" s="10" t="s">
        <v>3667</v>
      </c>
      <c r="D1679" s="11">
        <v>42773.774872685186</v>
      </c>
      <c r="E1679" s="10" t="s">
        <v>902</v>
      </c>
    </row>
    <row r="1680" spans="1:5">
      <c r="A1680" s="11">
        <v>42762</v>
      </c>
      <c r="B1680" s="10" t="s">
        <v>3668</v>
      </c>
      <c r="C1680" s="10" t="s">
        <v>3669</v>
      </c>
      <c r="D1680" s="11">
        <v>42781.887442129628</v>
      </c>
      <c r="E1680" s="10" t="s">
        <v>237</v>
      </c>
    </row>
    <row r="1681" spans="1:5">
      <c r="A1681" s="11">
        <v>42762</v>
      </c>
      <c r="B1681" s="10" t="s">
        <v>3670</v>
      </c>
      <c r="C1681" s="10" t="s">
        <v>3671</v>
      </c>
      <c r="D1681" s="11">
        <v>42777.839826388888</v>
      </c>
      <c r="E1681" s="10" t="s">
        <v>2515</v>
      </c>
    </row>
    <row r="1682" spans="1:5">
      <c r="A1682" s="11">
        <v>42762</v>
      </c>
      <c r="B1682" s="10" t="s">
        <v>3672</v>
      </c>
      <c r="C1682" s="10" t="s">
        <v>3673</v>
      </c>
      <c r="D1682" s="11">
        <v>42781.773495370369</v>
      </c>
      <c r="E1682" s="10" t="s">
        <v>237</v>
      </c>
    </row>
    <row r="1683" spans="1:5">
      <c r="A1683" s="11">
        <v>42762</v>
      </c>
      <c r="B1683" s="10" t="s">
        <v>3674</v>
      </c>
      <c r="C1683" s="10" t="s">
        <v>3675</v>
      </c>
      <c r="D1683" s="11">
        <v>42782.593425925923</v>
      </c>
      <c r="E1683" s="10" t="s">
        <v>209</v>
      </c>
    </row>
    <row r="1684" spans="1:5">
      <c r="A1684" s="11">
        <v>42762</v>
      </c>
      <c r="B1684" s="10" t="s">
        <v>3676</v>
      </c>
      <c r="C1684" s="10" t="s">
        <v>3677</v>
      </c>
      <c r="D1684" s="11">
        <v>42782.663738425923</v>
      </c>
      <c r="E1684" s="10" t="s">
        <v>902</v>
      </c>
    </row>
    <row r="1685" spans="1:5">
      <c r="A1685" s="11">
        <v>42763</v>
      </c>
      <c r="B1685" s="10" t="s">
        <v>3678</v>
      </c>
      <c r="C1685" s="10" t="s">
        <v>3679</v>
      </c>
      <c r="D1685" s="11">
        <v>42781.634976851848</v>
      </c>
      <c r="E1685" s="10" t="s">
        <v>479</v>
      </c>
    </row>
    <row r="1686" spans="1:5">
      <c r="A1686" s="11">
        <v>42763</v>
      </c>
      <c r="B1686" s="10" t="s">
        <v>3680</v>
      </c>
      <c r="C1686" s="10" t="s">
        <v>3681</v>
      </c>
      <c r="D1686" s="11">
        <v>42781.50980324074</v>
      </c>
      <c r="E1686" s="10" t="s">
        <v>479</v>
      </c>
    </row>
    <row r="1687" spans="1:5">
      <c r="A1687" s="11">
        <v>42763</v>
      </c>
      <c r="B1687" s="10" t="s">
        <v>3682</v>
      </c>
      <c r="C1687" s="10" t="s">
        <v>3683</v>
      </c>
      <c r="D1687" s="11">
        <v>42782.492418981485</v>
      </c>
      <c r="E1687" s="10" t="s">
        <v>240</v>
      </c>
    </row>
    <row r="1688" spans="1:5">
      <c r="A1688" s="11">
        <v>42763</v>
      </c>
      <c r="B1688" s="10" t="s">
        <v>3684</v>
      </c>
      <c r="C1688" s="10" t="s">
        <v>3685</v>
      </c>
      <c r="D1688" s="11">
        <v>42781.86822916667</v>
      </c>
      <c r="E1688" s="10" t="s">
        <v>3550</v>
      </c>
    </row>
    <row r="1689" spans="1:5">
      <c r="A1689" s="11">
        <v>42763</v>
      </c>
      <c r="B1689" s="10" t="s">
        <v>3686</v>
      </c>
      <c r="C1689" s="10" t="s">
        <v>3687</v>
      </c>
      <c r="D1689" s="11">
        <v>42781.739270833335</v>
      </c>
      <c r="E1689" s="10" t="s">
        <v>2183</v>
      </c>
    </row>
    <row r="1690" spans="1:5">
      <c r="A1690" s="11">
        <v>42763</v>
      </c>
      <c r="B1690" s="10" t="s">
        <v>3688</v>
      </c>
      <c r="C1690" s="10" t="s">
        <v>3689</v>
      </c>
      <c r="D1690" s="11">
        <v>42763.445011574076</v>
      </c>
      <c r="E1690" s="10" t="s">
        <v>707</v>
      </c>
    </row>
    <row r="1691" spans="1:5">
      <c r="A1691" s="11">
        <v>42763</v>
      </c>
      <c r="B1691" s="10" t="s">
        <v>3690</v>
      </c>
      <c r="C1691" s="10" t="s">
        <v>3691</v>
      </c>
      <c r="D1691" s="11">
        <v>42780.483796296299</v>
      </c>
      <c r="E1691" s="10" t="s">
        <v>433</v>
      </c>
    </row>
    <row r="1692" spans="1:5">
      <c r="A1692" s="11">
        <v>42763</v>
      </c>
      <c r="B1692" s="10" t="s">
        <v>3692</v>
      </c>
      <c r="C1692" s="10" t="s">
        <v>3693</v>
      </c>
      <c r="D1692" s="11">
        <v>42782.483159722222</v>
      </c>
      <c r="E1692" s="10" t="s">
        <v>479</v>
      </c>
    </row>
    <row r="1693" spans="1:5">
      <c r="A1693" s="11">
        <v>42763</v>
      </c>
      <c r="B1693" s="10" t="s">
        <v>3694</v>
      </c>
      <c r="C1693" s="10" t="s">
        <v>3695</v>
      </c>
      <c r="D1693" s="11">
        <v>42775.443136574075</v>
      </c>
      <c r="E1693" s="10" t="s">
        <v>2515</v>
      </c>
    </row>
    <row r="1694" spans="1:5">
      <c r="A1694" s="11">
        <v>42763</v>
      </c>
      <c r="B1694" s="10" t="s">
        <v>3696</v>
      </c>
      <c r="C1694" s="10" t="s">
        <v>3697</v>
      </c>
      <c r="D1694" s="11">
        <v>42781.572835648149</v>
      </c>
      <c r="E1694" s="10" t="s">
        <v>178</v>
      </c>
    </row>
    <row r="1695" spans="1:5">
      <c r="A1695" s="11">
        <v>42763</v>
      </c>
      <c r="B1695" s="10" t="s">
        <v>3698</v>
      </c>
      <c r="C1695" s="10" t="s">
        <v>3699</v>
      </c>
      <c r="D1695" s="11">
        <v>42782.688414351855</v>
      </c>
      <c r="E1695" s="10" t="s">
        <v>237</v>
      </c>
    </row>
    <row r="1696" spans="1:5">
      <c r="A1696" s="11">
        <v>42763</v>
      </c>
      <c r="B1696" s="10" t="s">
        <v>3700</v>
      </c>
      <c r="C1696" s="10" t="s">
        <v>3701</v>
      </c>
      <c r="D1696" s="11">
        <v>42779.567430555559</v>
      </c>
      <c r="E1696" s="10" t="s">
        <v>305</v>
      </c>
    </row>
    <row r="1697" spans="1:5">
      <c r="A1697" s="11">
        <v>42763</v>
      </c>
      <c r="B1697" s="10" t="s">
        <v>3702</v>
      </c>
      <c r="C1697" s="10" t="s">
        <v>3703</v>
      </c>
      <c r="D1697" s="11">
        <v>42782.553611111114</v>
      </c>
      <c r="E1697" s="10" t="s">
        <v>240</v>
      </c>
    </row>
    <row r="1698" spans="1:5">
      <c r="A1698" s="11">
        <v>42764</v>
      </c>
      <c r="B1698" s="10" t="s">
        <v>3704</v>
      </c>
      <c r="C1698" s="10" t="s">
        <v>3705</v>
      </c>
      <c r="D1698" s="11">
        <v>42782.353784722225</v>
      </c>
      <c r="E1698" s="10" t="s">
        <v>608</v>
      </c>
    </row>
    <row r="1699" spans="1:5">
      <c r="A1699" s="11">
        <v>42764</v>
      </c>
      <c r="B1699" s="10" t="s">
        <v>3706</v>
      </c>
      <c r="C1699" s="10" t="s">
        <v>3707</v>
      </c>
      <c r="D1699" s="11">
        <v>42781.800057870372</v>
      </c>
      <c r="E1699" s="10" t="s">
        <v>3708</v>
      </c>
    </row>
    <row r="1700" spans="1:5">
      <c r="A1700" s="11">
        <v>42764</v>
      </c>
      <c r="B1700" s="10" t="s">
        <v>3709</v>
      </c>
      <c r="C1700" s="10" t="s">
        <v>3710</v>
      </c>
      <c r="D1700" s="11">
        <v>42782.6953125</v>
      </c>
      <c r="E1700" s="10" t="s">
        <v>237</v>
      </c>
    </row>
    <row r="1701" spans="1:5" ht="21.6">
      <c r="A1701" s="11">
        <v>42764</v>
      </c>
      <c r="B1701" s="10" t="s">
        <v>3711</v>
      </c>
      <c r="C1701" s="10" t="s">
        <v>3712</v>
      </c>
      <c r="D1701" s="11">
        <v>42780.63753472222</v>
      </c>
      <c r="E1701" s="10" t="s">
        <v>146</v>
      </c>
    </row>
    <row r="1702" spans="1:5">
      <c r="A1702" s="11">
        <v>42764</v>
      </c>
      <c r="B1702" s="10" t="s">
        <v>3713</v>
      </c>
      <c r="C1702" s="10" t="s">
        <v>3714</v>
      </c>
      <c r="D1702" s="11">
        <v>42779.476759259262</v>
      </c>
      <c r="E1702" s="10" t="s">
        <v>237</v>
      </c>
    </row>
    <row r="1703" spans="1:5">
      <c r="A1703" s="11">
        <v>42764</v>
      </c>
      <c r="B1703" s="10" t="s">
        <v>3715</v>
      </c>
      <c r="C1703" s="10" t="s">
        <v>3716</v>
      </c>
      <c r="D1703" s="11">
        <v>42781.681793981479</v>
      </c>
      <c r="E1703" s="10" t="s">
        <v>308</v>
      </c>
    </row>
    <row r="1704" spans="1:5">
      <c r="A1704" s="11">
        <v>42764</v>
      </c>
      <c r="B1704" s="10" t="s">
        <v>3717</v>
      </c>
      <c r="C1704" s="10" t="s">
        <v>3718</v>
      </c>
      <c r="D1704" s="11">
        <v>42781.480219907404</v>
      </c>
      <c r="E1704" s="10" t="s">
        <v>240</v>
      </c>
    </row>
    <row r="1705" spans="1:5">
      <c r="A1705" s="11">
        <v>42764</v>
      </c>
      <c r="B1705" s="10" t="s">
        <v>3719</v>
      </c>
      <c r="C1705" s="10" t="s">
        <v>3720</v>
      </c>
      <c r="D1705" s="11">
        <v>42780.546689814815</v>
      </c>
      <c r="E1705" s="10" t="s">
        <v>966</v>
      </c>
    </row>
    <row r="1706" spans="1:5">
      <c r="A1706" s="11">
        <v>42764</v>
      </c>
      <c r="B1706" s="10" t="s">
        <v>3721</v>
      </c>
      <c r="C1706" s="10" t="s">
        <v>3722</v>
      </c>
      <c r="D1706" s="11">
        <v>42773.876087962963</v>
      </c>
      <c r="E1706" s="10" t="s">
        <v>308</v>
      </c>
    </row>
    <row r="1707" spans="1:5">
      <c r="A1707" s="11">
        <v>42764</v>
      </c>
      <c r="B1707" s="10" t="s">
        <v>3723</v>
      </c>
      <c r="C1707" s="10" t="s">
        <v>3724</v>
      </c>
      <c r="D1707" s="11">
        <v>42780.523854166669</v>
      </c>
      <c r="E1707" s="10" t="s">
        <v>308</v>
      </c>
    </row>
    <row r="1708" spans="1:5">
      <c r="A1708" s="11">
        <v>42764</v>
      </c>
      <c r="B1708" s="10" t="s">
        <v>3725</v>
      </c>
      <c r="C1708" s="10" t="s">
        <v>3726</v>
      </c>
      <c r="D1708" s="11">
        <v>42782.696377314816</v>
      </c>
      <c r="E1708" s="10" t="s">
        <v>683</v>
      </c>
    </row>
    <row r="1709" spans="1:5">
      <c r="A1709" s="11">
        <v>42764</v>
      </c>
      <c r="B1709" s="10" t="s">
        <v>3727</v>
      </c>
      <c r="C1709" s="10" t="s">
        <v>3728</v>
      </c>
      <c r="D1709" s="11">
        <v>42780.729502314818</v>
      </c>
      <c r="E1709" s="10" t="s">
        <v>422</v>
      </c>
    </row>
    <row r="1710" spans="1:5">
      <c r="A1710" s="11">
        <v>42764</v>
      </c>
      <c r="B1710" s="10" t="s">
        <v>3729</v>
      </c>
      <c r="C1710" s="10" t="s">
        <v>3730</v>
      </c>
      <c r="D1710" s="11">
        <v>42781.427708333336</v>
      </c>
      <c r="E1710" s="10" t="s">
        <v>433</v>
      </c>
    </row>
    <row r="1711" spans="1:5">
      <c r="A1711" s="11">
        <v>42764</v>
      </c>
      <c r="B1711" s="10" t="s">
        <v>3731</v>
      </c>
      <c r="C1711" s="10" t="s">
        <v>3732</v>
      </c>
      <c r="D1711" s="11">
        <v>42779.568090277775</v>
      </c>
      <c r="E1711" s="10" t="s">
        <v>479</v>
      </c>
    </row>
    <row r="1712" spans="1:5">
      <c r="A1712" s="11">
        <v>42764</v>
      </c>
      <c r="B1712" s="10" t="s">
        <v>3733</v>
      </c>
      <c r="C1712" s="10" t="s">
        <v>3734</v>
      </c>
      <c r="D1712" s="11">
        <v>42782.642094907409</v>
      </c>
      <c r="E1712" s="10" t="s">
        <v>482</v>
      </c>
    </row>
    <row r="1713" spans="1:5">
      <c r="A1713" s="11">
        <v>42765</v>
      </c>
      <c r="B1713" s="10" t="s">
        <v>3735</v>
      </c>
      <c r="C1713" s="10" t="s">
        <v>3736</v>
      </c>
      <c r="D1713" s="11">
        <v>42779.624814814815</v>
      </c>
      <c r="E1713" s="10" t="s">
        <v>949</v>
      </c>
    </row>
    <row r="1714" spans="1:5">
      <c r="A1714" s="11">
        <v>42765</v>
      </c>
      <c r="B1714" s="10" t="s">
        <v>3737</v>
      </c>
      <c r="C1714" s="10" t="s">
        <v>3738</v>
      </c>
      <c r="D1714" s="11">
        <v>42782.643761574072</v>
      </c>
      <c r="E1714" s="10" t="s">
        <v>178</v>
      </c>
    </row>
    <row r="1715" spans="1:5">
      <c r="A1715" s="11">
        <v>42765</v>
      </c>
      <c r="B1715" s="10" t="s">
        <v>3739</v>
      </c>
      <c r="C1715" s="10" t="s">
        <v>3740</v>
      </c>
      <c r="D1715" s="11">
        <v>42781.579583333332</v>
      </c>
      <c r="E1715" s="10" t="s">
        <v>433</v>
      </c>
    </row>
    <row r="1716" spans="1:5">
      <c r="A1716" s="11">
        <v>42765</v>
      </c>
      <c r="B1716" s="10" t="s">
        <v>3741</v>
      </c>
      <c r="C1716" s="10" t="s">
        <v>3742</v>
      </c>
      <c r="D1716" s="11">
        <v>42781.792638888888</v>
      </c>
      <c r="E1716" s="10" t="s">
        <v>373</v>
      </c>
    </row>
    <row r="1717" spans="1:5" ht="21.6">
      <c r="A1717" s="11">
        <v>42765</v>
      </c>
      <c r="B1717" s="10" t="s">
        <v>3743</v>
      </c>
      <c r="C1717" s="10" t="s">
        <v>3744</v>
      </c>
      <c r="D1717" s="11">
        <v>42780.637638888889</v>
      </c>
      <c r="E1717" s="10" t="s">
        <v>146</v>
      </c>
    </row>
    <row r="1718" spans="1:5">
      <c r="A1718" s="11">
        <v>42765</v>
      </c>
      <c r="B1718" s="10" t="s">
        <v>3745</v>
      </c>
      <c r="C1718" s="10" t="s">
        <v>3746</v>
      </c>
      <c r="D1718" s="11">
        <v>42782.427534722221</v>
      </c>
      <c r="E1718" s="10" t="s">
        <v>218</v>
      </c>
    </row>
    <row r="1719" spans="1:5">
      <c r="A1719" s="11">
        <v>42765</v>
      </c>
      <c r="B1719" s="10" t="s">
        <v>3747</v>
      </c>
      <c r="C1719" s="10" t="s">
        <v>3748</v>
      </c>
      <c r="D1719" s="11">
        <v>42779.749502314815</v>
      </c>
      <c r="E1719" s="10" t="s">
        <v>949</v>
      </c>
    </row>
    <row r="1720" spans="1:5">
      <c r="A1720" s="11">
        <v>42765</v>
      </c>
      <c r="B1720" s="10" t="s">
        <v>3749</v>
      </c>
      <c r="C1720" s="10" t="s">
        <v>3750</v>
      </c>
      <c r="D1720" s="11">
        <v>42779.815254629626</v>
      </c>
      <c r="E1720" s="10" t="s">
        <v>373</v>
      </c>
    </row>
    <row r="1721" spans="1:5">
      <c r="A1721" s="11">
        <v>42765</v>
      </c>
      <c r="B1721" s="10" t="s">
        <v>3751</v>
      </c>
      <c r="C1721" s="10" t="s">
        <v>3752</v>
      </c>
      <c r="D1721" s="11">
        <v>42780.646377314813</v>
      </c>
      <c r="E1721" s="10" t="s">
        <v>2515</v>
      </c>
    </row>
    <row r="1722" spans="1:5">
      <c r="A1722" s="11">
        <v>42765</v>
      </c>
      <c r="B1722" s="10" t="s">
        <v>3753</v>
      </c>
      <c r="C1722" s="10" t="s">
        <v>3754</v>
      </c>
      <c r="D1722" s="11">
        <v>42782.576585648145</v>
      </c>
      <c r="E1722" s="10" t="s">
        <v>1103</v>
      </c>
    </row>
    <row r="1723" spans="1:5">
      <c r="A1723" s="11">
        <v>42765</v>
      </c>
      <c r="B1723" s="10" t="s">
        <v>3755</v>
      </c>
      <c r="C1723" s="10" t="s">
        <v>3756</v>
      </c>
      <c r="D1723" s="11">
        <v>42775.452210648145</v>
      </c>
      <c r="E1723" s="10" t="s">
        <v>2201</v>
      </c>
    </row>
    <row r="1724" spans="1:5">
      <c r="A1724" s="11">
        <v>42765</v>
      </c>
      <c r="B1724" s="10" t="s">
        <v>3757</v>
      </c>
      <c r="C1724" s="10" t="s">
        <v>3758</v>
      </c>
      <c r="D1724" s="11">
        <v>42782.577094907407</v>
      </c>
      <c r="E1724" s="10" t="s">
        <v>2201</v>
      </c>
    </row>
    <row r="1725" spans="1:5">
      <c r="A1725" s="11">
        <v>42765</v>
      </c>
      <c r="B1725" s="10" t="s">
        <v>3759</v>
      </c>
      <c r="C1725" s="10" t="s">
        <v>3760</v>
      </c>
      <c r="D1725" s="11">
        <v>42782.580439814818</v>
      </c>
      <c r="E1725" s="10" t="s">
        <v>2201</v>
      </c>
    </row>
    <row r="1726" spans="1:5">
      <c r="A1726" s="11">
        <v>42765</v>
      </c>
      <c r="B1726" s="10" t="s">
        <v>3761</v>
      </c>
      <c r="C1726" s="10" t="s">
        <v>3762</v>
      </c>
      <c r="D1726" s="11">
        <v>42782.618171296293</v>
      </c>
      <c r="E1726" s="10" t="s">
        <v>656</v>
      </c>
    </row>
    <row r="1727" spans="1:5">
      <c r="A1727" s="11">
        <v>42765</v>
      </c>
      <c r="B1727" s="10" t="s">
        <v>3763</v>
      </c>
      <c r="C1727" s="10" t="s">
        <v>3764</v>
      </c>
      <c r="D1727" s="11">
        <v>42781.512314814812</v>
      </c>
      <c r="E1727" s="10" t="s">
        <v>218</v>
      </c>
    </row>
    <row r="1728" spans="1:5">
      <c r="A1728" s="11">
        <v>42765</v>
      </c>
      <c r="B1728" s="10" t="s">
        <v>3765</v>
      </c>
      <c r="C1728" s="10" t="s">
        <v>3766</v>
      </c>
      <c r="D1728" s="11">
        <v>42782.493831018517</v>
      </c>
      <c r="E1728" s="10" t="s">
        <v>656</v>
      </c>
    </row>
    <row r="1729" spans="1:5">
      <c r="A1729" s="11">
        <v>42765</v>
      </c>
      <c r="B1729" s="10" t="s">
        <v>3767</v>
      </c>
      <c r="C1729" s="10" t="s">
        <v>3768</v>
      </c>
      <c r="D1729" s="11">
        <v>42765.896678240744</v>
      </c>
      <c r="E1729" s="10" t="s">
        <v>1696</v>
      </c>
    </row>
    <row r="1730" spans="1:5">
      <c r="A1730" s="11">
        <v>42766</v>
      </c>
      <c r="B1730" s="10" t="s">
        <v>3769</v>
      </c>
      <c r="C1730" s="10" t="s">
        <v>3770</v>
      </c>
      <c r="D1730" s="11">
        <v>42779.435486111113</v>
      </c>
      <c r="E1730" s="10" t="s">
        <v>2201</v>
      </c>
    </row>
    <row r="1731" spans="1:5">
      <c r="A1731" s="11">
        <v>42766</v>
      </c>
      <c r="B1731" s="10" t="s">
        <v>3771</v>
      </c>
      <c r="C1731" s="10" t="s">
        <v>3772</v>
      </c>
      <c r="D1731" s="11">
        <v>42782.700798611113</v>
      </c>
      <c r="E1731" s="10" t="s">
        <v>152</v>
      </c>
    </row>
    <row r="1732" spans="1:5">
      <c r="A1732" s="11">
        <v>42766</v>
      </c>
      <c r="B1732" s="10" t="s">
        <v>3773</v>
      </c>
      <c r="C1732" s="10" t="s">
        <v>3774</v>
      </c>
      <c r="D1732" s="11">
        <v>42766.418414351851</v>
      </c>
      <c r="E1732" s="10" t="s">
        <v>3550</v>
      </c>
    </row>
    <row r="1733" spans="1:5">
      <c r="A1733" s="11">
        <v>42766</v>
      </c>
      <c r="B1733" s="10" t="s">
        <v>3775</v>
      </c>
      <c r="C1733" s="10" t="s">
        <v>3776</v>
      </c>
      <c r="D1733" s="11">
        <v>42782.705370370371</v>
      </c>
      <c r="E1733" s="10" t="s">
        <v>209</v>
      </c>
    </row>
    <row r="1734" spans="1:5" ht="21.6">
      <c r="A1734" s="11">
        <v>42766</v>
      </c>
      <c r="B1734" s="10" t="s">
        <v>3777</v>
      </c>
      <c r="C1734" s="10" t="s">
        <v>3778</v>
      </c>
      <c r="D1734" s="11">
        <v>42766.478229166663</v>
      </c>
      <c r="E1734" s="10" t="s">
        <v>704</v>
      </c>
    </row>
    <row r="1735" spans="1:5">
      <c r="A1735" s="11">
        <v>42766</v>
      </c>
      <c r="B1735" s="10" t="s">
        <v>3779</v>
      </c>
      <c r="C1735" s="10" t="s">
        <v>3780</v>
      </c>
      <c r="D1735" s="11">
        <v>42781.570231481484</v>
      </c>
      <c r="E1735" s="10" t="s">
        <v>2183</v>
      </c>
    </row>
    <row r="1736" spans="1:5">
      <c r="A1736" s="11">
        <v>42766</v>
      </c>
      <c r="B1736" s="10" t="s">
        <v>3781</v>
      </c>
      <c r="C1736" s="10" t="s">
        <v>3782</v>
      </c>
      <c r="D1736" s="11">
        <v>42781.851898148147</v>
      </c>
      <c r="E1736" s="10" t="s">
        <v>155</v>
      </c>
    </row>
    <row r="1737" spans="1:5">
      <c r="A1737" s="11">
        <v>42766</v>
      </c>
      <c r="B1737" s="10" t="s">
        <v>3783</v>
      </c>
      <c r="C1737" s="10" t="s">
        <v>3784</v>
      </c>
      <c r="D1737" s="11">
        <v>42776.593680555554</v>
      </c>
      <c r="E1737" s="10" t="s">
        <v>2266</v>
      </c>
    </row>
    <row r="1738" spans="1:5">
      <c r="A1738" s="11">
        <v>42766</v>
      </c>
      <c r="B1738" s="10" t="s">
        <v>3785</v>
      </c>
      <c r="C1738" s="10" t="s">
        <v>3786</v>
      </c>
      <c r="D1738" s="11">
        <v>42780.677557870367</v>
      </c>
      <c r="E1738" s="10" t="s">
        <v>237</v>
      </c>
    </row>
    <row r="1739" spans="1:5">
      <c r="A1739" s="11">
        <v>42766</v>
      </c>
      <c r="B1739" s="10" t="s">
        <v>3787</v>
      </c>
      <c r="C1739" s="10" t="s">
        <v>3788</v>
      </c>
      <c r="D1739" s="11">
        <v>42782.572210648148</v>
      </c>
      <c r="E1739" s="10" t="s">
        <v>902</v>
      </c>
    </row>
    <row r="1740" spans="1:5">
      <c r="A1740" s="11">
        <v>42766</v>
      </c>
      <c r="B1740" s="10" t="s">
        <v>3789</v>
      </c>
      <c r="C1740" s="10" t="s">
        <v>3790</v>
      </c>
      <c r="D1740" s="11">
        <v>42782.382465277777</v>
      </c>
      <c r="E1740" s="10" t="s">
        <v>122</v>
      </c>
    </row>
    <row r="1741" spans="1:5">
      <c r="A1741" s="11">
        <v>42766</v>
      </c>
      <c r="B1741" s="10" t="s">
        <v>3791</v>
      </c>
      <c r="C1741" s="10" t="s">
        <v>3792</v>
      </c>
      <c r="D1741" s="11">
        <v>42766.67359953704</v>
      </c>
      <c r="E1741" s="10" t="s">
        <v>2515</v>
      </c>
    </row>
    <row r="1742" spans="1:5">
      <c r="A1742" s="11">
        <v>42766</v>
      </c>
      <c r="B1742" s="10" t="s">
        <v>3793</v>
      </c>
      <c r="C1742" s="10" t="s">
        <v>3794</v>
      </c>
      <c r="D1742" s="11">
        <v>42781.85423611111</v>
      </c>
      <c r="E1742" s="10" t="s">
        <v>433</v>
      </c>
    </row>
    <row r="1743" spans="1:5">
      <c r="A1743" s="11">
        <v>42766</v>
      </c>
      <c r="B1743" s="10" t="s">
        <v>3795</v>
      </c>
      <c r="C1743" s="10" t="s">
        <v>3796</v>
      </c>
      <c r="D1743" s="11">
        <v>42777.683125000003</v>
      </c>
      <c r="E1743" s="10" t="s">
        <v>2547</v>
      </c>
    </row>
    <row r="1744" spans="1:5">
      <c r="A1744" s="11">
        <v>42766</v>
      </c>
      <c r="B1744" s="10" t="s">
        <v>3797</v>
      </c>
      <c r="C1744" s="10" t="s">
        <v>3798</v>
      </c>
      <c r="D1744" s="11">
        <v>42782.567349537036</v>
      </c>
      <c r="E1744" s="10" t="s">
        <v>218</v>
      </c>
    </row>
    <row r="1745" spans="1:5">
      <c r="A1745" s="11">
        <v>42766</v>
      </c>
      <c r="B1745" s="10" t="s">
        <v>3799</v>
      </c>
      <c r="C1745" s="10" t="s">
        <v>3800</v>
      </c>
      <c r="D1745" s="11">
        <v>42781.429386574076</v>
      </c>
      <c r="E1745" s="10" t="s">
        <v>2201</v>
      </c>
    </row>
    <row r="1746" spans="1:5">
      <c r="A1746" s="11">
        <v>42766</v>
      </c>
      <c r="B1746" s="10" t="s">
        <v>3801</v>
      </c>
      <c r="C1746" s="10" t="s">
        <v>3802</v>
      </c>
      <c r="D1746" s="11">
        <v>42766.928356481483</v>
      </c>
      <c r="E1746" s="10" t="s">
        <v>2284</v>
      </c>
    </row>
    <row r="1747" spans="1:5">
      <c r="A1747" s="11">
        <v>42766</v>
      </c>
      <c r="B1747" s="10" t="s">
        <v>3803</v>
      </c>
      <c r="C1747" s="10" t="s">
        <v>3804</v>
      </c>
      <c r="D1747" s="11">
        <v>42782.669479166667</v>
      </c>
      <c r="E1747" s="10" t="s">
        <v>122</v>
      </c>
    </row>
    <row r="1748" spans="1:5">
      <c r="A1748" s="11">
        <v>42767</v>
      </c>
      <c r="B1748" s="10" t="s">
        <v>3805</v>
      </c>
      <c r="C1748" s="10" t="s">
        <v>3806</v>
      </c>
      <c r="D1748" s="11">
        <v>42782.455949074072</v>
      </c>
      <c r="E1748" s="10" t="s">
        <v>240</v>
      </c>
    </row>
    <row r="1749" spans="1:5">
      <c r="A1749" s="11">
        <v>42767</v>
      </c>
      <c r="B1749" s="10" t="s">
        <v>3807</v>
      </c>
      <c r="C1749" s="10" t="s">
        <v>3808</v>
      </c>
      <c r="D1749" s="11">
        <v>42782.449687499997</v>
      </c>
      <c r="E1749" s="10" t="s">
        <v>122</v>
      </c>
    </row>
    <row r="1750" spans="1:5">
      <c r="A1750" s="11">
        <v>42767</v>
      </c>
      <c r="B1750" s="10" t="s">
        <v>3809</v>
      </c>
      <c r="C1750" s="10" t="s">
        <v>3810</v>
      </c>
      <c r="D1750" s="11">
        <v>42781.44672453704</v>
      </c>
      <c r="E1750" s="10" t="s">
        <v>2538</v>
      </c>
    </row>
    <row r="1751" spans="1:5">
      <c r="A1751" s="11">
        <v>42767</v>
      </c>
      <c r="B1751" s="10" t="s">
        <v>3811</v>
      </c>
      <c r="C1751" s="10" t="s">
        <v>3812</v>
      </c>
      <c r="D1751" s="11">
        <v>42781.474768518521</v>
      </c>
      <c r="E1751" s="10" t="s">
        <v>2742</v>
      </c>
    </row>
    <row r="1752" spans="1:5">
      <c r="A1752" s="11">
        <v>42767</v>
      </c>
      <c r="B1752" s="10" t="s">
        <v>3813</v>
      </c>
      <c r="C1752" s="10" t="s">
        <v>3814</v>
      </c>
      <c r="D1752" s="11">
        <v>42776.920231481483</v>
      </c>
      <c r="E1752" s="10" t="s">
        <v>125</v>
      </c>
    </row>
    <row r="1753" spans="1:5">
      <c r="A1753" s="11">
        <v>42767</v>
      </c>
      <c r="B1753" s="10" t="s">
        <v>3815</v>
      </c>
      <c r="C1753" s="10" t="s">
        <v>3816</v>
      </c>
      <c r="D1753" s="11">
        <v>42782.408078703702</v>
      </c>
      <c r="E1753" s="10" t="s">
        <v>218</v>
      </c>
    </row>
    <row r="1754" spans="1:5">
      <c r="A1754" s="11">
        <v>42767</v>
      </c>
      <c r="B1754" s="10" t="s">
        <v>3817</v>
      </c>
      <c r="C1754" s="10" t="s">
        <v>3818</v>
      </c>
      <c r="D1754" s="11">
        <v>42782.563310185185</v>
      </c>
      <c r="E1754" s="10" t="s">
        <v>2442</v>
      </c>
    </row>
    <row r="1755" spans="1:5">
      <c r="A1755" s="11">
        <v>42767</v>
      </c>
      <c r="B1755" s="10" t="s">
        <v>3819</v>
      </c>
      <c r="C1755" s="10" t="s">
        <v>3820</v>
      </c>
      <c r="D1755" s="11">
        <v>42780.81</v>
      </c>
      <c r="E1755" s="10" t="s">
        <v>902</v>
      </c>
    </row>
    <row r="1756" spans="1:5">
      <c r="A1756" s="11">
        <v>42767</v>
      </c>
      <c r="B1756" s="10" t="s">
        <v>3821</v>
      </c>
      <c r="C1756" s="10" t="s">
        <v>3822</v>
      </c>
      <c r="D1756" s="11">
        <v>42782.551585648151</v>
      </c>
      <c r="E1756" s="10" t="s">
        <v>130</v>
      </c>
    </row>
    <row r="1757" spans="1:5">
      <c r="A1757" s="11">
        <v>42767</v>
      </c>
      <c r="B1757" s="10" t="s">
        <v>3823</v>
      </c>
      <c r="C1757" s="10" t="s">
        <v>3824</v>
      </c>
      <c r="D1757" s="11">
        <v>42782.475081018521</v>
      </c>
      <c r="E1757" s="10" t="s">
        <v>902</v>
      </c>
    </row>
    <row r="1758" spans="1:5">
      <c r="A1758" s="11">
        <v>42767</v>
      </c>
      <c r="B1758" s="10" t="s">
        <v>3825</v>
      </c>
      <c r="C1758" s="10" t="s">
        <v>3826</v>
      </c>
      <c r="D1758" s="11">
        <v>42782.703263888892</v>
      </c>
      <c r="E1758" s="10" t="s">
        <v>422</v>
      </c>
    </row>
    <row r="1759" spans="1:5">
      <c r="A1759" s="11">
        <v>42767</v>
      </c>
      <c r="B1759" s="10" t="s">
        <v>3827</v>
      </c>
      <c r="C1759" s="10" t="s">
        <v>3828</v>
      </c>
      <c r="D1759" s="11">
        <v>42780.905925925923</v>
      </c>
      <c r="E1759" s="10" t="s">
        <v>2515</v>
      </c>
    </row>
    <row r="1760" spans="1:5">
      <c r="A1760" s="11">
        <v>42767</v>
      </c>
      <c r="B1760" s="10" t="s">
        <v>3829</v>
      </c>
      <c r="C1760" s="10" t="s">
        <v>3830</v>
      </c>
      <c r="D1760" s="11">
        <v>42782.598310185182</v>
      </c>
      <c r="E1760" s="10" t="s">
        <v>193</v>
      </c>
    </row>
    <row r="1761" spans="1:5">
      <c r="A1761" s="11">
        <v>42767</v>
      </c>
      <c r="B1761" s="10" t="s">
        <v>3831</v>
      </c>
      <c r="C1761" s="10" t="s">
        <v>3832</v>
      </c>
      <c r="D1761" s="11">
        <v>42781.841134259259</v>
      </c>
      <c r="E1761" s="10" t="s">
        <v>2515</v>
      </c>
    </row>
    <row r="1762" spans="1:5">
      <c r="A1762" s="11">
        <v>42767</v>
      </c>
      <c r="B1762" s="10" t="s">
        <v>3833</v>
      </c>
      <c r="C1762" s="10" t="s">
        <v>3834</v>
      </c>
      <c r="D1762" s="11">
        <v>42781.948888888888</v>
      </c>
      <c r="E1762" s="10" t="s">
        <v>433</v>
      </c>
    </row>
    <row r="1763" spans="1:5">
      <c r="A1763" s="11">
        <v>42767</v>
      </c>
      <c r="B1763" s="10" t="s">
        <v>3835</v>
      </c>
      <c r="C1763" s="10" t="s">
        <v>3836</v>
      </c>
      <c r="D1763" s="11">
        <v>42781.746168981481</v>
      </c>
      <c r="E1763" s="10" t="s">
        <v>373</v>
      </c>
    </row>
    <row r="1764" spans="1:5">
      <c r="A1764" s="11">
        <v>42767</v>
      </c>
      <c r="B1764" s="10" t="s">
        <v>3837</v>
      </c>
      <c r="C1764" s="10" t="s">
        <v>3838</v>
      </c>
      <c r="D1764" s="11">
        <v>42782.565312500003</v>
      </c>
      <c r="E1764" s="10" t="s">
        <v>209</v>
      </c>
    </row>
    <row r="1765" spans="1:5">
      <c r="A1765" s="11">
        <v>42767</v>
      </c>
      <c r="B1765" s="10" t="s">
        <v>3839</v>
      </c>
      <c r="C1765" s="10" t="s">
        <v>3840</v>
      </c>
      <c r="D1765" s="11">
        <v>42782.613043981481</v>
      </c>
      <c r="E1765" s="10" t="s">
        <v>2515</v>
      </c>
    </row>
    <row r="1766" spans="1:5">
      <c r="A1766" s="11">
        <v>42767</v>
      </c>
      <c r="B1766" s="10" t="s">
        <v>3841</v>
      </c>
      <c r="C1766" s="10" t="s">
        <v>3842</v>
      </c>
      <c r="D1766" s="11">
        <v>42782.358402777776</v>
      </c>
      <c r="E1766" s="10" t="s">
        <v>433</v>
      </c>
    </row>
    <row r="1767" spans="1:5">
      <c r="A1767" s="11">
        <v>42767</v>
      </c>
      <c r="B1767" s="10" t="s">
        <v>3843</v>
      </c>
      <c r="C1767" s="10" t="s">
        <v>3844</v>
      </c>
      <c r="D1767" s="11">
        <v>42782.639282407406</v>
      </c>
      <c r="E1767" s="10" t="s">
        <v>2183</v>
      </c>
    </row>
    <row r="1768" spans="1:5">
      <c r="A1768" s="11">
        <v>42767</v>
      </c>
      <c r="B1768" s="10" t="s">
        <v>3845</v>
      </c>
      <c r="C1768" s="10" t="s">
        <v>3846</v>
      </c>
      <c r="D1768" s="11">
        <v>42782.657187500001</v>
      </c>
      <c r="E1768" s="10" t="s">
        <v>422</v>
      </c>
    </row>
    <row r="1769" spans="1:5">
      <c r="A1769" s="11">
        <v>42767</v>
      </c>
      <c r="B1769" s="10" t="s">
        <v>3847</v>
      </c>
      <c r="C1769" s="10" t="s">
        <v>3848</v>
      </c>
      <c r="D1769" s="11">
        <v>42782.553703703707</v>
      </c>
      <c r="E1769" s="10" t="s">
        <v>320</v>
      </c>
    </row>
    <row r="1770" spans="1:5">
      <c r="A1770" s="11">
        <v>42767</v>
      </c>
      <c r="B1770" s="10" t="s">
        <v>3849</v>
      </c>
      <c r="C1770" s="10" t="s">
        <v>3850</v>
      </c>
      <c r="D1770" s="11">
        <v>42772.695590277777</v>
      </c>
      <c r="E1770" s="10" t="s">
        <v>212</v>
      </c>
    </row>
    <row r="1771" spans="1:5">
      <c r="A1771" s="11">
        <v>42767</v>
      </c>
      <c r="B1771" s="10" t="s">
        <v>3851</v>
      </c>
      <c r="C1771" s="10" t="s">
        <v>3852</v>
      </c>
      <c r="D1771" s="11">
        <v>42770.598645833335</v>
      </c>
      <c r="E1771" s="10" t="s">
        <v>2183</v>
      </c>
    </row>
    <row r="1772" spans="1:5">
      <c r="A1772" s="11">
        <v>42768</v>
      </c>
      <c r="B1772" s="10" t="s">
        <v>3853</v>
      </c>
      <c r="C1772" s="10" t="s">
        <v>3854</v>
      </c>
      <c r="D1772" s="11">
        <v>42780.569293981483</v>
      </c>
      <c r="E1772" s="10" t="s">
        <v>308</v>
      </c>
    </row>
    <row r="1773" spans="1:5">
      <c r="A1773" s="11">
        <v>42768</v>
      </c>
      <c r="B1773" s="10" t="s">
        <v>3855</v>
      </c>
      <c r="C1773" s="10" t="s">
        <v>3856</v>
      </c>
      <c r="D1773" s="11">
        <v>42775.36383101852</v>
      </c>
      <c r="E1773" s="10" t="s">
        <v>902</v>
      </c>
    </row>
    <row r="1774" spans="1:5">
      <c r="A1774" s="11">
        <v>42768</v>
      </c>
      <c r="B1774" s="10" t="s">
        <v>3857</v>
      </c>
      <c r="C1774" s="10" t="s">
        <v>3858</v>
      </c>
      <c r="D1774" s="11">
        <v>42780.360798611109</v>
      </c>
      <c r="E1774" s="10" t="s">
        <v>433</v>
      </c>
    </row>
    <row r="1775" spans="1:5">
      <c r="A1775" s="11">
        <v>42768</v>
      </c>
      <c r="B1775" s="10" t="s">
        <v>3859</v>
      </c>
      <c r="C1775" s="10" t="s">
        <v>3860</v>
      </c>
      <c r="D1775" s="11">
        <v>42779.500543981485</v>
      </c>
      <c r="E1775" s="10" t="s">
        <v>479</v>
      </c>
    </row>
    <row r="1776" spans="1:5">
      <c r="A1776" s="11">
        <v>42768</v>
      </c>
      <c r="B1776" s="10" t="s">
        <v>3861</v>
      </c>
      <c r="C1776" s="10" t="s">
        <v>3862</v>
      </c>
      <c r="D1776" s="11">
        <v>42768.441064814811</v>
      </c>
      <c r="E1776" s="10" t="s">
        <v>2547</v>
      </c>
    </row>
    <row r="1777" spans="1:5">
      <c r="A1777" s="11">
        <v>42768</v>
      </c>
      <c r="B1777" s="10" t="s">
        <v>3863</v>
      </c>
      <c r="C1777" s="10" t="s">
        <v>3864</v>
      </c>
      <c r="D1777" s="11">
        <v>42768.443553240744</v>
      </c>
      <c r="E1777" s="10" t="s">
        <v>3865</v>
      </c>
    </row>
    <row r="1778" spans="1:5">
      <c r="A1778" s="11">
        <v>42768</v>
      </c>
      <c r="B1778" s="10" t="s">
        <v>3866</v>
      </c>
      <c r="C1778" s="10" t="s">
        <v>3867</v>
      </c>
      <c r="D1778" s="11">
        <v>42779.653541666667</v>
      </c>
      <c r="E1778" s="10" t="s">
        <v>2144</v>
      </c>
    </row>
    <row r="1779" spans="1:5">
      <c r="A1779" s="11">
        <v>42768</v>
      </c>
      <c r="B1779" s="10" t="s">
        <v>3868</v>
      </c>
      <c r="C1779" s="10" t="s">
        <v>3869</v>
      </c>
      <c r="D1779" s="11">
        <v>42779.573981481481</v>
      </c>
      <c r="E1779" s="10" t="s">
        <v>2201</v>
      </c>
    </row>
    <row r="1780" spans="1:5">
      <c r="A1780" s="11">
        <v>42768</v>
      </c>
      <c r="B1780" s="10" t="s">
        <v>3870</v>
      </c>
      <c r="C1780" s="10" t="s">
        <v>3871</v>
      </c>
      <c r="D1780" s="11">
        <v>42780.761122685188</v>
      </c>
      <c r="E1780" s="10" t="s">
        <v>433</v>
      </c>
    </row>
    <row r="1781" spans="1:5">
      <c r="A1781" s="11">
        <v>42768</v>
      </c>
      <c r="B1781" s="10" t="s">
        <v>3872</v>
      </c>
      <c r="C1781" s="10" t="s">
        <v>3873</v>
      </c>
      <c r="D1781" s="11">
        <v>42778.486817129633</v>
      </c>
      <c r="E1781" s="10" t="s">
        <v>3024</v>
      </c>
    </row>
    <row r="1782" spans="1:5">
      <c r="A1782" s="11">
        <v>42768</v>
      </c>
      <c r="B1782" s="10" t="s">
        <v>3874</v>
      </c>
      <c r="C1782" s="10" t="s">
        <v>3875</v>
      </c>
      <c r="D1782" s="11">
        <v>42780.505046296297</v>
      </c>
      <c r="E1782" s="10" t="s">
        <v>380</v>
      </c>
    </row>
    <row r="1783" spans="1:5">
      <c r="A1783" s="11">
        <v>42768</v>
      </c>
      <c r="B1783" s="10" t="s">
        <v>3876</v>
      </c>
      <c r="C1783" s="10" t="s">
        <v>3877</v>
      </c>
      <c r="D1783" s="11">
        <v>42777.923946759256</v>
      </c>
      <c r="E1783" s="10" t="s">
        <v>479</v>
      </c>
    </row>
    <row r="1784" spans="1:5">
      <c r="A1784" s="11">
        <v>42768</v>
      </c>
      <c r="B1784" s="10" t="s">
        <v>3878</v>
      </c>
      <c r="C1784" s="10" t="s">
        <v>3879</v>
      </c>
      <c r="D1784" s="11">
        <v>42782.399143518516</v>
      </c>
      <c r="E1784" s="10" t="s">
        <v>1696</v>
      </c>
    </row>
    <row r="1785" spans="1:5">
      <c r="A1785" s="11">
        <v>42768</v>
      </c>
      <c r="B1785" s="10" t="s">
        <v>3880</v>
      </c>
      <c r="C1785" s="10" t="s">
        <v>3881</v>
      </c>
      <c r="D1785" s="11">
        <v>42780.624872685185</v>
      </c>
      <c r="E1785" s="10" t="s">
        <v>2144</v>
      </c>
    </row>
    <row r="1786" spans="1:5">
      <c r="A1786" s="11">
        <v>42768</v>
      </c>
      <c r="B1786" s="10" t="s">
        <v>3882</v>
      </c>
      <c r="C1786" s="10" t="s">
        <v>3883</v>
      </c>
      <c r="D1786" s="11">
        <v>42782.376840277779</v>
      </c>
      <c r="E1786" s="10" t="s">
        <v>178</v>
      </c>
    </row>
    <row r="1787" spans="1:5">
      <c r="A1787" s="11">
        <v>42768</v>
      </c>
      <c r="B1787" s="10" t="s">
        <v>3884</v>
      </c>
      <c r="C1787" s="10" t="s">
        <v>3885</v>
      </c>
      <c r="D1787" s="11">
        <v>42781.823379629626</v>
      </c>
      <c r="E1787" s="10" t="s">
        <v>433</v>
      </c>
    </row>
    <row r="1788" spans="1:5">
      <c r="A1788" s="11">
        <v>42768</v>
      </c>
      <c r="B1788" s="10" t="s">
        <v>3886</v>
      </c>
      <c r="C1788" s="10" t="s">
        <v>3887</v>
      </c>
      <c r="D1788" s="11">
        <v>42779.821273148147</v>
      </c>
      <c r="E1788" s="10" t="s">
        <v>193</v>
      </c>
    </row>
    <row r="1789" spans="1:5">
      <c r="A1789" s="11">
        <v>42768</v>
      </c>
      <c r="B1789" s="10" t="s">
        <v>3888</v>
      </c>
      <c r="C1789" s="10" t="s">
        <v>3889</v>
      </c>
      <c r="D1789" s="11">
        <v>42782.406238425923</v>
      </c>
      <c r="E1789" s="10" t="s">
        <v>373</v>
      </c>
    </row>
    <row r="1790" spans="1:5">
      <c r="A1790" s="11">
        <v>42769</v>
      </c>
      <c r="B1790" s="10" t="s">
        <v>3890</v>
      </c>
      <c r="C1790" s="10" t="s">
        <v>3891</v>
      </c>
      <c r="D1790" s="11">
        <v>42782.506238425929</v>
      </c>
      <c r="E1790" s="10" t="s">
        <v>2547</v>
      </c>
    </row>
    <row r="1791" spans="1:5">
      <c r="A1791" s="11">
        <v>42769</v>
      </c>
      <c r="B1791" s="10" t="s">
        <v>3892</v>
      </c>
      <c r="C1791" s="10" t="s">
        <v>3893</v>
      </c>
      <c r="D1791" s="11">
        <v>42782.292812500003</v>
      </c>
      <c r="E1791" s="10" t="s">
        <v>122</v>
      </c>
    </row>
    <row r="1792" spans="1:5">
      <c r="A1792" s="11">
        <v>42769</v>
      </c>
      <c r="B1792" s="10" t="s">
        <v>3894</v>
      </c>
      <c r="C1792" s="10" t="s">
        <v>3895</v>
      </c>
      <c r="D1792" s="11">
        <v>42779.434490740743</v>
      </c>
      <c r="E1792" s="10" t="s">
        <v>2124</v>
      </c>
    </row>
    <row r="1793" spans="1:5">
      <c r="A1793" s="11">
        <v>42769</v>
      </c>
      <c r="B1793" s="10" t="s">
        <v>3896</v>
      </c>
      <c r="C1793" s="10" t="s">
        <v>3897</v>
      </c>
      <c r="D1793" s="11">
        <v>42782.576122685183</v>
      </c>
      <c r="E1793" s="10" t="s">
        <v>656</v>
      </c>
    </row>
    <row r="1794" spans="1:5">
      <c r="A1794" s="11">
        <v>42769</v>
      </c>
      <c r="B1794" s="10" t="s">
        <v>3898</v>
      </c>
      <c r="C1794" s="10" t="s">
        <v>3899</v>
      </c>
      <c r="D1794" s="11">
        <v>42774.45820601852</v>
      </c>
      <c r="E1794" s="10" t="s">
        <v>2515</v>
      </c>
    </row>
    <row r="1795" spans="1:5">
      <c r="A1795" s="11">
        <v>42769</v>
      </c>
      <c r="B1795" s="10" t="s">
        <v>3900</v>
      </c>
      <c r="C1795" s="10" t="s">
        <v>3901</v>
      </c>
      <c r="D1795" s="11">
        <v>42782.66202546296</v>
      </c>
      <c r="E1795" s="10" t="s">
        <v>2912</v>
      </c>
    </row>
    <row r="1796" spans="1:5">
      <c r="A1796" s="11">
        <v>42769</v>
      </c>
      <c r="B1796" s="10" t="s">
        <v>3902</v>
      </c>
      <c r="C1796" s="10" t="s">
        <v>3903</v>
      </c>
      <c r="D1796" s="11">
        <v>42775.613865740743</v>
      </c>
      <c r="E1796" s="10" t="s">
        <v>479</v>
      </c>
    </row>
    <row r="1797" spans="1:5">
      <c r="A1797" s="11">
        <v>42769</v>
      </c>
      <c r="B1797" s="10" t="s">
        <v>3904</v>
      </c>
      <c r="C1797" s="10" t="s">
        <v>3905</v>
      </c>
      <c r="D1797" s="11">
        <v>42780.757025462961</v>
      </c>
      <c r="E1797" s="10" t="s">
        <v>237</v>
      </c>
    </row>
    <row r="1798" spans="1:5">
      <c r="A1798" s="11">
        <v>42769</v>
      </c>
      <c r="B1798" s="10" t="s">
        <v>3906</v>
      </c>
      <c r="C1798" s="10" t="s">
        <v>3907</v>
      </c>
      <c r="D1798" s="11">
        <v>42781.824201388888</v>
      </c>
      <c r="E1798" s="10" t="s">
        <v>433</v>
      </c>
    </row>
    <row r="1799" spans="1:5">
      <c r="A1799" s="11">
        <v>42769</v>
      </c>
      <c r="B1799" s="10" t="s">
        <v>3908</v>
      </c>
      <c r="C1799" s="10" t="s">
        <v>3909</v>
      </c>
      <c r="D1799" s="11">
        <v>42781.613344907404</v>
      </c>
      <c r="E1799" s="10" t="s">
        <v>320</v>
      </c>
    </row>
    <row r="1800" spans="1:5">
      <c r="A1800" s="11">
        <v>42769</v>
      </c>
      <c r="B1800" s="10" t="s">
        <v>3910</v>
      </c>
      <c r="C1800" s="10" t="s">
        <v>3911</v>
      </c>
      <c r="D1800" s="11">
        <v>42779.752337962964</v>
      </c>
      <c r="E1800" s="10" t="s">
        <v>433</v>
      </c>
    </row>
    <row r="1801" spans="1:5">
      <c r="A1801" s="11">
        <v>42769</v>
      </c>
      <c r="B1801" s="10" t="s">
        <v>3912</v>
      </c>
      <c r="C1801" s="10" t="s">
        <v>3913</v>
      </c>
      <c r="D1801" s="11">
        <v>42781.89738425926</v>
      </c>
      <c r="E1801" s="10" t="s">
        <v>221</v>
      </c>
    </row>
    <row r="1802" spans="1:5" ht="21.6">
      <c r="A1802" s="11">
        <v>42769</v>
      </c>
      <c r="B1802" s="10" t="s">
        <v>3914</v>
      </c>
      <c r="C1802" s="10" t="s">
        <v>3915</v>
      </c>
      <c r="D1802" s="11">
        <v>42781.880254629628</v>
      </c>
      <c r="E1802" s="10" t="s">
        <v>171</v>
      </c>
    </row>
    <row r="1803" spans="1:5">
      <c r="A1803" s="11">
        <v>42769</v>
      </c>
      <c r="B1803" s="10" t="s">
        <v>3916</v>
      </c>
      <c r="C1803" s="10" t="s">
        <v>3917</v>
      </c>
      <c r="D1803" s="11">
        <v>42780.940370370372</v>
      </c>
      <c r="E1803" s="10" t="s">
        <v>433</v>
      </c>
    </row>
    <row r="1804" spans="1:5">
      <c r="A1804" s="11">
        <v>42769</v>
      </c>
      <c r="B1804" s="10" t="s">
        <v>3918</v>
      </c>
      <c r="C1804" s="10" t="s">
        <v>3919</v>
      </c>
      <c r="D1804" s="11">
        <v>42781.876226851855</v>
      </c>
      <c r="E1804" s="10" t="s">
        <v>237</v>
      </c>
    </row>
    <row r="1805" spans="1:5">
      <c r="A1805" s="11">
        <v>42769</v>
      </c>
      <c r="B1805" s="10" t="s">
        <v>3920</v>
      </c>
      <c r="C1805" s="10" t="s">
        <v>3921</v>
      </c>
      <c r="D1805" s="11">
        <v>42781.604305555556</v>
      </c>
      <c r="E1805" s="10" t="s">
        <v>433</v>
      </c>
    </row>
    <row r="1806" spans="1:5">
      <c r="A1806" s="11">
        <v>42769</v>
      </c>
      <c r="B1806" s="10" t="s">
        <v>3922</v>
      </c>
      <c r="C1806" s="10" t="s">
        <v>3923</v>
      </c>
      <c r="D1806" s="11">
        <v>42782.34579861111</v>
      </c>
      <c r="E1806" s="10" t="s">
        <v>949</v>
      </c>
    </row>
    <row r="1807" spans="1:5">
      <c r="A1807" s="11">
        <v>42769</v>
      </c>
      <c r="B1807" s="10" t="s">
        <v>3924</v>
      </c>
      <c r="C1807" s="10" t="s">
        <v>3925</v>
      </c>
      <c r="D1807" s="11">
        <v>42782.686516203707</v>
      </c>
      <c r="E1807" s="10" t="s">
        <v>2515</v>
      </c>
    </row>
    <row r="1808" spans="1:5">
      <c r="A1808" s="11">
        <v>42769</v>
      </c>
      <c r="B1808" s="10" t="s">
        <v>3926</v>
      </c>
      <c r="C1808" s="10" t="s">
        <v>3927</v>
      </c>
      <c r="D1808" s="11">
        <v>42782.401574074072</v>
      </c>
      <c r="E1808" s="10" t="s">
        <v>237</v>
      </c>
    </row>
    <row r="1809" spans="1:5">
      <c r="A1809" s="11">
        <v>42769</v>
      </c>
      <c r="B1809" s="10" t="s">
        <v>3928</v>
      </c>
      <c r="C1809" s="10" t="s">
        <v>3929</v>
      </c>
      <c r="D1809" s="11">
        <v>42778.751064814816</v>
      </c>
      <c r="E1809" s="10" t="s">
        <v>2515</v>
      </c>
    </row>
    <row r="1810" spans="1:5">
      <c r="A1810" s="11">
        <v>42769</v>
      </c>
      <c r="B1810" s="10" t="s">
        <v>3930</v>
      </c>
      <c r="C1810" s="10" t="s">
        <v>3931</v>
      </c>
      <c r="D1810" s="11">
        <v>42780.909398148149</v>
      </c>
      <c r="E1810" s="10" t="s">
        <v>373</v>
      </c>
    </row>
    <row r="1811" spans="1:5">
      <c r="A1811" s="11">
        <v>42769</v>
      </c>
      <c r="B1811" s="10" t="s">
        <v>3932</v>
      </c>
      <c r="C1811" s="10" t="s">
        <v>3933</v>
      </c>
      <c r="D1811" s="11">
        <v>42782.694432870368</v>
      </c>
      <c r="E1811" s="10" t="s">
        <v>2547</v>
      </c>
    </row>
    <row r="1812" spans="1:5">
      <c r="A1812" s="11">
        <v>42769</v>
      </c>
      <c r="B1812" s="10" t="s">
        <v>3934</v>
      </c>
      <c r="C1812" s="10" t="s">
        <v>3935</v>
      </c>
      <c r="D1812" s="11">
        <v>42781.739004629628</v>
      </c>
      <c r="E1812" s="10" t="s">
        <v>218</v>
      </c>
    </row>
    <row r="1813" spans="1:5">
      <c r="A1813" s="11">
        <v>42769</v>
      </c>
      <c r="B1813" s="10" t="s">
        <v>3936</v>
      </c>
      <c r="C1813" s="10" t="s">
        <v>3937</v>
      </c>
      <c r="D1813" s="11">
        <v>42769.903252314813</v>
      </c>
      <c r="E1813" s="10" t="s">
        <v>232</v>
      </c>
    </row>
    <row r="1814" spans="1:5">
      <c r="A1814" s="11">
        <v>42769</v>
      </c>
      <c r="B1814" s="10" t="s">
        <v>3938</v>
      </c>
      <c r="C1814" s="10" t="s">
        <v>3939</v>
      </c>
      <c r="D1814" s="11">
        <v>42782.471539351849</v>
      </c>
      <c r="E1814" s="10" t="s">
        <v>433</v>
      </c>
    </row>
    <row r="1815" spans="1:5">
      <c r="A1815" s="11">
        <v>42769</v>
      </c>
      <c r="B1815" s="10" t="s">
        <v>3940</v>
      </c>
      <c r="C1815" s="10" t="s">
        <v>3941</v>
      </c>
      <c r="D1815" s="11">
        <v>42780.578136574077</v>
      </c>
      <c r="E1815" s="10" t="s">
        <v>2169</v>
      </c>
    </row>
    <row r="1816" spans="1:5">
      <c r="A1816" s="11">
        <v>42770</v>
      </c>
      <c r="B1816" s="10" t="s">
        <v>3942</v>
      </c>
      <c r="C1816" s="10" t="s">
        <v>3943</v>
      </c>
      <c r="D1816" s="11">
        <v>42781.956354166665</v>
      </c>
      <c r="E1816" s="10" t="s">
        <v>683</v>
      </c>
    </row>
    <row r="1817" spans="1:5">
      <c r="A1817" s="11">
        <v>42770</v>
      </c>
      <c r="B1817" s="10" t="s">
        <v>3944</v>
      </c>
      <c r="C1817" s="10" t="s">
        <v>3945</v>
      </c>
      <c r="D1817" s="11">
        <v>42781.582708333335</v>
      </c>
      <c r="E1817" s="10" t="s">
        <v>212</v>
      </c>
    </row>
    <row r="1818" spans="1:5">
      <c r="A1818" s="11">
        <v>42770</v>
      </c>
      <c r="B1818" s="10" t="s">
        <v>3946</v>
      </c>
      <c r="C1818" s="10" t="s">
        <v>3947</v>
      </c>
      <c r="D1818" s="11">
        <v>42780.508796296293</v>
      </c>
      <c r="E1818" s="10" t="s">
        <v>308</v>
      </c>
    </row>
    <row r="1819" spans="1:5">
      <c r="A1819" s="11">
        <v>42770</v>
      </c>
      <c r="B1819" s="10" t="s">
        <v>3948</v>
      </c>
      <c r="C1819" s="10" t="s">
        <v>3949</v>
      </c>
      <c r="D1819" s="11">
        <v>42781.970995370371</v>
      </c>
      <c r="E1819" s="10" t="s">
        <v>122</v>
      </c>
    </row>
    <row r="1820" spans="1:5">
      <c r="A1820" s="11">
        <v>42770</v>
      </c>
      <c r="B1820" s="10" t="s">
        <v>3950</v>
      </c>
      <c r="C1820" s="10" t="s">
        <v>3951</v>
      </c>
      <c r="D1820" s="11">
        <v>42781.571388888886</v>
      </c>
      <c r="E1820" s="10" t="s">
        <v>422</v>
      </c>
    </row>
    <row r="1821" spans="1:5">
      <c r="A1821" s="11">
        <v>42770</v>
      </c>
      <c r="B1821" s="10" t="s">
        <v>3952</v>
      </c>
      <c r="C1821" s="10" t="s">
        <v>3953</v>
      </c>
      <c r="D1821" s="11">
        <v>42780.468738425923</v>
      </c>
      <c r="E1821" s="10" t="s">
        <v>305</v>
      </c>
    </row>
    <row r="1822" spans="1:5">
      <c r="A1822" s="11">
        <v>42770</v>
      </c>
      <c r="B1822" s="10" t="s">
        <v>3954</v>
      </c>
      <c r="C1822" s="10" t="s">
        <v>3955</v>
      </c>
      <c r="D1822" s="11">
        <v>42780.402766203704</v>
      </c>
      <c r="E1822" s="10" t="s">
        <v>422</v>
      </c>
    </row>
    <row r="1823" spans="1:5">
      <c r="A1823" s="11">
        <v>42770</v>
      </c>
      <c r="B1823" s="10" t="s">
        <v>3956</v>
      </c>
      <c r="C1823" s="10" t="s">
        <v>3957</v>
      </c>
      <c r="D1823" s="11">
        <v>42782.696817129632</v>
      </c>
      <c r="E1823" s="10" t="s">
        <v>433</v>
      </c>
    </row>
    <row r="1824" spans="1:5">
      <c r="A1824" s="11">
        <v>42770</v>
      </c>
      <c r="B1824" s="10" t="s">
        <v>3958</v>
      </c>
      <c r="C1824" s="10" t="s">
        <v>3959</v>
      </c>
      <c r="D1824" s="11">
        <v>42782.433182870373</v>
      </c>
      <c r="E1824" s="10" t="s">
        <v>178</v>
      </c>
    </row>
    <row r="1825" spans="1:5">
      <c r="A1825" s="11">
        <v>42770</v>
      </c>
      <c r="B1825" s="10" t="s">
        <v>3960</v>
      </c>
      <c r="C1825" s="10" t="s">
        <v>3961</v>
      </c>
      <c r="D1825" s="11">
        <v>42778.765081018515</v>
      </c>
      <c r="E1825" s="10" t="s">
        <v>902</v>
      </c>
    </row>
    <row r="1826" spans="1:5">
      <c r="A1826" s="11">
        <v>42770</v>
      </c>
      <c r="B1826" s="10" t="s">
        <v>3962</v>
      </c>
      <c r="C1826" s="10" t="s">
        <v>3963</v>
      </c>
      <c r="D1826" s="11">
        <v>42777.508993055555</v>
      </c>
      <c r="E1826" s="10" t="s">
        <v>380</v>
      </c>
    </row>
    <row r="1827" spans="1:5">
      <c r="A1827" s="11">
        <v>42770</v>
      </c>
      <c r="B1827" s="10" t="s">
        <v>3964</v>
      </c>
      <c r="C1827" s="10" t="s">
        <v>3965</v>
      </c>
      <c r="D1827" s="11">
        <v>42780.573229166665</v>
      </c>
      <c r="E1827" s="10" t="s">
        <v>433</v>
      </c>
    </row>
    <row r="1828" spans="1:5">
      <c r="A1828" s="11">
        <v>42770</v>
      </c>
      <c r="B1828" s="10" t="s">
        <v>3966</v>
      </c>
      <c r="C1828" s="10" t="s">
        <v>3967</v>
      </c>
      <c r="D1828" s="11">
        <v>42780.411111111112</v>
      </c>
      <c r="E1828" s="10" t="s">
        <v>433</v>
      </c>
    </row>
    <row r="1829" spans="1:5">
      <c r="A1829" s="11">
        <v>42770</v>
      </c>
      <c r="B1829" s="10" t="s">
        <v>3968</v>
      </c>
      <c r="C1829" s="10" t="s">
        <v>3969</v>
      </c>
      <c r="D1829" s="11">
        <v>42779.696759259263</v>
      </c>
      <c r="E1829" s="10" t="s">
        <v>902</v>
      </c>
    </row>
    <row r="1830" spans="1:5">
      <c r="A1830" s="11">
        <v>42770</v>
      </c>
      <c r="B1830" s="10" t="s">
        <v>3970</v>
      </c>
      <c r="C1830" s="10" t="s">
        <v>3971</v>
      </c>
      <c r="D1830" s="11">
        <v>42781.654664351852</v>
      </c>
      <c r="E1830" s="10" t="s">
        <v>433</v>
      </c>
    </row>
    <row r="1831" spans="1:5">
      <c r="A1831" s="11">
        <v>42770</v>
      </c>
      <c r="B1831" s="10" t="s">
        <v>3972</v>
      </c>
      <c r="C1831" s="10" t="s">
        <v>3973</v>
      </c>
      <c r="D1831" s="11">
        <v>42780.542858796296</v>
      </c>
      <c r="E1831" s="10" t="s">
        <v>218</v>
      </c>
    </row>
    <row r="1832" spans="1:5">
      <c r="A1832" s="11">
        <v>42770</v>
      </c>
      <c r="B1832" s="10" t="s">
        <v>3974</v>
      </c>
      <c r="C1832" s="10" t="s">
        <v>3975</v>
      </c>
      <c r="D1832" s="11">
        <v>42782.474791666667</v>
      </c>
      <c r="E1832" s="10" t="s">
        <v>237</v>
      </c>
    </row>
    <row r="1833" spans="1:5">
      <c r="A1833" s="11">
        <v>42770</v>
      </c>
      <c r="B1833" s="10" t="s">
        <v>3976</v>
      </c>
      <c r="C1833" s="10" t="s">
        <v>3977</v>
      </c>
      <c r="D1833" s="11">
        <v>42780.560682870368</v>
      </c>
      <c r="E1833" s="10" t="s">
        <v>218</v>
      </c>
    </row>
    <row r="1834" spans="1:5">
      <c r="A1834" s="11">
        <v>42770</v>
      </c>
      <c r="B1834" s="10" t="s">
        <v>3978</v>
      </c>
      <c r="C1834" s="10" t="s">
        <v>3979</v>
      </c>
      <c r="D1834" s="11">
        <v>42782.419641203705</v>
      </c>
      <c r="E1834" s="10" t="s">
        <v>433</v>
      </c>
    </row>
    <row r="1835" spans="1:5">
      <c r="A1835" s="11">
        <v>42770</v>
      </c>
      <c r="B1835" s="10" t="s">
        <v>3980</v>
      </c>
      <c r="C1835" s="10" t="s">
        <v>3981</v>
      </c>
      <c r="D1835" s="11">
        <v>42782.531967592593</v>
      </c>
      <c r="E1835" s="10" t="s">
        <v>433</v>
      </c>
    </row>
    <row r="1836" spans="1:5">
      <c r="A1836" s="11">
        <v>42770</v>
      </c>
      <c r="B1836" s="10" t="s">
        <v>3982</v>
      </c>
      <c r="C1836" s="10" t="s">
        <v>3983</v>
      </c>
      <c r="D1836" s="11">
        <v>42782.572858796295</v>
      </c>
      <c r="E1836" s="10" t="s">
        <v>3984</v>
      </c>
    </row>
    <row r="1837" spans="1:5">
      <c r="A1837" s="11">
        <v>42770</v>
      </c>
      <c r="B1837" s="10" t="s">
        <v>3985</v>
      </c>
      <c r="C1837" s="10" t="s">
        <v>3986</v>
      </c>
      <c r="D1837" s="11">
        <v>42770.495011574072</v>
      </c>
      <c r="E1837" s="10" t="s">
        <v>2554</v>
      </c>
    </row>
    <row r="1838" spans="1:5">
      <c r="A1838" s="11">
        <v>42770</v>
      </c>
      <c r="B1838" s="10" t="s">
        <v>3987</v>
      </c>
      <c r="C1838" s="10" t="s">
        <v>3988</v>
      </c>
      <c r="D1838" s="11">
        <v>42781.770370370374</v>
      </c>
      <c r="E1838" s="10" t="s">
        <v>373</v>
      </c>
    </row>
    <row r="1839" spans="1:5">
      <c r="A1839" s="11">
        <v>42770</v>
      </c>
      <c r="B1839" s="10" t="s">
        <v>3989</v>
      </c>
      <c r="C1839" s="10" t="s">
        <v>3990</v>
      </c>
      <c r="D1839" s="11">
        <v>42781.639490740738</v>
      </c>
      <c r="E1839" s="10" t="s">
        <v>902</v>
      </c>
    </row>
    <row r="1840" spans="1:5">
      <c r="A1840" s="11">
        <v>42770</v>
      </c>
      <c r="B1840" s="10" t="s">
        <v>3991</v>
      </c>
      <c r="C1840" s="10" t="s">
        <v>3992</v>
      </c>
      <c r="D1840" s="11">
        <v>42782.69835648148</v>
      </c>
      <c r="E1840" s="10" t="s">
        <v>433</v>
      </c>
    </row>
    <row r="1841" spans="1:5">
      <c r="A1841" s="11">
        <v>42770</v>
      </c>
      <c r="B1841" s="10" t="s">
        <v>3993</v>
      </c>
      <c r="C1841" s="10" t="s">
        <v>3994</v>
      </c>
      <c r="D1841" s="11">
        <v>42782.572048611109</v>
      </c>
      <c r="E1841" s="10" t="s">
        <v>218</v>
      </c>
    </row>
    <row r="1842" spans="1:5">
      <c r="A1842" s="11">
        <v>42770</v>
      </c>
      <c r="B1842" s="10" t="s">
        <v>3995</v>
      </c>
      <c r="C1842" s="10" t="s">
        <v>3996</v>
      </c>
      <c r="D1842" s="11">
        <v>42770.62427083333</v>
      </c>
      <c r="E1842" s="10" t="s">
        <v>3997</v>
      </c>
    </row>
    <row r="1843" spans="1:5">
      <c r="A1843" s="11">
        <v>42770</v>
      </c>
      <c r="B1843" s="10" t="s">
        <v>3998</v>
      </c>
      <c r="C1843" s="10" t="s">
        <v>3999</v>
      </c>
      <c r="D1843" s="11">
        <v>42779.578703703701</v>
      </c>
      <c r="E1843" s="10" t="s">
        <v>155</v>
      </c>
    </row>
    <row r="1844" spans="1:5">
      <c r="A1844" s="11">
        <v>42770</v>
      </c>
      <c r="B1844" s="10" t="s">
        <v>4000</v>
      </c>
      <c r="C1844" s="10" t="s">
        <v>4001</v>
      </c>
      <c r="D1844" s="11">
        <v>42782.403055555558</v>
      </c>
      <c r="E1844" s="10" t="s">
        <v>433</v>
      </c>
    </row>
    <row r="1845" spans="1:5" ht="21.6">
      <c r="A1845" s="11">
        <v>42770</v>
      </c>
      <c r="B1845" s="10" t="s">
        <v>4002</v>
      </c>
      <c r="C1845" s="10" t="s">
        <v>4003</v>
      </c>
      <c r="D1845" s="11">
        <v>42781.952256944445</v>
      </c>
      <c r="E1845" s="10" t="s">
        <v>4004</v>
      </c>
    </row>
    <row r="1846" spans="1:5">
      <c r="A1846" s="11">
        <v>42770</v>
      </c>
      <c r="B1846" s="10" t="s">
        <v>4005</v>
      </c>
      <c r="C1846" s="10" t="s">
        <v>4006</v>
      </c>
      <c r="D1846" s="11">
        <v>42782.472928240742</v>
      </c>
      <c r="E1846" s="10" t="s">
        <v>2183</v>
      </c>
    </row>
    <row r="1847" spans="1:5">
      <c r="A1847" s="11">
        <v>42770</v>
      </c>
      <c r="B1847" s="10" t="s">
        <v>4007</v>
      </c>
      <c r="C1847" s="10" t="s">
        <v>4008</v>
      </c>
      <c r="D1847" s="11">
        <v>42782.494675925926</v>
      </c>
      <c r="E1847" s="10" t="s">
        <v>308</v>
      </c>
    </row>
    <row r="1848" spans="1:5">
      <c r="A1848" s="11">
        <v>42770</v>
      </c>
      <c r="B1848" s="10" t="s">
        <v>4009</v>
      </c>
      <c r="C1848" s="10" t="s">
        <v>4010</v>
      </c>
      <c r="D1848" s="11">
        <v>42782.65934027778</v>
      </c>
      <c r="E1848" s="10" t="s">
        <v>218</v>
      </c>
    </row>
    <row r="1849" spans="1:5">
      <c r="A1849" s="11">
        <v>42770</v>
      </c>
      <c r="B1849" s="10" t="s">
        <v>4011</v>
      </c>
      <c r="C1849" s="10" t="s">
        <v>4012</v>
      </c>
      <c r="D1849" s="11">
        <v>42780.809444444443</v>
      </c>
      <c r="E1849" s="10" t="s">
        <v>2823</v>
      </c>
    </row>
    <row r="1850" spans="1:5">
      <c r="A1850" s="11">
        <v>42770</v>
      </c>
      <c r="B1850" s="10" t="s">
        <v>4013</v>
      </c>
      <c r="C1850" s="10" t="s">
        <v>4014</v>
      </c>
      <c r="D1850" s="11">
        <v>42781.349930555552</v>
      </c>
      <c r="E1850" s="10" t="s">
        <v>240</v>
      </c>
    </row>
    <row r="1851" spans="1:5">
      <c r="A1851" s="11">
        <v>42770</v>
      </c>
      <c r="B1851" s="10" t="s">
        <v>4015</v>
      </c>
      <c r="C1851" s="10" t="s">
        <v>4016</v>
      </c>
      <c r="D1851" s="11">
        <v>42781.508402777778</v>
      </c>
      <c r="E1851" s="10" t="s">
        <v>2201</v>
      </c>
    </row>
    <row r="1852" spans="1:5">
      <c r="A1852" s="11">
        <v>42770</v>
      </c>
      <c r="B1852" s="10" t="s">
        <v>4017</v>
      </c>
      <c r="C1852" s="10" t="s">
        <v>4018</v>
      </c>
      <c r="D1852" s="11">
        <v>42782.709791666668</v>
      </c>
      <c r="E1852" s="10" t="s">
        <v>335</v>
      </c>
    </row>
    <row r="1853" spans="1:5">
      <c r="A1853" s="11">
        <v>42770</v>
      </c>
      <c r="B1853" s="10" t="s">
        <v>4019</v>
      </c>
      <c r="C1853" s="10" t="s">
        <v>4020</v>
      </c>
      <c r="D1853" s="11">
        <v>42770.752766203703</v>
      </c>
      <c r="E1853" s="10" t="s">
        <v>212</v>
      </c>
    </row>
    <row r="1854" spans="1:5">
      <c r="A1854" s="11">
        <v>42770</v>
      </c>
      <c r="B1854" s="10" t="s">
        <v>4021</v>
      </c>
      <c r="C1854" s="10" t="s">
        <v>4022</v>
      </c>
      <c r="D1854" s="11">
        <v>42781.875127314815</v>
      </c>
      <c r="E1854" s="10" t="s">
        <v>237</v>
      </c>
    </row>
    <row r="1855" spans="1:5">
      <c r="A1855" s="11">
        <v>42770</v>
      </c>
      <c r="B1855" s="10" t="s">
        <v>4023</v>
      </c>
      <c r="C1855" s="10" t="s">
        <v>4024</v>
      </c>
      <c r="D1855" s="11">
        <v>42782.435115740744</v>
      </c>
      <c r="E1855" s="10" t="s">
        <v>608</v>
      </c>
    </row>
    <row r="1856" spans="1:5">
      <c r="A1856" s="11">
        <v>42770</v>
      </c>
      <c r="B1856" s="10" t="s">
        <v>4025</v>
      </c>
      <c r="C1856" s="10" t="s">
        <v>4026</v>
      </c>
      <c r="D1856" s="11">
        <v>42781.828784722224</v>
      </c>
      <c r="E1856" s="10" t="s">
        <v>2742</v>
      </c>
    </row>
    <row r="1857" spans="1:5" ht="21.6">
      <c r="A1857" s="11">
        <v>42770</v>
      </c>
      <c r="B1857" s="10" t="s">
        <v>4027</v>
      </c>
      <c r="C1857" s="10" t="s">
        <v>4028</v>
      </c>
      <c r="D1857" s="11">
        <v>42782.710011574076</v>
      </c>
      <c r="E1857" s="10" t="s">
        <v>4004</v>
      </c>
    </row>
    <row r="1858" spans="1:5">
      <c r="A1858" s="11">
        <v>42771</v>
      </c>
      <c r="B1858" s="10" t="s">
        <v>4029</v>
      </c>
      <c r="C1858" s="10" t="s">
        <v>4030</v>
      </c>
      <c r="D1858" s="11">
        <v>42782.657581018517</v>
      </c>
      <c r="E1858" s="10" t="s">
        <v>218</v>
      </c>
    </row>
    <row r="1859" spans="1:5">
      <c r="A1859" s="11">
        <v>42771</v>
      </c>
      <c r="B1859" s="10" t="s">
        <v>4031</v>
      </c>
      <c r="C1859" s="10" t="s">
        <v>4032</v>
      </c>
      <c r="D1859" s="11">
        <v>42782.679965277777</v>
      </c>
      <c r="E1859" s="10" t="s">
        <v>683</v>
      </c>
    </row>
    <row r="1860" spans="1:5">
      <c r="A1860" s="11">
        <v>42771</v>
      </c>
      <c r="B1860" s="10" t="s">
        <v>4033</v>
      </c>
      <c r="C1860" s="10" t="s">
        <v>4034</v>
      </c>
      <c r="D1860" s="11">
        <v>42772.471805555557</v>
      </c>
      <c r="E1860" s="10" t="s">
        <v>212</v>
      </c>
    </row>
    <row r="1861" spans="1:5">
      <c r="A1861" s="11">
        <v>42771</v>
      </c>
      <c r="B1861" s="10" t="s">
        <v>4035</v>
      </c>
      <c r="C1861" s="10" t="s">
        <v>4036</v>
      </c>
      <c r="D1861" s="11">
        <v>42782.710706018515</v>
      </c>
      <c r="E1861" s="10" t="s">
        <v>2515</v>
      </c>
    </row>
    <row r="1862" spans="1:5">
      <c r="A1862" s="11">
        <v>42771</v>
      </c>
      <c r="B1862" s="10" t="s">
        <v>4037</v>
      </c>
      <c r="C1862" s="10" t="s">
        <v>4038</v>
      </c>
      <c r="D1862" s="11">
        <v>42782.488125000003</v>
      </c>
      <c r="E1862" s="10" t="s">
        <v>465</v>
      </c>
    </row>
    <row r="1863" spans="1:5">
      <c r="A1863" s="11">
        <v>42771</v>
      </c>
      <c r="B1863" s="10" t="s">
        <v>4039</v>
      </c>
      <c r="C1863" s="10" t="s">
        <v>4040</v>
      </c>
      <c r="D1863" s="11">
        <v>42781.537268518521</v>
      </c>
      <c r="E1863" s="10" t="s">
        <v>130</v>
      </c>
    </row>
    <row r="1864" spans="1:5">
      <c r="A1864" s="11">
        <v>42771</v>
      </c>
      <c r="B1864" s="10" t="s">
        <v>4041</v>
      </c>
      <c r="C1864" s="10" t="s">
        <v>4042</v>
      </c>
      <c r="D1864" s="11">
        <v>42779.653402777774</v>
      </c>
      <c r="E1864" s="10" t="s">
        <v>479</v>
      </c>
    </row>
    <row r="1865" spans="1:5">
      <c r="A1865" s="11">
        <v>42771</v>
      </c>
      <c r="B1865" s="10" t="s">
        <v>4043</v>
      </c>
      <c r="C1865" s="10" t="s">
        <v>4044</v>
      </c>
      <c r="D1865" s="11">
        <v>42781.627627314818</v>
      </c>
      <c r="E1865" s="10" t="s">
        <v>4045</v>
      </c>
    </row>
    <row r="1866" spans="1:5">
      <c r="A1866" s="11">
        <v>42771</v>
      </c>
      <c r="B1866" s="10" t="s">
        <v>4046</v>
      </c>
      <c r="C1866" s="10" t="s">
        <v>4047</v>
      </c>
      <c r="D1866" s="11">
        <v>42777.502314814818</v>
      </c>
      <c r="E1866" s="10" t="s">
        <v>683</v>
      </c>
    </row>
    <row r="1867" spans="1:5">
      <c r="A1867" s="11">
        <v>42771</v>
      </c>
      <c r="B1867" s="10" t="s">
        <v>4048</v>
      </c>
      <c r="C1867" s="10" t="s">
        <v>4049</v>
      </c>
      <c r="D1867" s="11">
        <v>42781.918692129628</v>
      </c>
      <c r="E1867" s="10" t="s">
        <v>3997</v>
      </c>
    </row>
    <row r="1868" spans="1:5">
      <c r="A1868" s="11">
        <v>42771</v>
      </c>
      <c r="B1868" s="10" t="s">
        <v>4050</v>
      </c>
      <c r="C1868" s="10" t="s">
        <v>4051</v>
      </c>
      <c r="D1868" s="11">
        <v>42779.484629629631</v>
      </c>
      <c r="E1868" s="10" t="s">
        <v>122</v>
      </c>
    </row>
    <row r="1869" spans="1:5">
      <c r="A1869" s="11">
        <v>42771</v>
      </c>
      <c r="B1869" s="10" t="s">
        <v>4052</v>
      </c>
      <c r="C1869" s="10" t="s">
        <v>4053</v>
      </c>
      <c r="D1869" s="11">
        <v>42782.606990740744</v>
      </c>
      <c r="E1869" s="10" t="s">
        <v>218</v>
      </c>
    </row>
    <row r="1870" spans="1:5">
      <c r="A1870" s="11">
        <v>42771</v>
      </c>
      <c r="B1870" s="10" t="s">
        <v>4054</v>
      </c>
      <c r="C1870" s="10" t="s">
        <v>4055</v>
      </c>
      <c r="D1870" s="11">
        <v>42780.917037037034</v>
      </c>
      <c r="E1870" s="10" t="s">
        <v>373</v>
      </c>
    </row>
    <row r="1871" spans="1:5">
      <c r="A1871" s="11">
        <v>42771</v>
      </c>
      <c r="B1871" s="10" t="s">
        <v>4056</v>
      </c>
      <c r="C1871" s="10" t="s">
        <v>4057</v>
      </c>
      <c r="D1871" s="11">
        <v>42782.544571759259</v>
      </c>
      <c r="E1871" s="10" t="s">
        <v>308</v>
      </c>
    </row>
    <row r="1872" spans="1:5">
      <c r="A1872" s="11">
        <v>42771</v>
      </c>
      <c r="B1872" s="10" t="s">
        <v>4058</v>
      </c>
      <c r="C1872" s="10" t="s">
        <v>4059</v>
      </c>
      <c r="D1872" s="11">
        <v>42781.618252314816</v>
      </c>
      <c r="E1872" s="10" t="s">
        <v>2403</v>
      </c>
    </row>
    <row r="1873" spans="1:5">
      <c r="A1873" s="11">
        <v>42771</v>
      </c>
      <c r="B1873" s="10" t="s">
        <v>4060</v>
      </c>
      <c r="C1873" s="10" t="s">
        <v>4061</v>
      </c>
      <c r="D1873" s="11">
        <v>42782.415601851855</v>
      </c>
      <c r="E1873" s="10" t="s">
        <v>433</v>
      </c>
    </row>
    <row r="1874" spans="1:5">
      <c r="A1874" s="11">
        <v>42771</v>
      </c>
      <c r="B1874" s="10" t="s">
        <v>4062</v>
      </c>
      <c r="C1874" s="10" t="s">
        <v>4063</v>
      </c>
      <c r="D1874" s="11">
        <v>42781.939756944441</v>
      </c>
      <c r="E1874" s="10" t="s">
        <v>683</v>
      </c>
    </row>
    <row r="1875" spans="1:5">
      <c r="A1875" s="11">
        <v>42771</v>
      </c>
      <c r="B1875" s="10" t="s">
        <v>4064</v>
      </c>
      <c r="C1875" s="10" t="s">
        <v>4065</v>
      </c>
      <c r="D1875" s="11">
        <v>42771.549745370372</v>
      </c>
      <c r="E1875" s="10" t="s">
        <v>108</v>
      </c>
    </row>
    <row r="1876" spans="1:5">
      <c r="A1876" s="11">
        <v>42771</v>
      </c>
      <c r="B1876" s="10" t="s">
        <v>4066</v>
      </c>
      <c r="C1876" s="10" t="s">
        <v>4067</v>
      </c>
      <c r="D1876" s="11">
        <v>42782.57309027778</v>
      </c>
      <c r="E1876" s="10" t="s">
        <v>902</v>
      </c>
    </row>
    <row r="1877" spans="1:5">
      <c r="A1877" s="11">
        <v>42771</v>
      </c>
      <c r="B1877" s="10" t="s">
        <v>4068</v>
      </c>
      <c r="C1877" s="10" t="s">
        <v>4069</v>
      </c>
      <c r="D1877" s="11">
        <v>42780.605393518519</v>
      </c>
      <c r="E1877" s="10" t="s">
        <v>2234</v>
      </c>
    </row>
    <row r="1878" spans="1:5">
      <c r="A1878" s="11">
        <v>42771</v>
      </c>
      <c r="B1878" s="10" t="s">
        <v>4070</v>
      </c>
      <c r="C1878" s="10" t="s">
        <v>4071</v>
      </c>
      <c r="D1878" s="11">
        <v>42781.535405092596</v>
      </c>
      <c r="E1878" s="10" t="s">
        <v>178</v>
      </c>
    </row>
    <row r="1879" spans="1:5">
      <c r="A1879" s="11">
        <v>42771</v>
      </c>
      <c r="B1879" s="10" t="s">
        <v>4072</v>
      </c>
      <c r="C1879" s="10" t="s">
        <v>4073</v>
      </c>
      <c r="D1879" s="11">
        <v>42775.357002314813</v>
      </c>
      <c r="E1879" s="10" t="s">
        <v>472</v>
      </c>
    </row>
    <row r="1880" spans="1:5">
      <c r="A1880" s="11">
        <v>42771</v>
      </c>
      <c r="B1880" s="10" t="s">
        <v>4074</v>
      </c>
      <c r="C1880" s="10" t="s">
        <v>4075</v>
      </c>
      <c r="D1880" s="11">
        <v>42780.73636574074</v>
      </c>
      <c r="E1880" s="10" t="s">
        <v>240</v>
      </c>
    </row>
    <row r="1881" spans="1:5">
      <c r="A1881" s="11">
        <v>42771</v>
      </c>
      <c r="B1881" s="10" t="s">
        <v>4076</v>
      </c>
      <c r="C1881" s="10" t="s">
        <v>4077</v>
      </c>
      <c r="D1881" s="11">
        <v>42782.42869212963</v>
      </c>
      <c r="E1881" s="10" t="s">
        <v>240</v>
      </c>
    </row>
    <row r="1882" spans="1:5">
      <c r="A1882" s="11">
        <v>42771</v>
      </c>
      <c r="B1882" s="10" t="s">
        <v>4078</v>
      </c>
      <c r="C1882" s="10" t="s">
        <v>4079</v>
      </c>
      <c r="D1882" s="11">
        <v>42780.641018518516</v>
      </c>
      <c r="E1882" s="10" t="s">
        <v>2201</v>
      </c>
    </row>
    <row r="1883" spans="1:5">
      <c r="A1883" s="11">
        <v>42771</v>
      </c>
      <c r="B1883" s="10" t="s">
        <v>4080</v>
      </c>
      <c r="C1883" s="10" t="s">
        <v>4081</v>
      </c>
      <c r="D1883" s="11">
        <v>42781.60396990741</v>
      </c>
      <c r="E1883" s="10" t="s">
        <v>308</v>
      </c>
    </row>
    <row r="1884" spans="1:5">
      <c r="A1884" s="11">
        <v>42771</v>
      </c>
      <c r="B1884" s="10" t="s">
        <v>4082</v>
      </c>
      <c r="C1884" s="10" t="s">
        <v>4083</v>
      </c>
      <c r="D1884" s="11">
        <v>42781.504525462966</v>
      </c>
      <c r="E1884" s="10" t="s">
        <v>2124</v>
      </c>
    </row>
    <row r="1885" spans="1:5">
      <c r="A1885" s="11">
        <v>42771</v>
      </c>
      <c r="B1885" s="10" t="s">
        <v>4084</v>
      </c>
      <c r="C1885" s="10" t="s">
        <v>4085</v>
      </c>
      <c r="D1885" s="11">
        <v>42782.639432870368</v>
      </c>
      <c r="E1885" s="10" t="s">
        <v>2144</v>
      </c>
    </row>
    <row r="1886" spans="1:5">
      <c r="A1886" s="11">
        <v>42771</v>
      </c>
      <c r="B1886" s="10" t="s">
        <v>4086</v>
      </c>
      <c r="C1886" s="10" t="s">
        <v>4087</v>
      </c>
      <c r="D1886" s="11">
        <v>42782.399976851855</v>
      </c>
      <c r="E1886" s="10" t="s">
        <v>608</v>
      </c>
    </row>
    <row r="1887" spans="1:5">
      <c r="A1887" s="11">
        <v>42771</v>
      </c>
      <c r="B1887" s="10" t="s">
        <v>4088</v>
      </c>
      <c r="C1887" s="10" t="s">
        <v>4089</v>
      </c>
      <c r="D1887" s="11">
        <v>42780.747870370367</v>
      </c>
      <c r="E1887" s="10" t="s">
        <v>2201</v>
      </c>
    </row>
    <row r="1888" spans="1:5">
      <c r="A1888" s="11">
        <v>42771</v>
      </c>
      <c r="B1888" s="10" t="s">
        <v>4090</v>
      </c>
      <c r="C1888" s="10" t="s">
        <v>4091</v>
      </c>
      <c r="D1888" s="11">
        <v>42782.360543981478</v>
      </c>
      <c r="E1888" s="10" t="s">
        <v>240</v>
      </c>
    </row>
    <row r="1889" spans="1:5">
      <c r="A1889" s="11">
        <v>42771</v>
      </c>
      <c r="B1889" s="10" t="s">
        <v>4092</v>
      </c>
      <c r="C1889" s="10" t="s">
        <v>4093</v>
      </c>
      <c r="D1889" s="11">
        <v>42777.86619212963</v>
      </c>
      <c r="E1889" s="10" t="s">
        <v>108</v>
      </c>
    </row>
    <row r="1890" spans="1:5">
      <c r="A1890" s="11">
        <v>42772</v>
      </c>
      <c r="B1890" s="10" t="s">
        <v>4094</v>
      </c>
      <c r="C1890" s="10" t="s">
        <v>4095</v>
      </c>
      <c r="D1890" s="11">
        <v>42779.657673611109</v>
      </c>
      <c r="E1890" s="10" t="s">
        <v>2823</v>
      </c>
    </row>
    <row r="1891" spans="1:5">
      <c r="A1891" s="11">
        <v>42772</v>
      </c>
      <c r="B1891" s="10" t="s">
        <v>4096</v>
      </c>
      <c r="C1891" s="10" t="s">
        <v>4097</v>
      </c>
      <c r="D1891" s="11">
        <v>42782.369629629633</v>
      </c>
      <c r="E1891" s="10" t="s">
        <v>373</v>
      </c>
    </row>
    <row r="1892" spans="1:5">
      <c r="A1892" s="11">
        <v>42772</v>
      </c>
      <c r="B1892" s="10" t="s">
        <v>4098</v>
      </c>
      <c r="C1892" s="10" t="s">
        <v>4099</v>
      </c>
      <c r="D1892" s="11">
        <v>42772.656759259262</v>
      </c>
      <c r="E1892" s="10" t="s">
        <v>2191</v>
      </c>
    </row>
    <row r="1893" spans="1:5">
      <c r="A1893" s="11">
        <v>42772</v>
      </c>
      <c r="B1893" s="10" t="s">
        <v>4100</v>
      </c>
      <c r="C1893" s="10" t="s">
        <v>4101</v>
      </c>
      <c r="D1893" s="11">
        <v>42781.599074074074</v>
      </c>
      <c r="E1893" s="10" t="s">
        <v>656</v>
      </c>
    </row>
    <row r="1894" spans="1:5">
      <c r="A1894" s="11">
        <v>42772</v>
      </c>
      <c r="B1894" s="10" t="s">
        <v>4102</v>
      </c>
      <c r="C1894" s="10" t="s">
        <v>4103</v>
      </c>
      <c r="D1894" s="11">
        <v>42782.448298611111</v>
      </c>
      <c r="E1894" s="10" t="s">
        <v>240</v>
      </c>
    </row>
    <row r="1895" spans="1:5">
      <c r="A1895" s="11">
        <v>42772</v>
      </c>
      <c r="B1895" s="10" t="s">
        <v>4104</v>
      </c>
      <c r="C1895" s="10" t="s">
        <v>4105</v>
      </c>
      <c r="D1895" s="11">
        <v>42781.751851851855</v>
      </c>
      <c r="E1895" s="10" t="s">
        <v>2442</v>
      </c>
    </row>
    <row r="1896" spans="1:5">
      <c r="A1896" s="11">
        <v>42772</v>
      </c>
      <c r="B1896" s="10" t="s">
        <v>4106</v>
      </c>
      <c r="C1896" s="10" t="s">
        <v>4107</v>
      </c>
      <c r="D1896" s="11">
        <v>42781.7580787037</v>
      </c>
      <c r="E1896" s="10" t="s">
        <v>2515</v>
      </c>
    </row>
    <row r="1897" spans="1:5" ht="21.6">
      <c r="A1897" s="11">
        <v>42772</v>
      </c>
      <c r="B1897" s="10" t="s">
        <v>4108</v>
      </c>
      <c r="C1897" s="10" t="s">
        <v>4109</v>
      </c>
      <c r="D1897" s="11">
        <v>42782.487615740742</v>
      </c>
      <c r="E1897" s="10" t="s">
        <v>4004</v>
      </c>
    </row>
    <row r="1898" spans="1:5">
      <c r="A1898" s="11">
        <v>42772</v>
      </c>
      <c r="B1898" s="10" t="s">
        <v>4110</v>
      </c>
      <c r="C1898" s="10" t="s">
        <v>4111</v>
      </c>
      <c r="D1898" s="11">
        <v>42779.403402777774</v>
      </c>
      <c r="E1898" s="10" t="s">
        <v>308</v>
      </c>
    </row>
    <row r="1899" spans="1:5">
      <c r="A1899" s="11">
        <v>42772</v>
      </c>
      <c r="B1899" s="10" t="s">
        <v>4112</v>
      </c>
      <c r="C1899" s="10" t="s">
        <v>4113</v>
      </c>
      <c r="D1899" s="11">
        <v>42782.688761574071</v>
      </c>
      <c r="E1899" s="10" t="s">
        <v>193</v>
      </c>
    </row>
    <row r="1900" spans="1:5">
      <c r="A1900" s="11">
        <v>42772</v>
      </c>
      <c r="B1900" s="10" t="s">
        <v>4114</v>
      </c>
      <c r="C1900" s="10" t="s">
        <v>4115</v>
      </c>
      <c r="D1900" s="11">
        <v>42781.398993055554</v>
      </c>
      <c r="E1900" s="10" t="s">
        <v>240</v>
      </c>
    </row>
    <row r="1901" spans="1:5">
      <c r="A1901" s="11">
        <v>42772</v>
      </c>
      <c r="B1901" s="10" t="s">
        <v>4116</v>
      </c>
      <c r="C1901" s="10" t="s">
        <v>4117</v>
      </c>
      <c r="D1901" s="11">
        <v>42772.508321759262</v>
      </c>
      <c r="E1901" s="10" t="s">
        <v>433</v>
      </c>
    </row>
    <row r="1902" spans="1:5">
      <c r="A1902" s="11">
        <v>42772</v>
      </c>
      <c r="B1902" s="10" t="s">
        <v>4118</v>
      </c>
      <c r="C1902" s="10" t="s">
        <v>4119</v>
      </c>
      <c r="D1902" s="11">
        <v>42774.823148148149</v>
      </c>
      <c r="E1902" s="10" t="s">
        <v>4120</v>
      </c>
    </row>
    <row r="1903" spans="1:5">
      <c r="A1903" s="11">
        <v>42772</v>
      </c>
      <c r="B1903" s="10" t="s">
        <v>4121</v>
      </c>
      <c r="C1903" s="10" t="s">
        <v>4122</v>
      </c>
      <c r="D1903" s="11">
        <v>42781.553726851853</v>
      </c>
      <c r="E1903" s="10" t="s">
        <v>433</v>
      </c>
    </row>
    <row r="1904" spans="1:5">
      <c r="A1904" s="11">
        <v>42772</v>
      </c>
      <c r="B1904" s="10" t="s">
        <v>4123</v>
      </c>
      <c r="C1904" s="10" t="s">
        <v>4124</v>
      </c>
      <c r="D1904" s="11">
        <v>42781.534594907411</v>
      </c>
      <c r="E1904" s="10" t="s">
        <v>1696</v>
      </c>
    </row>
    <row r="1905" spans="1:5">
      <c r="A1905" s="11">
        <v>42772</v>
      </c>
      <c r="B1905" s="10" t="s">
        <v>4125</v>
      </c>
      <c r="C1905" s="10" t="s">
        <v>4126</v>
      </c>
      <c r="D1905" s="11">
        <v>42779.526261574072</v>
      </c>
      <c r="E1905" s="10" t="s">
        <v>433</v>
      </c>
    </row>
    <row r="1906" spans="1:5">
      <c r="A1906" s="11">
        <v>42772</v>
      </c>
      <c r="B1906" s="10" t="s">
        <v>4127</v>
      </c>
      <c r="C1906" s="10" t="s">
        <v>4128</v>
      </c>
      <c r="D1906" s="11">
        <v>42781.485289351855</v>
      </c>
      <c r="E1906" s="10" t="s">
        <v>656</v>
      </c>
    </row>
    <row r="1907" spans="1:5">
      <c r="A1907" s="11">
        <v>42772</v>
      </c>
      <c r="B1907" s="10" t="s">
        <v>4129</v>
      </c>
      <c r="C1907" s="10" t="s">
        <v>4130</v>
      </c>
      <c r="D1907" s="11">
        <v>42780.666226851848</v>
      </c>
      <c r="E1907" s="10" t="s">
        <v>902</v>
      </c>
    </row>
    <row r="1908" spans="1:5" ht="21.6">
      <c r="A1908" s="11">
        <v>42772</v>
      </c>
      <c r="B1908" s="10" t="s">
        <v>4131</v>
      </c>
      <c r="C1908" s="10" t="s">
        <v>4132</v>
      </c>
      <c r="D1908" s="11">
        <v>42781.649224537039</v>
      </c>
      <c r="E1908" s="10" t="s">
        <v>613</v>
      </c>
    </row>
    <row r="1909" spans="1:5">
      <c r="A1909" s="11">
        <v>42772</v>
      </c>
      <c r="B1909" s="10" t="s">
        <v>4133</v>
      </c>
      <c r="C1909" s="10" t="s">
        <v>4134</v>
      </c>
      <c r="D1909" s="11">
        <v>42781.716562499998</v>
      </c>
      <c r="E1909" s="10" t="s">
        <v>2201</v>
      </c>
    </row>
    <row r="1910" spans="1:5">
      <c r="A1910" s="11">
        <v>42772</v>
      </c>
      <c r="B1910" s="10" t="s">
        <v>4135</v>
      </c>
      <c r="C1910" s="10" t="s">
        <v>4136</v>
      </c>
      <c r="D1910" s="11">
        <v>42780.465127314812</v>
      </c>
      <c r="E1910" s="10" t="s">
        <v>218</v>
      </c>
    </row>
    <row r="1911" spans="1:5">
      <c r="A1911" s="11">
        <v>42772</v>
      </c>
      <c r="B1911" s="10" t="s">
        <v>4137</v>
      </c>
      <c r="C1911" s="10" t="s">
        <v>4138</v>
      </c>
      <c r="D1911" s="11">
        <v>42782.632361111115</v>
      </c>
      <c r="E1911" s="10" t="s">
        <v>152</v>
      </c>
    </row>
    <row r="1912" spans="1:5">
      <c r="A1912" s="11">
        <v>42772</v>
      </c>
      <c r="B1912" s="10" t="s">
        <v>4139</v>
      </c>
      <c r="C1912" s="10" t="s">
        <v>4140</v>
      </c>
      <c r="D1912" s="11">
        <v>42781.370023148149</v>
      </c>
      <c r="E1912" s="10" t="s">
        <v>656</v>
      </c>
    </row>
    <row r="1913" spans="1:5">
      <c r="A1913" s="11">
        <v>42772</v>
      </c>
      <c r="B1913" s="10" t="s">
        <v>4141</v>
      </c>
      <c r="C1913" s="10" t="s">
        <v>4142</v>
      </c>
      <c r="D1913" s="11">
        <v>42782.525439814817</v>
      </c>
      <c r="E1913" s="10" t="s">
        <v>130</v>
      </c>
    </row>
    <row r="1914" spans="1:5">
      <c r="A1914" s="11">
        <v>42772</v>
      </c>
      <c r="B1914" s="10" t="s">
        <v>4143</v>
      </c>
      <c r="C1914" s="10" t="s">
        <v>4144</v>
      </c>
      <c r="D1914" s="11">
        <v>42782.451284722221</v>
      </c>
      <c r="E1914" s="10" t="s">
        <v>2124</v>
      </c>
    </row>
    <row r="1915" spans="1:5">
      <c r="A1915" s="11">
        <v>42772</v>
      </c>
      <c r="B1915" s="10" t="s">
        <v>4145</v>
      </c>
      <c r="C1915" s="10" t="s">
        <v>4146</v>
      </c>
      <c r="D1915" s="11">
        <v>42781.695601851854</v>
      </c>
      <c r="E1915" s="10" t="s">
        <v>99</v>
      </c>
    </row>
    <row r="1916" spans="1:5">
      <c r="A1916" s="11">
        <v>42772</v>
      </c>
      <c r="B1916" s="10" t="s">
        <v>4147</v>
      </c>
      <c r="C1916" s="10" t="s">
        <v>4148</v>
      </c>
      <c r="D1916" s="11">
        <v>42782.608298611114</v>
      </c>
      <c r="E1916" s="10" t="s">
        <v>240</v>
      </c>
    </row>
    <row r="1917" spans="1:5">
      <c r="A1917" s="11">
        <v>42772</v>
      </c>
      <c r="B1917" s="10" t="s">
        <v>4149</v>
      </c>
      <c r="C1917" s="10" t="s">
        <v>4150</v>
      </c>
      <c r="D1917" s="11">
        <v>42779.499409722222</v>
      </c>
      <c r="E1917" s="10" t="s">
        <v>653</v>
      </c>
    </row>
    <row r="1918" spans="1:5">
      <c r="A1918" s="11">
        <v>42772</v>
      </c>
      <c r="B1918" s="10" t="s">
        <v>4151</v>
      </c>
      <c r="C1918" s="10" t="s">
        <v>4152</v>
      </c>
      <c r="D1918" s="11">
        <v>42782.456134259257</v>
      </c>
      <c r="E1918" s="10" t="s">
        <v>240</v>
      </c>
    </row>
    <row r="1919" spans="1:5">
      <c r="A1919" s="11">
        <v>42772</v>
      </c>
      <c r="B1919" s="10" t="s">
        <v>4153</v>
      </c>
      <c r="C1919" s="10" t="s">
        <v>4154</v>
      </c>
      <c r="D1919" s="11">
        <v>42782.6409375</v>
      </c>
      <c r="E1919" s="10" t="s">
        <v>2442</v>
      </c>
    </row>
    <row r="1920" spans="1:5">
      <c r="A1920" s="11">
        <v>42772</v>
      </c>
      <c r="B1920" s="10" t="s">
        <v>4155</v>
      </c>
      <c r="C1920" s="10" t="s">
        <v>4156</v>
      </c>
      <c r="D1920" s="11">
        <v>42781.617604166669</v>
      </c>
      <c r="E1920" s="10" t="s">
        <v>122</v>
      </c>
    </row>
    <row r="1921" spans="1:5">
      <c r="A1921" s="11">
        <v>42772</v>
      </c>
      <c r="B1921" s="10" t="s">
        <v>4157</v>
      </c>
      <c r="C1921" s="10" t="s">
        <v>4158</v>
      </c>
      <c r="D1921" s="11">
        <v>42781.461736111109</v>
      </c>
      <c r="E1921" s="10" t="s">
        <v>2266</v>
      </c>
    </row>
    <row r="1922" spans="1:5">
      <c r="A1922" s="11">
        <v>42772</v>
      </c>
      <c r="B1922" s="10" t="s">
        <v>4159</v>
      </c>
      <c r="C1922" s="10" t="s">
        <v>4160</v>
      </c>
      <c r="D1922" s="11">
        <v>42781.461851851855</v>
      </c>
      <c r="E1922" s="10" t="s">
        <v>2266</v>
      </c>
    </row>
    <row r="1923" spans="1:5">
      <c r="A1923" s="11">
        <v>42772</v>
      </c>
      <c r="B1923" s="10" t="s">
        <v>4161</v>
      </c>
      <c r="C1923" s="10" t="s">
        <v>4162</v>
      </c>
      <c r="D1923" s="11">
        <v>42777.695208333331</v>
      </c>
      <c r="E1923" s="10" t="s">
        <v>240</v>
      </c>
    </row>
    <row r="1924" spans="1:5">
      <c r="A1924" s="11">
        <v>42772</v>
      </c>
      <c r="B1924" s="10" t="s">
        <v>4163</v>
      </c>
      <c r="C1924" s="10" t="s">
        <v>4164</v>
      </c>
      <c r="D1924" s="11">
        <v>42781.42695601852</v>
      </c>
      <c r="E1924" s="10" t="s">
        <v>433</v>
      </c>
    </row>
    <row r="1925" spans="1:5">
      <c r="A1925" s="11">
        <v>42772</v>
      </c>
      <c r="B1925" s="10" t="s">
        <v>4165</v>
      </c>
      <c r="C1925" s="10" t="s">
        <v>4166</v>
      </c>
      <c r="D1925" s="11">
        <v>42772.743495370371</v>
      </c>
      <c r="E1925" s="10" t="s">
        <v>2742</v>
      </c>
    </row>
    <row r="1926" spans="1:5">
      <c r="A1926" s="11">
        <v>42772</v>
      </c>
      <c r="B1926" s="10" t="s">
        <v>4167</v>
      </c>
      <c r="C1926" s="10" t="s">
        <v>4168</v>
      </c>
      <c r="D1926" s="11">
        <v>42781.880393518521</v>
      </c>
      <c r="E1926" s="10" t="s">
        <v>2515</v>
      </c>
    </row>
    <row r="1927" spans="1:5">
      <c r="A1927" s="11">
        <v>42772</v>
      </c>
      <c r="B1927" s="10" t="s">
        <v>4169</v>
      </c>
      <c r="C1927" s="10" t="s">
        <v>4170</v>
      </c>
      <c r="D1927" s="11">
        <v>42781.700729166667</v>
      </c>
      <c r="E1927" s="10" t="s">
        <v>2515</v>
      </c>
    </row>
    <row r="1928" spans="1:5">
      <c r="A1928" s="11">
        <v>42772</v>
      </c>
      <c r="B1928" s="10" t="s">
        <v>4171</v>
      </c>
      <c r="C1928" s="10" t="s">
        <v>4172</v>
      </c>
      <c r="D1928" s="11">
        <v>42772.708090277774</v>
      </c>
      <c r="E1928" s="10" t="s">
        <v>707</v>
      </c>
    </row>
    <row r="1929" spans="1:5">
      <c r="A1929" s="11">
        <v>42772</v>
      </c>
      <c r="B1929" s="10" t="s">
        <v>4173</v>
      </c>
      <c r="C1929" s="10" t="s">
        <v>4174</v>
      </c>
      <c r="D1929" s="11">
        <v>42782.471666666665</v>
      </c>
      <c r="E1929" s="10" t="s">
        <v>1103</v>
      </c>
    </row>
    <row r="1930" spans="1:5">
      <c r="A1930" s="11">
        <v>42772</v>
      </c>
      <c r="B1930" s="10" t="s">
        <v>4175</v>
      </c>
      <c r="C1930" s="10" t="s">
        <v>4176</v>
      </c>
      <c r="D1930" s="11">
        <v>42781.66070601852</v>
      </c>
      <c r="E1930" s="10" t="s">
        <v>433</v>
      </c>
    </row>
    <row r="1931" spans="1:5">
      <c r="A1931" s="11">
        <v>42772</v>
      </c>
      <c r="B1931" s="10" t="s">
        <v>4177</v>
      </c>
      <c r="C1931" s="10" t="s">
        <v>4178</v>
      </c>
      <c r="D1931" s="11">
        <v>42782.131145833337</v>
      </c>
      <c r="E1931" s="10" t="s">
        <v>122</v>
      </c>
    </row>
    <row r="1932" spans="1:5">
      <c r="A1932" s="11">
        <v>42772</v>
      </c>
      <c r="B1932" s="10" t="s">
        <v>4179</v>
      </c>
      <c r="C1932" s="10" t="s">
        <v>4180</v>
      </c>
      <c r="D1932" s="11">
        <v>42781.657777777778</v>
      </c>
      <c r="E1932" s="10" t="s">
        <v>240</v>
      </c>
    </row>
    <row r="1933" spans="1:5">
      <c r="A1933" s="11">
        <v>42772</v>
      </c>
      <c r="B1933" s="10" t="s">
        <v>4181</v>
      </c>
      <c r="C1933" s="10" t="s">
        <v>4182</v>
      </c>
      <c r="D1933" s="11">
        <v>42772.738796296297</v>
      </c>
      <c r="E1933" s="10" t="s">
        <v>433</v>
      </c>
    </row>
    <row r="1934" spans="1:5" ht="21.6">
      <c r="A1934" s="11">
        <v>42772</v>
      </c>
      <c r="B1934" s="10" t="s">
        <v>4183</v>
      </c>
      <c r="C1934" s="10" t="s">
        <v>4184</v>
      </c>
      <c r="D1934" s="11">
        <v>42772.757361111115</v>
      </c>
      <c r="E1934" s="10" t="s">
        <v>146</v>
      </c>
    </row>
    <row r="1935" spans="1:5">
      <c r="A1935" s="11">
        <v>42772</v>
      </c>
      <c r="B1935" s="10" t="s">
        <v>4185</v>
      </c>
      <c r="C1935" s="10" t="s">
        <v>4186</v>
      </c>
      <c r="D1935" s="11">
        <v>42782.398900462962</v>
      </c>
      <c r="E1935" s="10" t="s">
        <v>240</v>
      </c>
    </row>
    <row r="1936" spans="1:5">
      <c r="A1936" s="11">
        <v>42772</v>
      </c>
      <c r="B1936" s="10" t="s">
        <v>4187</v>
      </c>
      <c r="C1936" s="10" t="s">
        <v>4188</v>
      </c>
      <c r="D1936" s="11">
        <v>42782.435057870367</v>
      </c>
      <c r="E1936" s="10" t="s">
        <v>122</v>
      </c>
    </row>
    <row r="1937" spans="1:5">
      <c r="A1937" s="11">
        <v>42772</v>
      </c>
      <c r="B1937" s="10" t="s">
        <v>4189</v>
      </c>
      <c r="C1937" s="10" t="s">
        <v>4190</v>
      </c>
      <c r="D1937" s="11">
        <v>42781.803136574075</v>
      </c>
      <c r="E1937" s="10" t="s">
        <v>2515</v>
      </c>
    </row>
    <row r="1938" spans="1:5">
      <c r="A1938" s="11">
        <v>42772</v>
      </c>
      <c r="B1938" s="10" t="s">
        <v>4191</v>
      </c>
      <c r="C1938" s="10" t="s">
        <v>4192</v>
      </c>
      <c r="D1938" s="11">
        <v>42782.685185185182</v>
      </c>
      <c r="E1938" s="10" t="s">
        <v>320</v>
      </c>
    </row>
    <row r="1939" spans="1:5">
      <c r="A1939" s="11">
        <v>42772</v>
      </c>
      <c r="B1939" s="10" t="s">
        <v>4193</v>
      </c>
      <c r="C1939" s="10" t="s">
        <v>4194</v>
      </c>
      <c r="D1939" s="11">
        <v>42781.872916666667</v>
      </c>
      <c r="E1939" s="10" t="s">
        <v>308</v>
      </c>
    </row>
    <row r="1940" spans="1:5">
      <c r="A1940" s="11">
        <v>42772</v>
      </c>
      <c r="B1940" s="10" t="s">
        <v>4195</v>
      </c>
      <c r="C1940" s="10" t="s">
        <v>4196</v>
      </c>
      <c r="D1940" s="11">
        <v>42772.8437962963</v>
      </c>
      <c r="E1940" s="10" t="s">
        <v>433</v>
      </c>
    </row>
    <row r="1941" spans="1:5" ht="21.6">
      <c r="A1941" s="11">
        <v>42772</v>
      </c>
      <c r="B1941" s="10" t="s">
        <v>4197</v>
      </c>
      <c r="C1941" s="10" t="s">
        <v>4198</v>
      </c>
      <c r="D1941" s="11">
        <v>42780.569247685184</v>
      </c>
      <c r="E1941" s="10" t="s">
        <v>4199</v>
      </c>
    </row>
    <row r="1942" spans="1:5">
      <c r="A1942" s="11">
        <v>42772</v>
      </c>
      <c r="B1942" s="10" t="s">
        <v>4200</v>
      </c>
      <c r="C1942" s="10" t="s">
        <v>4201</v>
      </c>
      <c r="D1942" s="11">
        <v>42777.442326388889</v>
      </c>
      <c r="E1942" s="10" t="s">
        <v>240</v>
      </c>
    </row>
    <row r="1943" spans="1:5">
      <c r="A1943" s="11">
        <v>42772</v>
      </c>
      <c r="B1943" s="10" t="s">
        <v>4202</v>
      </c>
      <c r="C1943" s="10" t="s">
        <v>4203</v>
      </c>
      <c r="D1943" s="11">
        <v>42772.876030092593</v>
      </c>
      <c r="E1943" s="10" t="s">
        <v>155</v>
      </c>
    </row>
    <row r="1944" spans="1:5">
      <c r="A1944" s="11">
        <v>42772</v>
      </c>
      <c r="B1944" s="10" t="s">
        <v>4204</v>
      </c>
      <c r="C1944" s="10" t="s">
        <v>4205</v>
      </c>
      <c r="D1944" s="11">
        <v>42782.665173611109</v>
      </c>
      <c r="E1944" s="10" t="s">
        <v>218</v>
      </c>
    </row>
    <row r="1945" spans="1:5">
      <c r="A1945" s="11">
        <v>42772</v>
      </c>
      <c r="B1945" s="10" t="s">
        <v>4206</v>
      </c>
      <c r="C1945" s="10" t="s">
        <v>4207</v>
      </c>
      <c r="D1945" s="11">
        <v>42775.741979166669</v>
      </c>
      <c r="E1945" s="10" t="s">
        <v>2823</v>
      </c>
    </row>
    <row r="1946" spans="1:5">
      <c r="A1946" s="11">
        <v>42772</v>
      </c>
      <c r="B1946" s="10" t="s">
        <v>4208</v>
      </c>
      <c r="C1946" s="10" t="s">
        <v>4209</v>
      </c>
      <c r="D1946" s="11">
        <v>42782.486504629633</v>
      </c>
      <c r="E1946" s="10" t="s">
        <v>130</v>
      </c>
    </row>
    <row r="1947" spans="1:5">
      <c r="A1947" s="11">
        <v>42772</v>
      </c>
      <c r="B1947" s="10" t="s">
        <v>4210</v>
      </c>
      <c r="C1947" s="10" t="s">
        <v>4211</v>
      </c>
      <c r="D1947" s="11">
        <v>42778.892928240741</v>
      </c>
      <c r="E1947" s="10" t="s">
        <v>2515</v>
      </c>
    </row>
    <row r="1948" spans="1:5">
      <c r="A1948" s="11">
        <v>42772</v>
      </c>
      <c r="B1948" s="10" t="s">
        <v>4212</v>
      </c>
      <c r="C1948" s="10" t="s">
        <v>4213</v>
      </c>
      <c r="D1948" s="11">
        <v>42782.643449074072</v>
      </c>
      <c r="E1948" s="10" t="s">
        <v>373</v>
      </c>
    </row>
    <row r="1949" spans="1:5">
      <c r="A1949" s="11">
        <v>42772</v>
      </c>
      <c r="B1949" s="10" t="s">
        <v>4214</v>
      </c>
      <c r="C1949" s="10" t="s">
        <v>4215</v>
      </c>
      <c r="D1949" s="11">
        <v>42772.966435185182</v>
      </c>
      <c r="E1949" s="10" t="s">
        <v>152</v>
      </c>
    </row>
    <row r="1950" spans="1:5">
      <c r="A1950" s="11">
        <v>42773</v>
      </c>
      <c r="B1950" s="10" t="s">
        <v>4216</v>
      </c>
      <c r="C1950" s="10" t="s">
        <v>4217</v>
      </c>
      <c r="D1950" s="11">
        <v>42781.658368055556</v>
      </c>
      <c r="E1950" s="10" t="s">
        <v>155</v>
      </c>
    </row>
    <row r="1951" spans="1:5">
      <c r="A1951" s="11">
        <v>42773</v>
      </c>
      <c r="B1951" s="10" t="s">
        <v>4218</v>
      </c>
      <c r="C1951" s="10" t="s">
        <v>4219</v>
      </c>
      <c r="D1951" s="11">
        <v>42779.467557870368</v>
      </c>
      <c r="E1951" s="10" t="s">
        <v>2201</v>
      </c>
    </row>
    <row r="1952" spans="1:5">
      <c r="A1952" s="11">
        <v>42773</v>
      </c>
      <c r="B1952" s="10" t="s">
        <v>4220</v>
      </c>
      <c r="C1952" s="10" t="s">
        <v>4221</v>
      </c>
      <c r="D1952" s="11">
        <v>42779.70888888889</v>
      </c>
      <c r="E1952" s="10" t="s">
        <v>433</v>
      </c>
    </row>
    <row r="1953" spans="1:5">
      <c r="A1953" s="11">
        <v>42773</v>
      </c>
      <c r="B1953" s="10" t="s">
        <v>4222</v>
      </c>
      <c r="C1953" s="10" t="s">
        <v>4223</v>
      </c>
      <c r="D1953" s="11">
        <v>42780.639074074075</v>
      </c>
      <c r="E1953" s="10" t="s">
        <v>433</v>
      </c>
    </row>
    <row r="1954" spans="1:5">
      <c r="A1954" s="11">
        <v>42773</v>
      </c>
      <c r="B1954" s="10" t="s">
        <v>4224</v>
      </c>
      <c r="C1954" s="10" t="s">
        <v>4225</v>
      </c>
      <c r="D1954" s="11">
        <v>42782.438090277778</v>
      </c>
      <c r="E1954" s="10" t="s">
        <v>433</v>
      </c>
    </row>
    <row r="1955" spans="1:5">
      <c r="A1955" s="11">
        <v>42773</v>
      </c>
      <c r="B1955" s="10" t="s">
        <v>4226</v>
      </c>
      <c r="C1955" s="10" t="s">
        <v>4227</v>
      </c>
      <c r="D1955" s="11">
        <v>42780.388113425928</v>
      </c>
      <c r="E1955" s="10" t="s">
        <v>433</v>
      </c>
    </row>
    <row r="1956" spans="1:5">
      <c r="A1956" s="11">
        <v>42773</v>
      </c>
      <c r="B1956" s="10" t="s">
        <v>4228</v>
      </c>
      <c r="C1956" s="10" t="s">
        <v>4229</v>
      </c>
      <c r="D1956" s="11">
        <v>42782.380497685182</v>
      </c>
      <c r="E1956" s="10" t="s">
        <v>482</v>
      </c>
    </row>
    <row r="1957" spans="1:5" ht="21.6">
      <c r="A1957" s="11">
        <v>42773</v>
      </c>
      <c r="B1957" s="10" t="s">
        <v>4230</v>
      </c>
      <c r="C1957" s="10" t="s">
        <v>4231</v>
      </c>
      <c r="D1957" s="11">
        <v>42782.611273148148</v>
      </c>
      <c r="E1957" s="10" t="s">
        <v>1316</v>
      </c>
    </row>
    <row r="1958" spans="1:5">
      <c r="A1958" s="11">
        <v>42773</v>
      </c>
      <c r="B1958" s="10" t="s">
        <v>4232</v>
      </c>
      <c r="C1958" s="10" t="s">
        <v>4233</v>
      </c>
      <c r="D1958" s="11">
        <v>42781.446608796294</v>
      </c>
      <c r="E1958" s="10" t="s">
        <v>433</v>
      </c>
    </row>
    <row r="1959" spans="1:5">
      <c r="A1959" s="11">
        <v>42773</v>
      </c>
      <c r="B1959" s="10" t="s">
        <v>4234</v>
      </c>
      <c r="C1959" s="10" t="s">
        <v>4235</v>
      </c>
      <c r="D1959" s="11">
        <v>42782.396643518521</v>
      </c>
      <c r="E1959" s="10" t="s">
        <v>902</v>
      </c>
    </row>
    <row r="1960" spans="1:5">
      <c r="A1960" s="11">
        <v>42773</v>
      </c>
      <c r="B1960" s="10" t="s">
        <v>4236</v>
      </c>
      <c r="C1960" s="10" t="s">
        <v>4237</v>
      </c>
      <c r="D1960" s="11">
        <v>42782.709675925929</v>
      </c>
      <c r="E1960" s="10" t="s">
        <v>122</v>
      </c>
    </row>
    <row r="1961" spans="1:5" ht="21.6">
      <c r="A1961" s="11">
        <v>42773</v>
      </c>
      <c r="B1961" s="10" t="s">
        <v>4238</v>
      </c>
      <c r="C1961" s="10" t="s">
        <v>4239</v>
      </c>
      <c r="D1961" s="11">
        <v>42782.296574074076</v>
      </c>
      <c r="E1961" s="10" t="s">
        <v>1316</v>
      </c>
    </row>
    <row r="1962" spans="1:5">
      <c r="A1962" s="11">
        <v>42773</v>
      </c>
      <c r="B1962" s="10" t="s">
        <v>4240</v>
      </c>
      <c r="C1962" s="10" t="s">
        <v>4241</v>
      </c>
      <c r="D1962" s="11">
        <v>42781.562696759262</v>
      </c>
      <c r="E1962" s="10" t="s">
        <v>433</v>
      </c>
    </row>
    <row r="1963" spans="1:5">
      <c r="A1963" s="11">
        <v>42773</v>
      </c>
      <c r="B1963" s="10" t="s">
        <v>4242</v>
      </c>
      <c r="C1963" s="10" t="s">
        <v>4243</v>
      </c>
      <c r="D1963" s="11">
        <v>42782.424942129626</v>
      </c>
      <c r="E1963" s="10" t="s">
        <v>108</v>
      </c>
    </row>
    <row r="1964" spans="1:5">
      <c r="A1964" s="11">
        <v>42773</v>
      </c>
      <c r="B1964" s="10" t="s">
        <v>4244</v>
      </c>
      <c r="C1964" s="10" t="s">
        <v>4245</v>
      </c>
      <c r="D1964" s="11">
        <v>42773.45653935185</v>
      </c>
      <c r="E1964" s="10" t="s">
        <v>320</v>
      </c>
    </row>
    <row r="1965" spans="1:5">
      <c r="A1965" s="11">
        <v>42773</v>
      </c>
      <c r="B1965" s="10" t="s">
        <v>4246</v>
      </c>
      <c r="C1965" s="10" t="s">
        <v>4247</v>
      </c>
      <c r="D1965" s="11">
        <v>42781.677314814813</v>
      </c>
      <c r="E1965" s="10" t="s">
        <v>482</v>
      </c>
    </row>
    <row r="1966" spans="1:5">
      <c r="A1966" s="11">
        <v>42773</v>
      </c>
      <c r="B1966" s="10" t="s">
        <v>4248</v>
      </c>
      <c r="C1966" s="10" t="s">
        <v>4249</v>
      </c>
      <c r="D1966" s="11">
        <v>42779.741087962961</v>
      </c>
      <c r="E1966" s="10" t="s">
        <v>422</v>
      </c>
    </row>
    <row r="1967" spans="1:5">
      <c r="A1967" s="11">
        <v>42773</v>
      </c>
      <c r="B1967" s="10" t="s">
        <v>4250</v>
      </c>
      <c r="C1967" s="10" t="s">
        <v>4251</v>
      </c>
      <c r="D1967" s="11">
        <v>42773.582546296297</v>
      </c>
      <c r="E1967" s="10" t="s">
        <v>1208</v>
      </c>
    </row>
    <row r="1968" spans="1:5">
      <c r="A1968" s="11">
        <v>42773</v>
      </c>
      <c r="B1968" s="10" t="s">
        <v>4252</v>
      </c>
      <c r="C1968" s="10" t="s">
        <v>4253</v>
      </c>
      <c r="D1968" s="11">
        <v>42774.84957175926</v>
      </c>
      <c r="E1968" s="10" t="s">
        <v>1190</v>
      </c>
    </row>
    <row r="1969" spans="1:5">
      <c r="A1969" s="11">
        <v>42773</v>
      </c>
      <c r="B1969" s="10" t="s">
        <v>4254</v>
      </c>
      <c r="C1969" s="10" t="s">
        <v>4255</v>
      </c>
      <c r="D1969" s="11">
        <v>42782.648101851853</v>
      </c>
      <c r="E1969" s="10" t="s">
        <v>2622</v>
      </c>
    </row>
    <row r="1970" spans="1:5">
      <c r="A1970" s="11">
        <v>42773</v>
      </c>
      <c r="B1970" s="10" t="s">
        <v>4256</v>
      </c>
      <c r="C1970" s="10" t="s">
        <v>4257</v>
      </c>
      <c r="D1970" s="11">
        <v>42782.665335648147</v>
      </c>
      <c r="E1970" s="10" t="s">
        <v>2201</v>
      </c>
    </row>
    <row r="1971" spans="1:5">
      <c r="A1971" s="11">
        <v>42773</v>
      </c>
      <c r="B1971" s="10" t="s">
        <v>4258</v>
      </c>
      <c r="C1971" s="10" t="s">
        <v>4259</v>
      </c>
      <c r="D1971" s="11">
        <v>42774.382361111115</v>
      </c>
      <c r="E1971" s="10" t="s">
        <v>2139</v>
      </c>
    </row>
    <row r="1972" spans="1:5">
      <c r="A1972" s="11">
        <v>42773</v>
      </c>
      <c r="B1972" s="10" t="s">
        <v>4260</v>
      </c>
      <c r="C1972" s="10" t="s">
        <v>4261</v>
      </c>
      <c r="D1972" s="11">
        <v>42782.674710648149</v>
      </c>
      <c r="E1972" s="10" t="s">
        <v>215</v>
      </c>
    </row>
    <row r="1973" spans="1:5">
      <c r="A1973" s="11">
        <v>42773</v>
      </c>
      <c r="B1973" s="10" t="s">
        <v>4262</v>
      </c>
      <c r="C1973" s="10" t="s">
        <v>4263</v>
      </c>
      <c r="D1973" s="11">
        <v>42781.373692129629</v>
      </c>
      <c r="E1973" s="10" t="s">
        <v>656</v>
      </c>
    </row>
    <row r="1974" spans="1:5">
      <c r="A1974" s="11">
        <v>42773</v>
      </c>
      <c r="B1974" s="10" t="s">
        <v>4264</v>
      </c>
      <c r="C1974" s="10" t="s">
        <v>4265</v>
      </c>
      <c r="D1974" s="11">
        <v>42782.710925925923</v>
      </c>
      <c r="E1974" s="10" t="s">
        <v>308</v>
      </c>
    </row>
    <row r="1975" spans="1:5">
      <c r="A1975" s="11">
        <v>42773</v>
      </c>
      <c r="B1975" s="10" t="s">
        <v>4266</v>
      </c>
      <c r="C1975" s="10" t="s">
        <v>4267</v>
      </c>
      <c r="D1975" s="11">
        <v>42781.441041666665</v>
      </c>
      <c r="E1975" s="10" t="s">
        <v>656</v>
      </c>
    </row>
    <row r="1976" spans="1:5">
      <c r="A1976" s="11">
        <v>42773</v>
      </c>
      <c r="B1976" s="10" t="s">
        <v>4268</v>
      </c>
      <c r="C1976" s="10" t="s">
        <v>4269</v>
      </c>
      <c r="D1976" s="11">
        <v>42781.505555555559</v>
      </c>
      <c r="E1976" s="10" t="s">
        <v>3550</v>
      </c>
    </row>
    <row r="1977" spans="1:5">
      <c r="A1977" s="11">
        <v>42773</v>
      </c>
      <c r="B1977" s="10" t="s">
        <v>4270</v>
      </c>
      <c r="C1977" s="10" t="s">
        <v>4271</v>
      </c>
      <c r="D1977" s="11">
        <v>42780.745439814818</v>
      </c>
      <c r="E1977" s="10" t="s">
        <v>240</v>
      </c>
    </row>
    <row r="1978" spans="1:5">
      <c r="A1978" s="11">
        <v>42773</v>
      </c>
      <c r="B1978" s="10" t="s">
        <v>4272</v>
      </c>
      <c r="C1978" s="10" t="s">
        <v>4273</v>
      </c>
      <c r="D1978" s="11">
        <v>42781.462407407409</v>
      </c>
      <c r="E1978" s="10" t="s">
        <v>380</v>
      </c>
    </row>
    <row r="1979" spans="1:5" ht="21.6">
      <c r="A1979" s="11">
        <v>42773</v>
      </c>
      <c r="B1979" s="10" t="s">
        <v>4274</v>
      </c>
      <c r="C1979" s="10" t="s">
        <v>4275</v>
      </c>
      <c r="D1979" s="11">
        <v>42782.703923611109</v>
      </c>
      <c r="E1979" s="10" t="s">
        <v>966</v>
      </c>
    </row>
    <row r="1980" spans="1:5">
      <c r="A1980" s="11">
        <v>42773</v>
      </c>
      <c r="B1980" s="10" t="s">
        <v>4276</v>
      </c>
      <c r="C1980" s="10" t="s">
        <v>4277</v>
      </c>
      <c r="D1980" s="11">
        <v>42780.959861111114</v>
      </c>
      <c r="E1980" s="10" t="s">
        <v>215</v>
      </c>
    </row>
    <row r="1981" spans="1:5">
      <c r="A1981" s="11">
        <v>42773</v>
      </c>
      <c r="B1981" s="10" t="s">
        <v>4278</v>
      </c>
      <c r="C1981" s="10" t="s">
        <v>4279</v>
      </c>
      <c r="D1981" s="11">
        <v>42782.62641203704</v>
      </c>
      <c r="E1981" s="10" t="s">
        <v>433</v>
      </c>
    </row>
    <row r="1982" spans="1:5" ht="21.6">
      <c r="A1982" s="11">
        <v>42773</v>
      </c>
      <c r="B1982" s="10" t="s">
        <v>4280</v>
      </c>
      <c r="C1982" s="10" t="s">
        <v>4281</v>
      </c>
      <c r="D1982" s="11">
        <v>42782.540520833332</v>
      </c>
      <c r="E1982" s="10" t="s">
        <v>3027</v>
      </c>
    </row>
    <row r="1983" spans="1:5">
      <c r="A1983" s="11">
        <v>42773</v>
      </c>
      <c r="B1983" s="10" t="s">
        <v>4282</v>
      </c>
      <c r="C1983" s="10" t="s">
        <v>4283</v>
      </c>
      <c r="D1983" s="11">
        <v>42781.521793981483</v>
      </c>
      <c r="E1983" s="10" t="s">
        <v>218</v>
      </c>
    </row>
    <row r="1984" spans="1:5">
      <c r="A1984" s="11">
        <v>42773</v>
      </c>
      <c r="B1984" s="10" t="s">
        <v>4284</v>
      </c>
      <c r="C1984" s="10" t="s">
        <v>4285</v>
      </c>
      <c r="D1984" s="11">
        <v>42782.668078703704</v>
      </c>
      <c r="E1984" s="10" t="s">
        <v>335</v>
      </c>
    </row>
    <row r="1985" spans="1:5">
      <c r="A1985" s="11">
        <v>42773</v>
      </c>
      <c r="B1985" s="10" t="s">
        <v>4286</v>
      </c>
      <c r="C1985" s="10" t="s">
        <v>4287</v>
      </c>
      <c r="D1985" s="11">
        <v>42781.688101851854</v>
      </c>
      <c r="E1985" s="10" t="s">
        <v>2515</v>
      </c>
    </row>
    <row r="1986" spans="1:5">
      <c r="A1986" s="11">
        <v>42773</v>
      </c>
      <c r="B1986" s="10" t="s">
        <v>4288</v>
      </c>
      <c r="C1986" s="10" t="s">
        <v>4289</v>
      </c>
      <c r="D1986" s="11">
        <v>42782.574247685188</v>
      </c>
      <c r="E1986" s="10" t="s">
        <v>99</v>
      </c>
    </row>
    <row r="1987" spans="1:5">
      <c r="A1987" s="11">
        <v>42773</v>
      </c>
      <c r="B1987" s="10" t="s">
        <v>4290</v>
      </c>
      <c r="C1987" s="10" t="s">
        <v>4291</v>
      </c>
      <c r="D1987" s="11">
        <v>42782.574421296296</v>
      </c>
      <c r="E1987" s="10" t="s">
        <v>99</v>
      </c>
    </row>
    <row r="1988" spans="1:5" ht="21.6">
      <c r="A1988" s="11">
        <v>42773</v>
      </c>
      <c r="B1988" s="10" t="s">
        <v>4292</v>
      </c>
      <c r="C1988" s="10" t="s">
        <v>4293</v>
      </c>
      <c r="D1988" s="11">
        <v>42782.669212962966</v>
      </c>
      <c r="E1988" s="10" t="s">
        <v>597</v>
      </c>
    </row>
    <row r="1989" spans="1:5" ht="21.6">
      <c r="A1989" s="11">
        <v>42773</v>
      </c>
      <c r="B1989" s="10" t="s">
        <v>4294</v>
      </c>
      <c r="C1989" s="10" t="s">
        <v>4295</v>
      </c>
      <c r="D1989" s="11">
        <v>42777.865844907406</v>
      </c>
      <c r="E1989" s="10" t="s">
        <v>3027</v>
      </c>
    </row>
    <row r="1990" spans="1:5">
      <c r="A1990" s="11">
        <v>42773</v>
      </c>
      <c r="B1990" s="10" t="s">
        <v>4296</v>
      </c>
      <c r="C1990" s="10" t="s">
        <v>4297</v>
      </c>
      <c r="D1990" s="11">
        <v>42781.458495370367</v>
      </c>
      <c r="E1990" s="10" t="s">
        <v>422</v>
      </c>
    </row>
    <row r="1991" spans="1:5">
      <c r="A1991" s="11">
        <v>42773</v>
      </c>
      <c r="B1991" s="10" t="s">
        <v>4298</v>
      </c>
      <c r="C1991" s="10" t="s">
        <v>4299</v>
      </c>
      <c r="D1991" s="11">
        <v>42781.686655092592</v>
      </c>
      <c r="E1991" s="10" t="s">
        <v>4300</v>
      </c>
    </row>
    <row r="1992" spans="1:5">
      <c r="A1992" s="11">
        <v>42773</v>
      </c>
      <c r="B1992" s="10" t="s">
        <v>4301</v>
      </c>
      <c r="C1992" s="10" t="s">
        <v>4302</v>
      </c>
      <c r="D1992" s="11">
        <v>42782.518182870372</v>
      </c>
      <c r="E1992" s="10" t="s">
        <v>240</v>
      </c>
    </row>
    <row r="1993" spans="1:5">
      <c r="A1993" s="11">
        <v>42773</v>
      </c>
      <c r="B1993" s="10" t="s">
        <v>4303</v>
      </c>
      <c r="C1993" s="10" t="s">
        <v>4304</v>
      </c>
      <c r="D1993" s="11">
        <v>42781.931423611109</v>
      </c>
      <c r="E1993" s="10" t="s">
        <v>683</v>
      </c>
    </row>
    <row r="1994" spans="1:5">
      <c r="A1994" s="11">
        <v>42773</v>
      </c>
      <c r="B1994" s="10" t="s">
        <v>4305</v>
      </c>
      <c r="C1994" s="10" t="s">
        <v>4306</v>
      </c>
      <c r="D1994" s="11">
        <v>42782.646643518521</v>
      </c>
      <c r="E1994" s="10" t="s">
        <v>1103</v>
      </c>
    </row>
    <row r="1995" spans="1:5">
      <c r="A1995" s="11">
        <v>42773</v>
      </c>
      <c r="B1995" s="10" t="s">
        <v>4307</v>
      </c>
      <c r="C1995" s="10" t="s">
        <v>4308</v>
      </c>
      <c r="D1995" s="11">
        <v>42781.751979166664</v>
      </c>
      <c r="E1995" s="10" t="s">
        <v>152</v>
      </c>
    </row>
    <row r="1996" spans="1:5">
      <c r="A1996" s="11">
        <v>42773</v>
      </c>
      <c r="B1996" s="10" t="s">
        <v>4309</v>
      </c>
      <c r="C1996" s="10" t="s">
        <v>4310</v>
      </c>
      <c r="D1996" s="11">
        <v>42782.646412037036</v>
      </c>
      <c r="E1996" s="10" t="s">
        <v>1103</v>
      </c>
    </row>
    <row r="1997" spans="1:5">
      <c r="A1997" s="11">
        <v>42773</v>
      </c>
      <c r="B1997" s="10" t="s">
        <v>4311</v>
      </c>
      <c r="C1997" s="10" t="s">
        <v>4312</v>
      </c>
      <c r="D1997" s="11">
        <v>42782.586180555554</v>
      </c>
      <c r="E1997" s="10" t="s">
        <v>465</v>
      </c>
    </row>
    <row r="1998" spans="1:5">
      <c r="A1998" s="11">
        <v>42773</v>
      </c>
      <c r="B1998" s="10" t="s">
        <v>4313</v>
      </c>
      <c r="C1998" s="10" t="s">
        <v>4314</v>
      </c>
      <c r="D1998" s="11">
        <v>42782.655231481483</v>
      </c>
      <c r="E1998" s="10" t="s">
        <v>433</v>
      </c>
    </row>
    <row r="1999" spans="1:5" ht="21.6">
      <c r="A1999" s="11">
        <v>42774</v>
      </c>
      <c r="B1999" s="10" t="s">
        <v>4315</v>
      </c>
      <c r="C1999" s="10" t="s">
        <v>4316</v>
      </c>
      <c r="D1999" s="11">
        <v>42774.00886574074</v>
      </c>
      <c r="E1999" s="10" t="s">
        <v>1758</v>
      </c>
    </row>
    <row r="2000" spans="1:5">
      <c r="A2000" s="11">
        <v>42774</v>
      </c>
      <c r="B2000" s="10" t="s">
        <v>4317</v>
      </c>
      <c r="C2000" s="10" t="s">
        <v>4318</v>
      </c>
      <c r="D2000" s="11">
        <v>42779.723761574074</v>
      </c>
      <c r="E2000" s="10" t="s">
        <v>422</v>
      </c>
    </row>
    <row r="2001" spans="1:5">
      <c r="A2001" s="11">
        <v>42774</v>
      </c>
      <c r="B2001" s="10" t="s">
        <v>4319</v>
      </c>
      <c r="C2001" s="10" t="s">
        <v>4320</v>
      </c>
      <c r="D2001" s="11">
        <v>42782.005497685182</v>
      </c>
      <c r="E2001" s="10" t="s">
        <v>422</v>
      </c>
    </row>
    <row r="2002" spans="1:5">
      <c r="A2002" s="11">
        <v>42774</v>
      </c>
      <c r="B2002" s="10" t="s">
        <v>4321</v>
      </c>
      <c r="C2002" s="10" t="s">
        <v>4322</v>
      </c>
      <c r="D2002" s="11">
        <v>42780.391643518517</v>
      </c>
      <c r="E2002" s="10" t="s">
        <v>335</v>
      </c>
    </row>
    <row r="2003" spans="1:5">
      <c r="A2003" s="11">
        <v>42774</v>
      </c>
      <c r="B2003" s="10" t="s">
        <v>4323</v>
      </c>
      <c r="C2003" s="10" t="s">
        <v>4324</v>
      </c>
      <c r="D2003" s="11">
        <v>42774.367106481484</v>
      </c>
      <c r="E2003" s="10" t="s">
        <v>193</v>
      </c>
    </row>
    <row r="2004" spans="1:5">
      <c r="A2004" s="11">
        <v>42774</v>
      </c>
      <c r="B2004" s="10" t="s">
        <v>4325</v>
      </c>
      <c r="C2004" s="10" t="s">
        <v>4326</v>
      </c>
      <c r="D2004" s="11">
        <v>42781.441446759258</v>
      </c>
      <c r="E2004" s="10" t="s">
        <v>482</v>
      </c>
    </row>
    <row r="2005" spans="1:5">
      <c r="A2005" s="11">
        <v>42774</v>
      </c>
      <c r="B2005" s="10" t="s">
        <v>4327</v>
      </c>
      <c r="C2005" s="10" t="s">
        <v>4328</v>
      </c>
      <c r="D2005" s="11">
        <v>42780.749710648146</v>
      </c>
      <c r="E2005" s="10" t="s">
        <v>482</v>
      </c>
    </row>
    <row r="2006" spans="1:5">
      <c r="A2006" s="11">
        <v>42774</v>
      </c>
      <c r="B2006" s="10" t="s">
        <v>4329</v>
      </c>
      <c r="C2006" s="10" t="s">
        <v>4330</v>
      </c>
      <c r="D2006" s="11">
        <v>42782.642141203702</v>
      </c>
      <c r="E2006" s="10" t="s">
        <v>2180</v>
      </c>
    </row>
    <row r="2007" spans="1:5">
      <c r="A2007" s="11">
        <v>42774</v>
      </c>
      <c r="B2007" s="10" t="s">
        <v>4331</v>
      </c>
      <c r="C2007" s="10" t="s">
        <v>4332</v>
      </c>
      <c r="D2007" s="11">
        <v>42782.47519675926</v>
      </c>
      <c r="E2007" s="10" t="s">
        <v>218</v>
      </c>
    </row>
    <row r="2008" spans="1:5">
      <c r="A2008" s="11">
        <v>42774</v>
      </c>
      <c r="B2008" s="10" t="s">
        <v>4333</v>
      </c>
      <c r="C2008" s="10" t="s">
        <v>4334</v>
      </c>
      <c r="D2008" s="11">
        <v>42780.686944444446</v>
      </c>
      <c r="E2008" s="10" t="s">
        <v>193</v>
      </c>
    </row>
    <row r="2009" spans="1:5">
      <c r="A2009" s="11">
        <v>42774</v>
      </c>
      <c r="B2009" s="10" t="s">
        <v>4335</v>
      </c>
      <c r="C2009" s="10" t="s">
        <v>4336</v>
      </c>
      <c r="D2009" s="11">
        <v>42779.469409722224</v>
      </c>
      <c r="E2009" s="10" t="s">
        <v>433</v>
      </c>
    </row>
    <row r="2010" spans="1:5">
      <c r="A2010" s="11">
        <v>42774</v>
      </c>
      <c r="B2010" s="10" t="s">
        <v>4337</v>
      </c>
      <c r="C2010" s="10" t="s">
        <v>4338</v>
      </c>
      <c r="D2010" s="11">
        <v>42782.574745370373</v>
      </c>
      <c r="E2010" s="10" t="s">
        <v>2266</v>
      </c>
    </row>
    <row r="2011" spans="1:5">
      <c r="A2011" s="11">
        <v>42774</v>
      </c>
      <c r="B2011" s="10" t="s">
        <v>4339</v>
      </c>
      <c r="C2011" s="10" t="s">
        <v>4340</v>
      </c>
      <c r="D2011" s="11">
        <v>42776.658055555556</v>
      </c>
      <c r="E2011" s="10" t="s">
        <v>240</v>
      </c>
    </row>
    <row r="2012" spans="1:5">
      <c r="A2012" s="11">
        <v>42774</v>
      </c>
      <c r="B2012" s="10" t="s">
        <v>4341</v>
      </c>
      <c r="C2012" s="10" t="s">
        <v>4342</v>
      </c>
      <c r="D2012" s="11">
        <v>42782.479270833333</v>
      </c>
      <c r="E2012" s="10" t="s">
        <v>683</v>
      </c>
    </row>
    <row r="2013" spans="1:5">
      <c r="A2013" s="11">
        <v>42774</v>
      </c>
      <c r="B2013" s="10" t="s">
        <v>4343</v>
      </c>
      <c r="C2013" s="10" t="s">
        <v>4344</v>
      </c>
      <c r="D2013" s="11">
        <v>42781.408530092594</v>
      </c>
      <c r="E2013" s="10" t="s">
        <v>2515</v>
      </c>
    </row>
    <row r="2014" spans="1:5">
      <c r="A2014" s="11">
        <v>42774</v>
      </c>
      <c r="B2014" s="10" t="s">
        <v>4345</v>
      </c>
      <c r="C2014" s="10" t="s">
        <v>4346</v>
      </c>
      <c r="D2014" s="11">
        <v>42774.511863425927</v>
      </c>
      <c r="E2014" s="10" t="s">
        <v>2622</v>
      </c>
    </row>
    <row r="2015" spans="1:5">
      <c r="A2015" s="11">
        <v>42774</v>
      </c>
      <c r="B2015" s="10" t="s">
        <v>4347</v>
      </c>
      <c r="C2015" s="10" t="s">
        <v>4348</v>
      </c>
      <c r="D2015" s="11">
        <v>42782.626736111109</v>
      </c>
      <c r="E2015" s="10" t="s">
        <v>122</v>
      </c>
    </row>
    <row r="2016" spans="1:5">
      <c r="A2016" s="11">
        <v>42774</v>
      </c>
      <c r="B2016" s="10" t="s">
        <v>4349</v>
      </c>
      <c r="C2016" s="10" t="s">
        <v>4350</v>
      </c>
      <c r="D2016" s="11">
        <v>42781.658599537041</v>
      </c>
      <c r="E2016" s="10" t="s">
        <v>155</v>
      </c>
    </row>
    <row r="2017" spans="1:5">
      <c r="A2017" s="11">
        <v>42774</v>
      </c>
      <c r="B2017" s="10" t="s">
        <v>4351</v>
      </c>
      <c r="C2017" s="10" t="s">
        <v>4352</v>
      </c>
      <c r="D2017" s="11">
        <v>42782.502500000002</v>
      </c>
      <c r="E2017" s="10" t="s">
        <v>122</v>
      </c>
    </row>
    <row r="2018" spans="1:5">
      <c r="A2018" s="11">
        <v>42774</v>
      </c>
      <c r="B2018" s="10" t="s">
        <v>4353</v>
      </c>
      <c r="C2018" s="10" t="s">
        <v>4354</v>
      </c>
      <c r="D2018" s="11">
        <v>42782.652928240743</v>
      </c>
      <c r="E2018" s="10" t="s">
        <v>683</v>
      </c>
    </row>
    <row r="2019" spans="1:5">
      <c r="A2019" s="11">
        <v>42774</v>
      </c>
      <c r="B2019" s="10" t="s">
        <v>4355</v>
      </c>
      <c r="C2019" s="10" t="s">
        <v>4356</v>
      </c>
      <c r="D2019" s="11">
        <v>42782.641064814816</v>
      </c>
      <c r="E2019" s="10" t="s">
        <v>2515</v>
      </c>
    </row>
    <row r="2020" spans="1:5">
      <c r="A2020" s="11">
        <v>42774</v>
      </c>
      <c r="B2020" s="10" t="s">
        <v>4357</v>
      </c>
      <c r="C2020" s="10" t="s">
        <v>4358</v>
      </c>
      <c r="D2020" s="11">
        <v>42776.657141203701</v>
      </c>
      <c r="E2020" s="10" t="s">
        <v>218</v>
      </c>
    </row>
    <row r="2021" spans="1:5" ht="21.6">
      <c r="A2021" s="11">
        <v>42774</v>
      </c>
      <c r="B2021" s="10" t="s">
        <v>4359</v>
      </c>
      <c r="C2021" s="10" t="s">
        <v>4360</v>
      </c>
      <c r="D2021" s="11">
        <v>42774.589074074072</v>
      </c>
      <c r="E2021" s="10" t="s">
        <v>559</v>
      </c>
    </row>
    <row r="2022" spans="1:5">
      <c r="A2022" s="11">
        <v>42774</v>
      </c>
      <c r="B2022" s="10" t="s">
        <v>4361</v>
      </c>
      <c r="C2022" s="10" t="s">
        <v>4362</v>
      </c>
      <c r="D2022" s="11">
        <v>42782.372743055559</v>
      </c>
      <c r="E2022" s="10" t="s">
        <v>433</v>
      </c>
    </row>
    <row r="2023" spans="1:5">
      <c r="A2023" s="11">
        <v>42774</v>
      </c>
      <c r="B2023" s="10" t="s">
        <v>4363</v>
      </c>
      <c r="C2023" s="10" t="s">
        <v>4364</v>
      </c>
      <c r="D2023" s="11">
        <v>42782.688900462963</v>
      </c>
      <c r="E2023" s="10" t="s">
        <v>707</v>
      </c>
    </row>
    <row r="2024" spans="1:5">
      <c r="A2024" s="11">
        <v>42774</v>
      </c>
      <c r="B2024" s="10" t="s">
        <v>4365</v>
      </c>
      <c r="C2024" s="10" t="s">
        <v>4366</v>
      </c>
      <c r="D2024" s="11">
        <v>42782.688402777778</v>
      </c>
      <c r="E2024" s="10" t="s">
        <v>707</v>
      </c>
    </row>
    <row r="2025" spans="1:5">
      <c r="A2025" s="11">
        <v>42774</v>
      </c>
      <c r="B2025" s="10" t="s">
        <v>4367</v>
      </c>
      <c r="C2025" s="10" t="s">
        <v>4368</v>
      </c>
      <c r="D2025" s="11">
        <v>42779.549629629626</v>
      </c>
      <c r="E2025" s="10" t="s">
        <v>2622</v>
      </c>
    </row>
    <row r="2026" spans="1:5">
      <c r="A2026" s="11">
        <v>42774</v>
      </c>
      <c r="B2026" s="10" t="s">
        <v>4369</v>
      </c>
      <c r="C2026" s="10" t="s">
        <v>4370</v>
      </c>
      <c r="D2026" s="11">
        <v>42774.620312500003</v>
      </c>
      <c r="E2026" s="10" t="s">
        <v>2259</v>
      </c>
    </row>
    <row r="2027" spans="1:5">
      <c r="A2027" s="11">
        <v>42774</v>
      </c>
      <c r="B2027" s="10" t="s">
        <v>4371</v>
      </c>
      <c r="C2027" s="10" t="s">
        <v>4372</v>
      </c>
      <c r="D2027" s="11">
        <v>42780.886122685188</v>
      </c>
      <c r="E2027" s="10" t="s">
        <v>218</v>
      </c>
    </row>
    <row r="2028" spans="1:5">
      <c r="A2028" s="11">
        <v>42774</v>
      </c>
      <c r="B2028" s="10" t="s">
        <v>4373</v>
      </c>
      <c r="C2028" s="10" t="s">
        <v>4374</v>
      </c>
      <c r="D2028" s="11">
        <v>42782.670497685183</v>
      </c>
      <c r="E2028" s="10" t="s">
        <v>96</v>
      </c>
    </row>
    <row r="2029" spans="1:5">
      <c r="A2029" s="11">
        <v>42774</v>
      </c>
      <c r="B2029" s="10" t="s">
        <v>4375</v>
      </c>
      <c r="C2029" s="10" t="s">
        <v>4376</v>
      </c>
      <c r="D2029" s="11">
        <v>42782.687847222223</v>
      </c>
      <c r="E2029" s="10" t="s">
        <v>707</v>
      </c>
    </row>
    <row r="2030" spans="1:5">
      <c r="A2030" s="11">
        <v>42774</v>
      </c>
      <c r="B2030" s="10" t="s">
        <v>4377</v>
      </c>
      <c r="C2030" s="10" t="s">
        <v>4378</v>
      </c>
      <c r="D2030" s="11">
        <v>42782.61645833333</v>
      </c>
      <c r="E2030" s="10" t="s">
        <v>902</v>
      </c>
    </row>
    <row r="2031" spans="1:5">
      <c r="A2031" s="11">
        <v>42774</v>
      </c>
      <c r="B2031" s="10" t="s">
        <v>4379</v>
      </c>
      <c r="C2031" s="10" t="s">
        <v>4380</v>
      </c>
      <c r="D2031" s="11">
        <v>42781.443206018521</v>
      </c>
      <c r="E2031" s="10" t="s">
        <v>2571</v>
      </c>
    </row>
    <row r="2032" spans="1:5">
      <c r="A2032" s="11">
        <v>42774</v>
      </c>
      <c r="B2032" s="10" t="s">
        <v>4381</v>
      </c>
      <c r="C2032" s="10" t="s">
        <v>4382</v>
      </c>
      <c r="D2032" s="11">
        <v>42780.540729166663</v>
      </c>
      <c r="E2032" s="10" t="s">
        <v>2183</v>
      </c>
    </row>
    <row r="2033" spans="1:5">
      <c r="A2033" s="11">
        <v>42774</v>
      </c>
      <c r="B2033" s="10" t="s">
        <v>4383</v>
      </c>
      <c r="C2033" s="10" t="s">
        <v>4384</v>
      </c>
      <c r="D2033" s="11">
        <v>42782.6562962963</v>
      </c>
      <c r="E2033" s="10" t="s">
        <v>122</v>
      </c>
    </row>
    <row r="2034" spans="1:5">
      <c r="A2034" s="11">
        <v>42774</v>
      </c>
      <c r="B2034" s="10" t="s">
        <v>4385</v>
      </c>
      <c r="C2034" s="10" t="s">
        <v>4386</v>
      </c>
      <c r="D2034" s="11">
        <v>42781.662291666667</v>
      </c>
      <c r="E2034" s="10" t="s">
        <v>215</v>
      </c>
    </row>
    <row r="2035" spans="1:5" ht="21.6">
      <c r="A2035" s="11">
        <v>42774</v>
      </c>
      <c r="B2035" s="10" t="s">
        <v>4387</v>
      </c>
      <c r="C2035" s="10" t="s">
        <v>4388</v>
      </c>
      <c r="D2035" s="11">
        <v>42780.44935185185</v>
      </c>
      <c r="E2035" s="10" t="s">
        <v>2554</v>
      </c>
    </row>
    <row r="2036" spans="1:5">
      <c r="A2036" s="11">
        <v>42774</v>
      </c>
      <c r="B2036" s="10" t="s">
        <v>4389</v>
      </c>
      <c r="C2036" s="10" t="s">
        <v>4390</v>
      </c>
      <c r="D2036" s="11">
        <v>42780.526990740742</v>
      </c>
      <c r="E2036" s="10" t="s">
        <v>2183</v>
      </c>
    </row>
    <row r="2037" spans="1:5">
      <c r="A2037" s="11">
        <v>42774</v>
      </c>
      <c r="B2037" s="10" t="s">
        <v>4391</v>
      </c>
      <c r="C2037" s="10" t="s">
        <v>4392</v>
      </c>
      <c r="D2037" s="11">
        <v>42781.431469907409</v>
      </c>
      <c r="E2037" s="10" t="s">
        <v>2515</v>
      </c>
    </row>
    <row r="2038" spans="1:5">
      <c r="A2038" s="11">
        <v>42774</v>
      </c>
      <c r="B2038" s="10" t="s">
        <v>4393</v>
      </c>
      <c r="C2038" s="10" t="s">
        <v>4394</v>
      </c>
      <c r="D2038" s="11">
        <v>42777.461041666669</v>
      </c>
      <c r="E2038" s="10" t="s">
        <v>683</v>
      </c>
    </row>
    <row r="2039" spans="1:5" ht="21.6">
      <c r="A2039" s="11">
        <v>42774</v>
      </c>
      <c r="B2039" s="10" t="s">
        <v>4395</v>
      </c>
      <c r="C2039" s="10" t="s">
        <v>4396</v>
      </c>
      <c r="D2039" s="11">
        <v>42781.887418981481</v>
      </c>
      <c r="E2039" s="10" t="s">
        <v>133</v>
      </c>
    </row>
    <row r="2040" spans="1:5">
      <c r="A2040" s="11">
        <v>42774</v>
      </c>
      <c r="B2040" s="10" t="s">
        <v>4397</v>
      </c>
      <c r="C2040" s="10" t="s">
        <v>4398</v>
      </c>
      <c r="D2040" s="11">
        <v>42782.701817129629</v>
      </c>
      <c r="E2040" s="10" t="s">
        <v>2742</v>
      </c>
    </row>
    <row r="2041" spans="1:5">
      <c r="A2041" s="11">
        <v>42774</v>
      </c>
      <c r="B2041" s="10" t="s">
        <v>4399</v>
      </c>
      <c r="C2041" s="10" t="s">
        <v>4400</v>
      </c>
      <c r="D2041" s="11">
        <v>42774.719050925924</v>
      </c>
      <c r="E2041" s="10" t="s">
        <v>479</v>
      </c>
    </row>
    <row r="2042" spans="1:5">
      <c r="A2042" s="11">
        <v>42774</v>
      </c>
      <c r="B2042" s="10" t="s">
        <v>4401</v>
      </c>
      <c r="C2042" s="10" t="s">
        <v>4402</v>
      </c>
      <c r="D2042" s="11">
        <v>42782.671180555553</v>
      </c>
      <c r="E2042" s="10" t="s">
        <v>3570</v>
      </c>
    </row>
    <row r="2043" spans="1:5">
      <c r="A2043" s="11">
        <v>42774</v>
      </c>
      <c r="B2043" s="10" t="s">
        <v>4403</v>
      </c>
      <c r="C2043" s="10" t="s">
        <v>4404</v>
      </c>
      <c r="D2043" s="11">
        <v>42782.621388888889</v>
      </c>
      <c r="E2043" s="10" t="s">
        <v>125</v>
      </c>
    </row>
    <row r="2044" spans="1:5">
      <c r="A2044" s="11">
        <v>42774</v>
      </c>
      <c r="B2044" s="10" t="s">
        <v>4405</v>
      </c>
      <c r="C2044" s="10" t="s">
        <v>4406</v>
      </c>
      <c r="D2044" s="11">
        <v>42782.429710648146</v>
      </c>
      <c r="E2044" s="10" t="s">
        <v>1103</v>
      </c>
    </row>
    <row r="2045" spans="1:5">
      <c r="A2045" s="11">
        <v>42774</v>
      </c>
      <c r="B2045" s="10" t="s">
        <v>4407</v>
      </c>
      <c r="C2045" s="10" t="s">
        <v>4408</v>
      </c>
      <c r="D2045" s="11">
        <v>42774.80363425926</v>
      </c>
      <c r="E2045" s="10" t="s">
        <v>2693</v>
      </c>
    </row>
    <row r="2046" spans="1:5">
      <c r="A2046" s="11">
        <v>42774</v>
      </c>
      <c r="B2046" s="10" t="s">
        <v>4409</v>
      </c>
      <c r="C2046" s="10" t="s">
        <v>4410</v>
      </c>
      <c r="D2046" s="11">
        <v>42782.624884259261</v>
      </c>
      <c r="E2046" s="10" t="s">
        <v>122</v>
      </c>
    </row>
    <row r="2047" spans="1:5">
      <c r="A2047" s="11">
        <v>42774</v>
      </c>
      <c r="B2047" s="10" t="s">
        <v>4411</v>
      </c>
      <c r="C2047" s="10" t="s">
        <v>4412</v>
      </c>
      <c r="D2047" s="11">
        <v>42781.720208333332</v>
      </c>
      <c r="E2047" s="10" t="s">
        <v>683</v>
      </c>
    </row>
    <row r="2048" spans="1:5">
      <c r="A2048" s="11">
        <v>42774</v>
      </c>
      <c r="B2048" s="10" t="s">
        <v>4413</v>
      </c>
      <c r="C2048" s="10" t="s">
        <v>4414</v>
      </c>
      <c r="D2048" s="11">
        <v>42782.467893518522</v>
      </c>
      <c r="E2048" s="10" t="s">
        <v>237</v>
      </c>
    </row>
    <row r="2049" spans="1:5">
      <c r="A2049" s="11">
        <v>42774</v>
      </c>
      <c r="B2049" s="10" t="s">
        <v>4415</v>
      </c>
      <c r="C2049" s="10" t="s">
        <v>4416</v>
      </c>
      <c r="D2049" s="11">
        <v>42782.660671296297</v>
      </c>
      <c r="E2049" s="10" t="s">
        <v>96</v>
      </c>
    </row>
    <row r="2050" spans="1:5">
      <c r="A2050" s="11">
        <v>42774</v>
      </c>
      <c r="B2050" s="10" t="s">
        <v>4417</v>
      </c>
      <c r="C2050" s="10" t="s">
        <v>4418</v>
      </c>
      <c r="D2050" s="11">
        <v>42779.860219907408</v>
      </c>
      <c r="E2050" s="10" t="s">
        <v>433</v>
      </c>
    </row>
    <row r="2051" spans="1:5">
      <c r="A2051" s="11">
        <v>42774</v>
      </c>
      <c r="B2051" s="10" t="s">
        <v>4419</v>
      </c>
      <c r="C2051" s="10" t="s">
        <v>4420</v>
      </c>
      <c r="D2051" s="11">
        <v>42776.615798611114</v>
      </c>
      <c r="E2051" s="10" t="s">
        <v>320</v>
      </c>
    </row>
    <row r="2052" spans="1:5">
      <c r="A2052" s="11">
        <v>42774</v>
      </c>
      <c r="B2052" s="10" t="s">
        <v>4421</v>
      </c>
      <c r="C2052" s="10" t="s">
        <v>4422</v>
      </c>
      <c r="D2052" s="11">
        <v>42780.702557870369</v>
      </c>
      <c r="E2052" s="10" t="s">
        <v>902</v>
      </c>
    </row>
    <row r="2053" spans="1:5">
      <c r="A2053" s="11">
        <v>42774</v>
      </c>
      <c r="B2053" s="10" t="s">
        <v>4423</v>
      </c>
      <c r="C2053" s="10" t="s">
        <v>4424</v>
      </c>
      <c r="D2053" s="11">
        <v>42774.954745370371</v>
      </c>
      <c r="E2053" s="10" t="s">
        <v>152</v>
      </c>
    </row>
    <row r="2054" spans="1:5">
      <c r="A2054" s="11">
        <v>42774</v>
      </c>
      <c r="B2054" s="10" t="s">
        <v>4425</v>
      </c>
      <c r="C2054" s="10" t="s">
        <v>4426</v>
      </c>
      <c r="D2054" s="11">
        <v>42782.689814814818</v>
      </c>
      <c r="E2054" s="10" t="s">
        <v>2201</v>
      </c>
    </row>
    <row r="2055" spans="1:5">
      <c r="A2055" s="11">
        <v>42775</v>
      </c>
      <c r="B2055" s="10" t="s">
        <v>4427</v>
      </c>
      <c r="C2055" s="10" t="s">
        <v>4428</v>
      </c>
      <c r="D2055" s="11">
        <v>42782.415243055555</v>
      </c>
      <c r="E2055" s="10" t="s">
        <v>218</v>
      </c>
    </row>
    <row r="2056" spans="1:5">
      <c r="A2056" s="11">
        <v>42775</v>
      </c>
      <c r="B2056" s="10" t="s">
        <v>4429</v>
      </c>
      <c r="C2056" s="10" t="s">
        <v>4430</v>
      </c>
      <c r="D2056" s="11">
        <v>42781.578287037039</v>
      </c>
      <c r="E2056" s="10" t="s">
        <v>433</v>
      </c>
    </row>
    <row r="2057" spans="1:5">
      <c r="A2057" s="11">
        <v>42775</v>
      </c>
      <c r="B2057" s="10" t="s">
        <v>4431</v>
      </c>
      <c r="C2057" s="10" t="s">
        <v>4432</v>
      </c>
      <c r="D2057" s="11">
        <v>42782.573622685188</v>
      </c>
      <c r="E2057" s="10" t="s">
        <v>308</v>
      </c>
    </row>
    <row r="2058" spans="1:5">
      <c r="A2058" s="11">
        <v>42775</v>
      </c>
      <c r="B2058" s="10" t="s">
        <v>4433</v>
      </c>
      <c r="C2058" s="10" t="s">
        <v>4434</v>
      </c>
      <c r="D2058" s="11">
        <v>42780.834224537037</v>
      </c>
      <c r="E2058" s="10" t="s">
        <v>411</v>
      </c>
    </row>
    <row r="2059" spans="1:5">
      <c r="A2059" s="11">
        <v>42775</v>
      </c>
      <c r="B2059" s="10" t="s">
        <v>4435</v>
      </c>
      <c r="C2059" s="10" t="s">
        <v>4436</v>
      </c>
      <c r="D2059" s="11">
        <v>42782.376932870371</v>
      </c>
      <c r="E2059" s="10" t="s">
        <v>966</v>
      </c>
    </row>
    <row r="2060" spans="1:5">
      <c r="A2060" s="11">
        <v>42775</v>
      </c>
      <c r="B2060" s="10" t="s">
        <v>4437</v>
      </c>
      <c r="C2060" s="10" t="s">
        <v>4438</v>
      </c>
      <c r="D2060" s="11">
        <v>42782.449988425928</v>
      </c>
      <c r="E2060" s="10" t="s">
        <v>2299</v>
      </c>
    </row>
    <row r="2061" spans="1:5">
      <c r="A2061" s="11">
        <v>42775</v>
      </c>
      <c r="B2061" s="10" t="s">
        <v>4439</v>
      </c>
      <c r="C2061" s="10" t="s">
        <v>4440</v>
      </c>
      <c r="D2061" s="11">
        <v>42782.684317129628</v>
      </c>
      <c r="E2061" s="10" t="s">
        <v>218</v>
      </c>
    </row>
    <row r="2062" spans="1:5">
      <c r="A2062" s="11">
        <v>42775</v>
      </c>
      <c r="B2062" s="10" t="s">
        <v>4441</v>
      </c>
      <c r="C2062" s="10" t="s">
        <v>4442</v>
      </c>
      <c r="D2062" s="11">
        <v>42782.448263888888</v>
      </c>
      <c r="E2062" s="10" t="s">
        <v>2299</v>
      </c>
    </row>
    <row r="2063" spans="1:5">
      <c r="A2063" s="11">
        <v>42775</v>
      </c>
      <c r="B2063" s="10" t="s">
        <v>4443</v>
      </c>
      <c r="C2063" s="10" t="s">
        <v>4444</v>
      </c>
      <c r="D2063" s="11">
        <v>42782.059618055559</v>
      </c>
      <c r="E2063" s="10" t="s">
        <v>193</v>
      </c>
    </row>
    <row r="2064" spans="1:5">
      <c r="A2064" s="11">
        <v>42775</v>
      </c>
      <c r="B2064" s="10" t="s">
        <v>4445</v>
      </c>
      <c r="C2064" s="10" t="s">
        <v>4446</v>
      </c>
      <c r="D2064" s="11">
        <v>42775.430092592593</v>
      </c>
      <c r="E2064" s="10" t="s">
        <v>320</v>
      </c>
    </row>
    <row r="2065" spans="1:5">
      <c r="A2065" s="11">
        <v>42775</v>
      </c>
      <c r="B2065" s="10" t="s">
        <v>4447</v>
      </c>
      <c r="C2065" s="10" t="s">
        <v>4448</v>
      </c>
      <c r="D2065" s="11">
        <v>42777.312025462961</v>
      </c>
      <c r="E2065" s="10" t="s">
        <v>902</v>
      </c>
    </row>
    <row r="2066" spans="1:5">
      <c r="A2066" s="11">
        <v>42775</v>
      </c>
      <c r="B2066" s="10" t="s">
        <v>4449</v>
      </c>
      <c r="C2066" s="10" t="s">
        <v>4450</v>
      </c>
      <c r="D2066" s="11">
        <v>42782.702453703707</v>
      </c>
      <c r="E2066" s="10" t="s">
        <v>96</v>
      </c>
    </row>
    <row r="2067" spans="1:5">
      <c r="A2067" s="11">
        <v>42775</v>
      </c>
      <c r="B2067" s="10" t="s">
        <v>4451</v>
      </c>
      <c r="C2067" s="10" t="s">
        <v>4452</v>
      </c>
      <c r="D2067" s="11">
        <v>42781.53638888889</v>
      </c>
      <c r="E2067" s="10" t="s">
        <v>130</v>
      </c>
    </row>
    <row r="2068" spans="1:5">
      <c r="A2068" s="11">
        <v>42775</v>
      </c>
      <c r="B2068" s="10" t="s">
        <v>4453</v>
      </c>
      <c r="C2068" s="10" t="s">
        <v>4454</v>
      </c>
      <c r="D2068" s="11">
        <v>42780.637858796297</v>
      </c>
      <c r="E2068" s="10" t="s">
        <v>966</v>
      </c>
    </row>
    <row r="2069" spans="1:5">
      <c r="A2069" s="11">
        <v>42775</v>
      </c>
      <c r="B2069" s="10" t="s">
        <v>4455</v>
      </c>
      <c r="C2069" s="10" t="s">
        <v>4456</v>
      </c>
      <c r="D2069" s="11">
        <v>42780.859085648146</v>
      </c>
      <c r="E2069" s="10" t="s">
        <v>433</v>
      </c>
    </row>
    <row r="2070" spans="1:5">
      <c r="A2070" s="11">
        <v>42775</v>
      </c>
      <c r="B2070" s="10" t="s">
        <v>4457</v>
      </c>
      <c r="C2070" s="10" t="s">
        <v>4458</v>
      </c>
      <c r="D2070" s="11">
        <v>42779.44295138889</v>
      </c>
      <c r="E2070" s="10" t="s">
        <v>237</v>
      </c>
    </row>
    <row r="2071" spans="1:5">
      <c r="A2071" s="11">
        <v>42775</v>
      </c>
      <c r="B2071" s="10" t="s">
        <v>4459</v>
      </c>
      <c r="C2071" s="10" t="s">
        <v>4460</v>
      </c>
      <c r="D2071" s="11">
        <v>42782.425000000003</v>
      </c>
      <c r="E2071" s="10" t="s">
        <v>240</v>
      </c>
    </row>
    <row r="2072" spans="1:5">
      <c r="A2072" s="11">
        <v>42775</v>
      </c>
      <c r="B2072" s="10" t="s">
        <v>4461</v>
      </c>
      <c r="C2072" s="10" t="s">
        <v>4462</v>
      </c>
      <c r="D2072" s="11">
        <v>42781.666006944448</v>
      </c>
      <c r="E2072" s="10" t="s">
        <v>2124</v>
      </c>
    </row>
    <row r="2073" spans="1:5">
      <c r="A2073" s="11">
        <v>42775</v>
      </c>
      <c r="B2073" s="10" t="s">
        <v>4463</v>
      </c>
      <c r="C2073" s="10" t="s">
        <v>4464</v>
      </c>
      <c r="D2073" s="11">
        <v>42780.498842592591</v>
      </c>
      <c r="E2073" s="10" t="s">
        <v>479</v>
      </c>
    </row>
    <row r="2074" spans="1:5">
      <c r="A2074" s="11">
        <v>42775</v>
      </c>
      <c r="B2074" s="10" t="s">
        <v>4465</v>
      </c>
      <c r="C2074" s="10" t="s">
        <v>4466</v>
      </c>
      <c r="D2074" s="11">
        <v>42782.6096412037</v>
      </c>
      <c r="E2074" s="10" t="s">
        <v>433</v>
      </c>
    </row>
    <row r="2075" spans="1:5">
      <c r="A2075" s="11">
        <v>42775</v>
      </c>
      <c r="B2075" s="10" t="s">
        <v>4467</v>
      </c>
      <c r="C2075" s="10" t="s">
        <v>4468</v>
      </c>
      <c r="D2075" s="11">
        <v>42780.420937499999</v>
      </c>
      <c r="E2075" s="10" t="s">
        <v>656</v>
      </c>
    </row>
    <row r="2076" spans="1:5">
      <c r="A2076" s="11">
        <v>42775</v>
      </c>
      <c r="B2076" s="10" t="s">
        <v>4469</v>
      </c>
      <c r="C2076" s="10" t="s">
        <v>4470</v>
      </c>
      <c r="D2076" s="11">
        <v>42780.35527777778</v>
      </c>
      <c r="E2076" s="10" t="s">
        <v>212</v>
      </c>
    </row>
    <row r="2077" spans="1:5">
      <c r="A2077" s="11">
        <v>42775</v>
      </c>
      <c r="B2077" s="10" t="s">
        <v>4471</v>
      </c>
      <c r="C2077" s="10" t="s">
        <v>4472</v>
      </c>
      <c r="D2077" s="11">
        <v>42782.303773148145</v>
      </c>
      <c r="E2077" s="10" t="s">
        <v>433</v>
      </c>
    </row>
    <row r="2078" spans="1:5">
      <c r="A2078" s="11">
        <v>42775</v>
      </c>
      <c r="B2078" s="10" t="s">
        <v>4473</v>
      </c>
      <c r="C2078" s="10" t="s">
        <v>4474</v>
      </c>
      <c r="D2078" s="11">
        <v>42782.376793981479</v>
      </c>
      <c r="E2078" s="10" t="s">
        <v>656</v>
      </c>
    </row>
    <row r="2079" spans="1:5" ht="21.6">
      <c r="A2079" s="11">
        <v>42775</v>
      </c>
      <c r="B2079" s="10" t="s">
        <v>4475</v>
      </c>
      <c r="C2079" s="10" t="s">
        <v>4476</v>
      </c>
      <c r="D2079" s="11">
        <v>42775.580972222226</v>
      </c>
      <c r="E2079" s="10" t="s">
        <v>454</v>
      </c>
    </row>
    <row r="2080" spans="1:5">
      <c r="A2080" s="11">
        <v>42775</v>
      </c>
      <c r="B2080" s="10" t="s">
        <v>4477</v>
      </c>
      <c r="C2080" s="10" t="s">
        <v>4478</v>
      </c>
      <c r="D2080" s="11">
        <v>42781.666898148149</v>
      </c>
      <c r="E2080" s="10" t="s">
        <v>215</v>
      </c>
    </row>
    <row r="2081" spans="1:5">
      <c r="A2081" s="11">
        <v>42775</v>
      </c>
      <c r="B2081" s="10" t="s">
        <v>4479</v>
      </c>
      <c r="C2081" s="10" t="s">
        <v>4480</v>
      </c>
      <c r="D2081" s="11">
        <v>42775.58425925926</v>
      </c>
      <c r="E2081" s="10" t="s">
        <v>212</v>
      </c>
    </row>
    <row r="2082" spans="1:5">
      <c r="A2082" s="11">
        <v>42775</v>
      </c>
      <c r="B2082" s="10" t="s">
        <v>4481</v>
      </c>
      <c r="C2082" s="10" t="s">
        <v>4482</v>
      </c>
      <c r="D2082" s="11">
        <v>42775.594236111108</v>
      </c>
      <c r="E2082" s="10" t="s">
        <v>240</v>
      </c>
    </row>
    <row r="2083" spans="1:5">
      <c r="A2083" s="11">
        <v>42775</v>
      </c>
      <c r="B2083" s="10" t="s">
        <v>4483</v>
      </c>
      <c r="C2083" s="10" t="s">
        <v>4484</v>
      </c>
      <c r="D2083" s="11">
        <v>42780.87736111111</v>
      </c>
      <c r="E2083" s="10" t="s">
        <v>2742</v>
      </c>
    </row>
    <row r="2084" spans="1:5">
      <c r="A2084" s="11">
        <v>42775</v>
      </c>
      <c r="B2084" s="10" t="s">
        <v>4485</v>
      </c>
      <c r="C2084" s="10" t="s">
        <v>4486</v>
      </c>
      <c r="D2084" s="11">
        <v>42780.674872685187</v>
      </c>
      <c r="E2084" s="10" t="s">
        <v>240</v>
      </c>
    </row>
    <row r="2085" spans="1:5">
      <c r="A2085" s="11">
        <v>42775</v>
      </c>
      <c r="B2085" s="10" t="s">
        <v>4487</v>
      </c>
      <c r="C2085" s="10" t="s">
        <v>4488</v>
      </c>
      <c r="D2085" s="11">
        <v>42775.643437500003</v>
      </c>
      <c r="E2085" s="10" t="s">
        <v>138</v>
      </c>
    </row>
    <row r="2086" spans="1:5">
      <c r="A2086" s="11">
        <v>42775</v>
      </c>
      <c r="B2086" s="10" t="s">
        <v>4489</v>
      </c>
      <c r="C2086" s="10" t="s">
        <v>4490</v>
      </c>
      <c r="D2086" s="11">
        <v>42782.673356481479</v>
      </c>
      <c r="E2086" s="10" t="s">
        <v>2688</v>
      </c>
    </row>
    <row r="2087" spans="1:5">
      <c r="A2087" s="11">
        <v>42775</v>
      </c>
      <c r="B2087" s="10" t="s">
        <v>4491</v>
      </c>
      <c r="C2087" s="10" t="s">
        <v>4492</v>
      </c>
      <c r="D2087" s="11">
        <v>42781.933136574073</v>
      </c>
      <c r="E2087" s="10" t="s">
        <v>108</v>
      </c>
    </row>
    <row r="2088" spans="1:5">
      <c r="A2088" s="11">
        <v>42775</v>
      </c>
      <c r="B2088" s="10" t="s">
        <v>4493</v>
      </c>
      <c r="C2088" s="10" t="s">
        <v>4494</v>
      </c>
      <c r="D2088" s="11">
        <v>42782.455648148149</v>
      </c>
      <c r="E2088" s="10" t="s">
        <v>949</v>
      </c>
    </row>
    <row r="2089" spans="1:5">
      <c r="A2089" s="11">
        <v>42775</v>
      </c>
      <c r="B2089" s="10" t="s">
        <v>4495</v>
      </c>
      <c r="C2089" s="10" t="s">
        <v>4496</v>
      </c>
      <c r="D2089" s="11">
        <v>42781.573657407411</v>
      </c>
      <c r="E2089" s="10" t="s">
        <v>479</v>
      </c>
    </row>
    <row r="2090" spans="1:5">
      <c r="A2090" s="11">
        <v>42775</v>
      </c>
      <c r="B2090" s="10" t="s">
        <v>4497</v>
      </c>
      <c r="C2090" s="10" t="s">
        <v>4498</v>
      </c>
      <c r="D2090" s="11">
        <v>42780.666168981479</v>
      </c>
      <c r="E2090" s="10" t="s">
        <v>212</v>
      </c>
    </row>
    <row r="2091" spans="1:5">
      <c r="A2091" s="11">
        <v>42775</v>
      </c>
      <c r="B2091" s="10" t="s">
        <v>4499</v>
      </c>
      <c r="C2091" s="10" t="s">
        <v>4500</v>
      </c>
      <c r="D2091" s="11">
        <v>42782.681631944448</v>
      </c>
      <c r="E2091" s="10" t="s">
        <v>193</v>
      </c>
    </row>
    <row r="2092" spans="1:5">
      <c r="A2092" s="11">
        <v>42775</v>
      </c>
      <c r="B2092" s="10" t="s">
        <v>4501</v>
      </c>
      <c r="C2092" s="10" t="s">
        <v>4502</v>
      </c>
      <c r="D2092" s="11">
        <v>42775.675810185188</v>
      </c>
      <c r="E2092" s="10" t="s">
        <v>122</v>
      </c>
    </row>
    <row r="2093" spans="1:5">
      <c r="A2093" s="11">
        <v>42775</v>
      </c>
      <c r="B2093" s="10" t="s">
        <v>4503</v>
      </c>
      <c r="C2093" s="10" t="s">
        <v>4504</v>
      </c>
      <c r="D2093" s="11">
        <v>42782.710231481484</v>
      </c>
      <c r="E2093" s="10" t="s">
        <v>2201</v>
      </c>
    </row>
    <row r="2094" spans="1:5">
      <c r="A2094" s="11">
        <v>42775</v>
      </c>
      <c r="B2094" s="10" t="s">
        <v>4505</v>
      </c>
      <c r="C2094" s="10" t="s">
        <v>4506</v>
      </c>
      <c r="D2094" s="11">
        <v>42781.763877314814</v>
      </c>
      <c r="E2094" s="10" t="s">
        <v>433</v>
      </c>
    </row>
    <row r="2095" spans="1:5">
      <c r="A2095" s="11">
        <v>42775</v>
      </c>
      <c r="B2095" s="10" t="s">
        <v>4507</v>
      </c>
      <c r="C2095" s="10" t="s">
        <v>4508</v>
      </c>
      <c r="D2095" s="11">
        <v>42782.429050925923</v>
      </c>
      <c r="E2095" s="10" t="s">
        <v>3550</v>
      </c>
    </row>
    <row r="2096" spans="1:5">
      <c r="A2096" s="11">
        <v>42775</v>
      </c>
      <c r="B2096" s="10" t="s">
        <v>4509</v>
      </c>
      <c r="C2096" s="10" t="s">
        <v>4510</v>
      </c>
      <c r="D2096" s="11">
        <v>42775.731817129628</v>
      </c>
      <c r="E2096" s="10" t="s">
        <v>707</v>
      </c>
    </row>
    <row r="2097" spans="1:5">
      <c r="A2097" s="11">
        <v>42775</v>
      </c>
      <c r="B2097" s="10" t="s">
        <v>4511</v>
      </c>
      <c r="C2097" s="10" t="s">
        <v>4512</v>
      </c>
      <c r="D2097" s="11">
        <v>42781.60497685185</v>
      </c>
      <c r="E2097" s="10" t="s">
        <v>365</v>
      </c>
    </row>
    <row r="2098" spans="1:5">
      <c r="A2098" s="11">
        <v>42775</v>
      </c>
      <c r="B2098" s="10" t="s">
        <v>4513</v>
      </c>
      <c r="C2098" s="10" t="s">
        <v>4514</v>
      </c>
      <c r="D2098" s="11">
        <v>42779.598738425928</v>
      </c>
      <c r="E2098" s="10" t="s">
        <v>218</v>
      </c>
    </row>
    <row r="2099" spans="1:5">
      <c r="A2099" s="11">
        <v>42775</v>
      </c>
      <c r="B2099" s="10" t="s">
        <v>4515</v>
      </c>
      <c r="C2099" s="10" t="s">
        <v>4516</v>
      </c>
      <c r="D2099" s="11">
        <v>42782.412812499999</v>
      </c>
      <c r="E2099" s="10" t="s">
        <v>683</v>
      </c>
    </row>
    <row r="2100" spans="1:5">
      <c r="A2100" s="11">
        <v>42775</v>
      </c>
      <c r="B2100" s="10" t="s">
        <v>4517</v>
      </c>
      <c r="C2100" s="10" t="s">
        <v>4518</v>
      </c>
      <c r="D2100" s="11">
        <v>42775.836574074077</v>
      </c>
      <c r="E2100" s="10" t="s">
        <v>1316</v>
      </c>
    </row>
    <row r="2101" spans="1:5">
      <c r="A2101" s="11">
        <v>42775</v>
      </c>
      <c r="B2101" s="10" t="s">
        <v>4519</v>
      </c>
      <c r="C2101" s="10" t="s">
        <v>4520</v>
      </c>
      <c r="D2101" s="11">
        <v>42775.842013888891</v>
      </c>
      <c r="E2101" s="10" t="s">
        <v>949</v>
      </c>
    </row>
    <row r="2102" spans="1:5">
      <c r="A2102" s="11">
        <v>42775</v>
      </c>
      <c r="B2102" s="10" t="s">
        <v>4521</v>
      </c>
      <c r="C2102" s="10" t="s">
        <v>4522</v>
      </c>
      <c r="D2102" s="11">
        <v>42778.865185185183</v>
      </c>
      <c r="E2102" s="10" t="s">
        <v>240</v>
      </c>
    </row>
    <row r="2103" spans="1:5">
      <c r="A2103" s="11">
        <v>42775</v>
      </c>
      <c r="B2103" s="10" t="s">
        <v>4523</v>
      </c>
      <c r="C2103" s="10" t="s">
        <v>4524</v>
      </c>
      <c r="D2103" s="11">
        <v>42775.876967592594</v>
      </c>
      <c r="E2103" s="10" t="s">
        <v>479</v>
      </c>
    </row>
    <row r="2104" spans="1:5" ht="21.6">
      <c r="A2104" s="11">
        <v>42775</v>
      </c>
      <c r="B2104" s="10" t="s">
        <v>4525</v>
      </c>
      <c r="C2104" s="10" t="s">
        <v>4526</v>
      </c>
      <c r="D2104" s="11">
        <v>42781.614675925928</v>
      </c>
      <c r="E2104" s="10" t="s">
        <v>613</v>
      </c>
    </row>
    <row r="2105" spans="1:5">
      <c r="A2105" s="11">
        <v>42775</v>
      </c>
      <c r="B2105" s="10" t="s">
        <v>4527</v>
      </c>
      <c r="C2105" s="10" t="s">
        <v>4528</v>
      </c>
      <c r="D2105" s="11">
        <v>42775.899594907409</v>
      </c>
      <c r="E2105" s="10" t="s">
        <v>209</v>
      </c>
    </row>
    <row r="2106" spans="1:5">
      <c r="A2106" s="11">
        <v>42775</v>
      </c>
      <c r="B2106" s="10" t="s">
        <v>4529</v>
      </c>
      <c r="C2106" s="10" t="s">
        <v>4530</v>
      </c>
      <c r="D2106" s="11">
        <v>42782.631840277776</v>
      </c>
      <c r="E2106" s="10" t="s">
        <v>108</v>
      </c>
    </row>
    <row r="2107" spans="1:5">
      <c r="A2107" s="11">
        <v>42775</v>
      </c>
      <c r="B2107" s="10" t="s">
        <v>4531</v>
      </c>
      <c r="C2107" s="10" t="s">
        <v>4532</v>
      </c>
      <c r="D2107" s="11">
        <v>42781.675821759258</v>
      </c>
      <c r="E2107" s="10" t="s">
        <v>1319</v>
      </c>
    </row>
    <row r="2108" spans="1:5">
      <c r="A2108" s="11">
        <v>42775</v>
      </c>
      <c r="B2108" s="10" t="s">
        <v>4533</v>
      </c>
      <c r="C2108" s="10" t="s">
        <v>4534</v>
      </c>
      <c r="D2108" s="11">
        <v>42782.699537037035</v>
      </c>
      <c r="E2108" s="10" t="s">
        <v>902</v>
      </c>
    </row>
    <row r="2109" spans="1:5">
      <c r="A2109" s="11">
        <v>42775</v>
      </c>
      <c r="B2109" s="10" t="s">
        <v>4535</v>
      </c>
      <c r="C2109" s="10" t="s">
        <v>4536</v>
      </c>
      <c r="D2109" s="11">
        <v>42782.666967592595</v>
      </c>
      <c r="E2109" s="10" t="s">
        <v>707</v>
      </c>
    </row>
    <row r="2110" spans="1:5">
      <c r="A2110" s="11">
        <v>42776</v>
      </c>
      <c r="B2110" s="10" t="s">
        <v>4537</v>
      </c>
      <c r="C2110" s="10" t="s">
        <v>4538</v>
      </c>
      <c r="D2110" s="11">
        <v>42776.004675925928</v>
      </c>
      <c r="E2110" s="10" t="s">
        <v>3093</v>
      </c>
    </row>
    <row r="2111" spans="1:5">
      <c r="A2111" s="11">
        <v>42776</v>
      </c>
      <c r="B2111" s="10" t="s">
        <v>4539</v>
      </c>
      <c r="C2111" s="10" t="s">
        <v>4540</v>
      </c>
      <c r="D2111" s="11">
        <v>42780.810972222222</v>
      </c>
      <c r="E2111" s="10" t="s">
        <v>2201</v>
      </c>
    </row>
    <row r="2112" spans="1:5">
      <c r="A2112" s="11">
        <v>42776</v>
      </c>
      <c r="B2112" s="10" t="s">
        <v>4541</v>
      </c>
      <c r="C2112" s="10" t="s">
        <v>4542</v>
      </c>
      <c r="D2112" s="11">
        <v>42781.702037037037</v>
      </c>
      <c r="E2112" s="10" t="s">
        <v>2515</v>
      </c>
    </row>
    <row r="2113" spans="1:5">
      <c r="A2113" s="11">
        <v>42776</v>
      </c>
      <c r="B2113" s="10" t="s">
        <v>4543</v>
      </c>
      <c r="C2113" s="10" t="s">
        <v>4544</v>
      </c>
      <c r="D2113" s="11">
        <v>42780.495104166665</v>
      </c>
      <c r="E2113" s="10" t="s">
        <v>2139</v>
      </c>
    </row>
    <row r="2114" spans="1:5">
      <c r="A2114" s="11">
        <v>42776</v>
      </c>
      <c r="B2114" s="10" t="s">
        <v>4545</v>
      </c>
      <c r="C2114" s="10" t="s">
        <v>4546</v>
      </c>
      <c r="D2114" s="11">
        <v>42781.437511574077</v>
      </c>
      <c r="E2114" s="10" t="s">
        <v>656</v>
      </c>
    </row>
    <row r="2115" spans="1:5">
      <c r="A2115" s="11">
        <v>42776</v>
      </c>
      <c r="B2115" s="10" t="s">
        <v>4547</v>
      </c>
      <c r="C2115" s="10" t="s">
        <v>4548</v>
      </c>
      <c r="D2115" s="11">
        <v>42781.852361111109</v>
      </c>
      <c r="E2115" s="10" t="s">
        <v>218</v>
      </c>
    </row>
    <row r="2116" spans="1:5">
      <c r="A2116" s="11">
        <v>42776</v>
      </c>
      <c r="B2116" s="10" t="s">
        <v>4549</v>
      </c>
      <c r="C2116" s="10" t="s">
        <v>4550</v>
      </c>
      <c r="D2116" s="11">
        <v>42782.686967592592</v>
      </c>
      <c r="E2116" s="10" t="s">
        <v>3550</v>
      </c>
    </row>
    <row r="2117" spans="1:5" ht="21.6">
      <c r="A2117" s="11">
        <v>42776</v>
      </c>
      <c r="B2117" s="10" t="s">
        <v>4551</v>
      </c>
      <c r="C2117" s="10" t="s">
        <v>4552</v>
      </c>
      <c r="D2117" s="11">
        <v>42776.367754629631</v>
      </c>
      <c r="E2117" s="10" t="s">
        <v>559</v>
      </c>
    </row>
    <row r="2118" spans="1:5">
      <c r="A2118" s="11">
        <v>42776</v>
      </c>
      <c r="B2118" s="10" t="s">
        <v>4553</v>
      </c>
      <c r="C2118" s="10" t="s">
        <v>4554</v>
      </c>
      <c r="D2118" s="11">
        <v>42777.707638888889</v>
      </c>
      <c r="E2118" s="10" t="s">
        <v>125</v>
      </c>
    </row>
    <row r="2119" spans="1:5">
      <c r="A2119" s="11">
        <v>42776</v>
      </c>
      <c r="B2119" s="10" t="s">
        <v>4555</v>
      </c>
      <c r="C2119" s="10" t="s">
        <v>4556</v>
      </c>
      <c r="D2119" s="11">
        <v>42782.689791666664</v>
      </c>
      <c r="E2119" s="10" t="s">
        <v>479</v>
      </c>
    </row>
    <row r="2120" spans="1:5">
      <c r="A2120" s="11">
        <v>42776</v>
      </c>
      <c r="B2120" s="10" t="s">
        <v>4557</v>
      </c>
      <c r="C2120" s="10" t="s">
        <v>4558</v>
      </c>
      <c r="D2120" s="11">
        <v>42782.594085648147</v>
      </c>
      <c r="E2120" s="10" t="s">
        <v>683</v>
      </c>
    </row>
    <row r="2121" spans="1:5">
      <c r="A2121" s="11">
        <v>42776</v>
      </c>
      <c r="B2121" s="10" t="s">
        <v>4559</v>
      </c>
      <c r="C2121" s="10" t="s">
        <v>4560</v>
      </c>
      <c r="D2121" s="11">
        <v>42781.44259259259</v>
      </c>
      <c r="E2121" s="10" t="s">
        <v>218</v>
      </c>
    </row>
    <row r="2122" spans="1:5">
      <c r="A2122" s="11">
        <v>42776</v>
      </c>
      <c r="B2122" s="10" t="s">
        <v>4561</v>
      </c>
      <c r="C2122" s="10" t="s">
        <v>4562</v>
      </c>
      <c r="D2122" s="11">
        <v>42779.405856481484</v>
      </c>
      <c r="E2122" s="10" t="s">
        <v>373</v>
      </c>
    </row>
    <row r="2123" spans="1:5">
      <c r="A2123" s="11">
        <v>42776</v>
      </c>
      <c r="B2123" s="10" t="s">
        <v>4563</v>
      </c>
      <c r="C2123" s="10" t="s">
        <v>4564</v>
      </c>
      <c r="D2123" s="11">
        <v>42781.649687500001</v>
      </c>
      <c r="E2123" s="10" t="s">
        <v>373</v>
      </c>
    </row>
    <row r="2124" spans="1:5">
      <c r="A2124" s="11">
        <v>42776</v>
      </c>
      <c r="B2124" s="10" t="s">
        <v>4565</v>
      </c>
      <c r="C2124" s="10" t="s">
        <v>4566</v>
      </c>
      <c r="D2124" s="11">
        <v>42781.902881944443</v>
      </c>
      <c r="E2124" s="10" t="s">
        <v>320</v>
      </c>
    </row>
    <row r="2125" spans="1:5">
      <c r="A2125" s="11">
        <v>42776</v>
      </c>
      <c r="B2125" s="10" t="s">
        <v>4567</v>
      </c>
      <c r="C2125" s="10" t="s">
        <v>4568</v>
      </c>
      <c r="D2125" s="11">
        <v>42781.689513888887</v>
      </c>
      <c r="E2125" s="10" t="s">
        <v>2515</v>
      </c>
    </row>
    <row r="2126" spans="1:5">
      <c r="A2126" s="11">
        <v>42776</v>
      </c>
      <c r="B2126" s="10" t="s">
        <v>4569</v>
      </c>
      <c r="C2126" s="10" t="s">
        <v>4570</v>
      </c>
      <c r="D2126" s="11">
        <v>42780.580428240741</v>
      </c>
      <c r="E2126" s="10" t="s">
        <v>2169</v>
      </c>
    </row>
    <row r="2127" spans="1:5">
      <c r="A2127" s="11">
        <v>42776</v>
      </c>
      <c r="B2127" s="10" t="s">
        <v>4571</v>
      </c>
      <c r="C2127" s="10" t="s">
        <v>4572</v>
      </c>
      <c r="D2127" s="11">
        <v>42779.474247685182</v>
      </c>
      <c r="E2127" s="10" t="s">
        <v>422</v>
      </c>
    </row>
    <row r="2128" spans="1:5">
      <c r="A2128" s="11">
        <v>42776</v>
      </c>
      <c r="B2128" s="10" t="s">
        <v>4573</v>
      </c>
      <c r="C2128" s="10" t="s">
        <v>4574</v>
      </c>
      <c r="D2128" s="11">
        <v>42782.375416666669</v>
      </c>
      <c r="E2128" s="10" t="s">
        <v>433</v>
      </c>
    </row>
    <row r="2129" spans="1:5">
      <c r="A2129" s="11">
        <v>42776</v>
      </c>
      <c r="B2129" s="10" t="s">
        <v>4575</v>
      </c>
      <c r="C2129" s="10" t="s">
        <v>4576</v>
      </c>
      <c r="D2129" s="11">
        <v>42781.347673611112</v>
      </c>
      <c r="E2129" s="10" t="s">
        <v>656</v>
      </c>
    </row>
    <row r="2130" spans="1:5">
      <c r="A2130" s="11">
        <v>42776</v>
      </c>
      <c r="B2130" s="10" t="s">
        <v>4577</v>
      </c>
      <c r="C2130" s="10" t="s">
        <v>4578</v>
      </c>
      <c r="D2130" s="11">
        <v>42776.444722222222</v>
      </c>
      <c r="E2130" s="10" t="s">
        <v>237</v>
      </c>
    </row>
    <row r="2131" spans="1:5">
      <c r="A2131" s="11">
        <v>42776</v>
      </c>
      <c r="B2131" s="10" t="s">
        <v>4579</v>
      </c>
      <c r="C2131" s="10" t="s">
        <v>4580</v>
      </c>
      <c r="D2131" s="11">
        <v>42781.703055555554</v>
      </c>
      <c r="E2131" s="10" t="s">
        <v>414</v>
      </c>
    </row>
    <row r="2132" spans="1:5">
      <c r="A2132" s="11">
        <v>42776</v>
      </c>
      <c r="B2132" s="10" t="s">
        <v>4581</v>
      </c>
      <c r="C2132" s="10" t="s">
        <v>4582</v>
      </c>
      <c r="D2132" s="11">
        <v>42781.747349537036</v>
      </c>
      <c r="E2132" s="10" t="s">
        <v>656</v>
      </c>
    </row>
    <row r="2133" spans="1:5">
      <c r="A2133" s="11">
        <v>42776</v>
      </c>
      <c r="B2133" s="10" t="s">
        <v>4583</v>
      </c>
      <c r="C2133" s="10" t="s">
        <v>4584</v>
      </c>
      <c r="D2133" s="11">
        <v>42776.477488425924</v>
      </c>
      <c r="E2133" s="10" t="s">
        <v>433</v>
      </c>
    </row>
    <row r="2134" spans="1:5">
      <c r="A2134" s="11">
        <v>42776</v>
      </c>
      <c r="B2134" s="10" t="s">
        <v>4585</v>
      </c>
      <c r="C2134" s="10" t="s">
        <v>4586</v>
      </c>
      <c r="D2134" s="11">
        <v>42782.359918981485</v>
      </c>
      <c r="E2134" s="10" t="s">
        <v>2515</v>
      </c>
    </row>
    <row r="2135" spans="1:5">
      <c r="A2135" s="11">
        <v>42776</v>
      </c>
      <c r="B2135" s="10" t="s">
        <v>4587</v>
      </c>
      <c r="C2135" s="10" t="s">
        <v>4588</v>
      </c>
      <c r="D2135" s="11">
        <v>42779.458599537036</v>
      </c>
      <c r="E2135" s="10" t="s">
        <v>2201</v>
      </c>
    </row>
    <row r="2136" spans="1:5">
      <c r="A2136" s="11">
        <v>42776</v>
      </c>
      <c r="B2136" s="10" t="s">
        <v>4589</v>
      </c>
      <c r="C2136" s="10" t="s">
        <v>4590</v>
      </c>
      <c r="D2136" s="11">
        <v>42782.666956018518</v>
      </c>
      <c r="E2136" s="10" t="s">
        <v>2201</v>
      </c>
    </row>
    <row r="2137" spans="1:5">
      <c r="A2137" s="11">
        <v>42776</v>
      </c>
      <c r="B2137" s="10" t="s">
        <v>4591</v>
      </c>
      <c r="C2137" s="10" t="s">
        <v>4592</v>
      </c>
      <c r="D2137" s="11">
        <v>42776.492824074077</v>
      </c>
      <c r="E2137" s="10" t="s">
        <v>240</v>
      </c>
    </row>
    <row r="2138" spans="1:5">
      <c r="A2138" s="11">
        <v>42776</v>
      </c>
      <c r="B2138" s="10" t="s">
        <v>4593</v>
      </c>
      <c r="C2138" s="10" t="s">
        <v>4594</v>
      </c>
      <c r="D2138" s="11">
        <v>42777.090775462966</v>
      </c>
      <c r="E2138" s="10" t="s">
        <v>2201</v>
      </c>
    </row>
    <row r="2139" spans="1:5">
      <c r="A2139" s="11">
        <v>42776</v>
      </c>
      <c r="B2139" s="10" t="s">
        <v>4595</v>
      </c>
      <c r="C2139" s="10" t="s">
        <v>4596</v>
      </c>
      <c r="D2139" s="11">
        <v>42776.498067129629</v>
      </c>
      <c r="E2139" s="10" t="s">
        <v>625</v>
      </c>
    </row>
    <row r="2140" spans="1:5">
      <c r="A2140" s="11">
        <v>42776</v>
      </c>
      <c r="B2140" s="10" t="s">
        <v>4597</v>
      </c>
      <c r="C2140" s="10" t="s">
        <v>4598</v>
      </c>
      <c r="D2140" s="11">
        <v>42780.948796296296</v>
      </c>
      <c r="E2140" s="10" t="s">
        <v>2622</v>
      </c>
    </row>
    <row r="2141" spans="1:5" ht="21.6">
      <c r="A2141" s="11">
        <v>42776</v>
      </c>
      <c r="B2141" s="10" t="s">
        <v>4599</v>
      </c>
      <c r="C2141" s="10" t="s">
        <v>4600</v>
      </c>
      <c r="D2141" s="11">
        <v>42781.992743055554</v>
      </c>
      <c r="E2141" s="10" t="s">
        <v>3027</v>
      </c>
    </row>
    <row r="2142" spans="1:5">
      <c r="A2142" s="11">
        <v>42776</v>
      </c>
      <c r="B2142" s="10" t="s">
        <v>4601</v>
      </c>
      <c r="C2142" s="10" t="s">
        <v>4602</v>
      </c>
      <c r="D2142" s="11">
        <v>42782.705613425926</v>
      </c>
      <c r="E2142" s="10" t="s">
        <v>122</v>
      </c>
    </row>
    <row r="2143" spans="1:5">
      <c r="A2143" s="11">
        <v>42776</v>
      </c>
      <c r="B2143" s="10" t="s">
        <v>4603</v>
      </c>
      <c r="C2143" s="10" t="s">
        <v>4604</v>
      </c>
      <c r="D2143" s="11">
        <v>42781.43346064815</v>
      </c>
      <c r="E2143" s="10" t="s">
        <v>373</v>
      </c>
    </row>
    <row r="2144" spans="1:5">
      <c r="A2144" s="11">
        <v>42776</v>
      </c>
      <c r="B2144" s="10" t="s">
        <v>4605</v>
      </c>
      <c r="C2144" s="10" t="s">
        <v>4606</v>
      </c>
      <c r="D2144" s="11">
        <v>42781.369606481479</v>
      </c>
      <c r="E2144" s="10" t="s">
        <v>143</v>
      </c>
    </row>
    <row r="2145" spans="1:5">
      <c r="A2145" s="11">
        <v>42776</v>
      </c>
      <c r="B2145" s="10" t="s">
        <v>4607</v>
      </c>
      <c r="C2145" s="10" t="s">
        <v>4608</v>
      </c>
      <c r="D2145" s="11">
        <v>42776.54378472222</v>
      </c>
      <c r="E2145" s="10" t="s">
        <v>380</v>
      </c>
    </row>
    <row r="2146" spans="1:5">
      <c r="A2146" s="11">
        <v>42776</v>
      </c>
      <c r="B2146" s="10" t="s">
        <v>4609</v>
      </c>
      <c r="C2146" s="10" t="s">
        <v>4610</v>
      </c>
      <c r="D2146" s="11">
        <v>42782.691388888888</v>
      </c>
      <c r="E2146" s="10" t="s">
        <v>2742</v>
      </c>
    </row>
    <row r="2147" spans="1:5">
      <c r="A2147" s="11">
        <v>42776</v>
      </c>
      <c r="B2147" s="10" t="s">
        <v>4611</v>
      </c>
      <c r="C2147" s="10" t="s">
        <v>4612</v>
      </c>
      <c r="D2147" s="11">
        <v>42779.489189814813</v>
      </c>
      <c r="E2147" s="10" t="s">
        <v>433</v>
      </c>
    </row>
    <row r="2148" spans="1:5">
      <c r="A2148" s="11">
        <v>42776</v>
      </c>
      <c r="B2148" s="10" t="s">
        <v>4613</v>
      </c>
      <c r="C2148" s="10" t="s">
        <v>4614</v>
      </c>
      <c r="D2148" s="11">
        <v>42776.543564814812</v>
      </c>
      <c r="E2148" s="10" t="s">
        <v>433</v>
      </c>
    </row>
    <row r="2149" spans="1:5">
      <c r="A2149" s="11">
        <v>42776</v>
      </c>
      <c r="B2149" s="10" t="s">
        <v>4615</v>
      </c>
      <c r="C2149" s="10" t="s">
        <v>4616</v>
      </c>
      <c r="D2149" s="11">
        <v>42776.548935185187</v>
      </c>
      <c r="E2149" s="10" t="s">
        <v>320</v>
      </c>
    </row>
    <row r="2150" spans="1:5">
      <c r="A2150" s="11">
        <v>42776</v>
      </c>
      <c r="B2150" s="10" t="s">
        <v>4617</v>
      </c>
      <c r="C2150" s="10" t="s">
        <v>4618</v>
      </c>
      <c r="D2150" s="11">
        <v>42781.436736111114</v>
      </c>
      <c r="E2150" s="10" t="s">
        <v>209</v>
      </c>
    </row>
    <row r="2151" spans="1:5">
      <c r="A2151" s="11">
        <v>42776</v>
      </c>
      <c r="B2151" s="10" t="s">
        <v>4619</v>
      </c>
      <c r="C2151" s="10" t="s">
        <v>4620</v>
      </c>
      <c r="D2151" s="11">
        <v>42782.611342592594</v>
      </c>
      <c r="E2151" s="10" t="s">
        <v>218</v>
      </c>
    </row>
    <row r="2152" spans="1:5">
      <c r="A2152" s="11">
        <v>42776</v>
      </c>
      <c r="B2152" s="10" t="s">
        <v>4621</v>
      </c>
      <c r="C2152" s="10" t="s">
        <v>4622</v>
      </c>
      <c r="D2152" s="11">
        <v>42782.556296296294</v>
      </c>
      <c r="E2152" s="10" t="s">
        <v>237</v>
      </c>
    </row>
    <row r="2153" spans="1:5">
      <c r="A2153" s="11">
        <v>42776</v>
      </c>
      <c r="B2153" s="10" t="s">
        <v>4623</v>
      </c>
      <c r="C2153" s="10" t="s">
        <v>4624</v>
      </c>
      <c r="D2153" s="11">
        <v>42782.55269675926</v>
      </c>
      <c r="E2153" s="10" t="s">
        <v>240</v>
      </c>
    </row>
    <row r="2154" spans="1:5">
      <c r="A2154" s="11">
        <v>42776</v>
      </c>
      <c r="B2154" s="10" t="s">
        <v>4625</v>
      </c>
      <c r="C2154" s="10" t="s">
        <v>4626</v>
      </c>
      <c r="D2154" s="11">
        <v>42781.445439814815</v>
      </c>
      <c r="E2154" s="10" t="s">
        <v>2442</v>
      </c>
    </row>
    <row r="2155" spans="1:5">
      <c r="A2155" s="11">
        <v>42776</v>
      </c>
      <c r="B2155" s="10" t="s">
        <v>4627</v>
      </c>
      <c r="C2155" s="10" t="s">
        <v>4628</v>
      </c>
      <c r="D2155" s="11">
        <v>42782.556168981479</v>
      </c>
      <c r="E2155" s="10" t="s">
        <v>237</v>
      </c>
    </row>
    <row r="2156" spans="1:5">
      <c r="A2156" s="11">
        <v>42776</v>
      </c>
      <c r="B2156" s="10" t="s">
        <v>4629</v>
      </c>
      <c r="C2156" s="10" t="s">
        <v>4630</v>
      </c>
      <c r="D2156" s="11">
        <v>42782.407893518517</v>
      </c>
      <c r="E2156" s="10" t="s">
        <v>130</v>
      </c>
    </row>
    <row r="2157" spans="1:5">
      <c r="A2157" s="11">
        <v>42776</v>
      </c>
      <c r="B2157" s="10" t="s">
        <v>4631</v>
      </c>
      <c r="C2157" s="10" t="s">
        <v>4632</v>
      </c>
      <c r="D2157" s="11">
        <v>42776.59920138889</v>
      </c>
      <c r="E2157" s="10" t="s">
        <v>212</v>
      </c>
    </row>
    <row r="2158" spans="1:5">
      <c r="A2158" s="11">
        <v>42776</v>
      </c>
      <c r="B2158" s="10" t="s">
        <v>4633</v>
      </c>
      <c r="C2158" s="10" t="s">
        <v>4634</v>
      </c>
      <c r="D2158" s="11">
        <v>42776.617546296293</v>
      </c>
      <c r="E2158" s="10" t="s">
        <v>433</v>
      </c>
    </row>
    <row r="2159" spans="1:5">
      <c r="A2159" s="11">
        <v>42776</v>
      </c>
      <c r="B2159" s="10" t="s">
        <v>4635</v>
      </c>
      <c r="C2159" s="10" t="s">
        <v>4636</v>
      </c>
      <c r="D2159" s="11">
        <v>42782.624178240738</v>
      </c>
      <c r="E2159" s="10" t="s">
        <v>433</v>
      </c>
    </row>
    <row r="2160" spans="1:5">
      <c r="A2160" s="11">
        <v>42776</v>
      </c>
      <c r="B2160" s="10" t="s">
        <v>4637</v>
      </c>
      <c r="C2160" s="10" t="s">
        <v>4638</v>
      </c>
      <c r="D2160" s="11">
        <v>42776.621990740743</v>
      </c>
      <c r="E2160" s="10" t="s">
        <v>335</v>
      </c>
    </row>
    <row r="2161" spans="1:5">
      <c r="A2161" s="11">
        <v>42776</v>
      </c>
      <c r="B2161" s="10" t="s">
        <v>4639</v>
      </c>
      <c r="C2161" s="10" t="s">
        <v>4640</v>
      </c>
      <c r="D2161" s="11">
        <v>42782.531689814816</v>
      </c>
      <c r="E2161" s="10" t="s">
        <v>433</v>
      </c>
    </row>
    <row r="2162" spans="1:5">
      <c r="A2162" s="11">
        <v>42776</v>
      </c>
      <c r="B2162" s="10" t="s">
        <v>4641</v>
      </c>
      <c r="C2162" s="10" t="s">
        <v>4642</v>
      </c>
      <c r="D2162" s="11">
        <v>42782.596099537041</v>
      </c>
      <c r="E2162" s="10" t="s">
        <v>3024</v>
      </c>
    </row>
    <row r="2163" spans="1:5">
      <c r="A2163" s="11">
        <v>42776</v>
      </c>
      <c r="B2163" s="10" t="s">
        <v>4643</v>
      </c>
      <c r="C2163" s="10" t="s">
        <v>4644</v>
      </c>
      <c r="D2163" s="11">
        <v>42782.616388888891</v>
      </c>
      <c r="E2163" s="10" t="s">
        <v>240</v>
      </c>
    </row>
    <row r="2164" spans="1:5">
      <c r="A2164" s="11">
        <v>42776</v>
      </c>
      <c r="B2164" s="10" t="s">
        <v>4645</v>
      </c>
      <c r="C2164" s="10" t="s">
        <v>4646</v>
      </c>
      <c r="D2164" s="11">
        <v>42781.744108796294</v>
      </c>
      <c r="E2164" s="10" t="s">
        <v>125</v>
      </c>
    </row>
    <row r="2165" spans="1:5">
      <c r="A2165" s="11">
        <v>42776</v>
      </c>
      <c r="B2165" s="10" t="s">
        <v>4647</v>
      </c>
      <c r="C2165" s="10" t="s">
        <v>4648</v>
      </c>
      <c r="D2165" s="11">
        <v>42776.639236111114</v>
      </c>
      <c r="E2165" s="10" t="s">
        <v>4649</v>
      </c>
    </row>
    <row r="2166" spans="1:5">
      <c r="A2166" s="11">
        <v>42776</v>
      </c>
      <c r="B2166" s="10" t="s">
        <v>4650</v>
      </c>
      <c r="C2166" s="10" t="s">
        <v>4651</v>
      </c>
      <c r="D2166" s="11">
        <v>42781.872754629629</v>
      </c>
      <c r="E2166" s="10" t="s">
        <v>653</v>
      </c>
    </row>
    <row r="2167" spans="1:5">
      <c r="A2167" s="11">
        <v>42776</v>
      </c>
      <c r="B2167" s="10" t="s">
        <v>4652</v>
      </c>
      <c r="C2167" s="10" t="s">
        <v>4653</v>
      </c>
      <c r="D2167" s="11">
        <v>42776.64949074074</v>
      </c>
      <c r="E2167" s="10" t="s">
        <v>433</v>
      </c>
    </row>
    <row r="2168" spans="1:5">
      <c r="A2168" s="11">
        <v>42776</v>
      </c>
      <c r="B2168" s="10" t="s">
        <v>4654</v>
      </c>
      <c r="C2168" s="10" t="s">
        <v>4655</v>
      </c>
      <c r="D2168" s="11">
        <v>42776.64984953704</v>
      </c>
      <c r="E2168" s="10" t="s">
        <v>433</v>
      </c>
    </row>
    <row r="2169" spans="1:5">
      <c r="A2169" s="11">
        <v>42776</v>
      </c>
      <c r="B2169" s="10" t="s">
        <v>4656</v>
      </c>
      <c r="C2169" s="10" t="s">
        <v>4657</v>
      </c>
      <c r="D2169" s="11">
        <v>42782.633587962962</v>
      </c>
      <c r="E2169" s="10" t="s">
        <v>240</v>
      </c>
    </row>
    <row r="2170" spans="1:5">
      <c r="A2170" s="11">
        <v>42776</v>
      </c>
      <c r="B2170" s="10" t="s">
        <v>4658</v>
      </c>
      <c r="C2170" s="10" t="s">
        <v>4659</v>
      </c>
      <c r="D2170" s="11">
        <v>42776.661712962959</v>
      </c>
      <c r="E2170" s="10" t="s">
        <v>472</v>
      </c>
    </row>
    <row r="2171" spans="1:5">
      <c r="A2171" s="11">
        <v>42776</v>
      </c>
      <c r="B2171" s="10" t="s">
        <v>4660</v>
      </c>
      <c r="C2171" s="10" t="s">
        <v>4661</v>
      </c>
      <c r="D2171" s="11">
        <v>42776.662326388891</v>
      </c>
      <c r="E2171" s="10" t="s">
        <v>373</v>
      </c>
    </row>
    <row r="2172" spans="1:5">
      <c r="A2172" s="11">
        <v>42776</v>
      </c>
      <c r="B2172" s="10" t="s">
        <v>4662</v>
      </c>
      <c r="C2172" s="10" t="s">
        <v>4663</v>
      </c>
      <c r="D2172" s="11">
        <v>42781.919016203705</v>
      </c>
      <c r="E2172" s="10" t="s">
        <v>902</v>
      </c>
    </row>
    <row r="2173" spans="1:5">
      <c r="A2173" s="11">
        <v>42776</v>
      </c>
      <c r="B2173" s="10" t="s">
        <v>4664</v>
      </c>
      <c r="C2173" s="10" t="s">
        <v>4665</v>
      </c>
      <c r="D2173" s="11">
        <v>42781.575636574074</v>
      </c>
      <c r="E2173" s="10" t="s">
        <v>380</v>
      </c>
    </row>
    <row r="2174" spans="1:5">
      <c r="A2174" s="11">
        <v>42776</v>
      </c>
      <c r="B2174" s="10" t="s">
        <v>4666</v>
      </c>
      <c r="C2174" s="10" t="s">
        <v>4667</v>
      </c>
      <c r="D2174" s="11">
        <v>42779.652569444443</v>
      </c>
      <c r="E2174" s="10" t="s">
        <v>373</v>
      </c>
    </row>
    <row r="2175" spans="1:5">
      <c r="A2175" s="11">
        <v>42776</v>
      </c>
      <c r="B2175" s="10" t="s">
        <v>4668</v>
      </c>
      <c r="C2175" s="10" t="s">
        <v>4669</v>
      </c>
      <c r="D2175" s="11">
        <v>42776.683564814812</v>
      </c>
      <c r="E2175" s="10" t="s">
        <v>215</v>
      </c>
    </row>
    <row r="2176" spans="1:5">
      <c r="A2176" s="11">
        <v>42776</v>
      </c>
      <c r="B2176" s="10" t="s">
        <v>4670</v>
      </c>
      <c r="C2176" s="10" t="s">
        <v>4671</v>
      </c>
      <c r="D2176" s="11">
        <v>42776.684699074074</v>
      </c>
      <c r="E2176" s="10" t="s">
        <v>373</v>
      </c>
    </row>
    <row r="2177" spans="1:5">
      <c r="A2177" s="11">
        <v>42776</v>
      </c>
      <c r="B2177" s="10" t="s">
        <v>4672</v>
      </c>
      <c r="C2177" s="10" t="s">
        <v>4673</v>
      </c>
      <c r="D2177" s="11">
        <v>42781.618391203701</v>
      </c>
      <c r="E2177" s="10" t="s">
        <v>433</v>
      </c>
    </row>
    <row r="2178" spans="1:5">
      <c r="A2178" s="11">
        <v>42776</v>
      </c>
      <c r="B2178" s="10" t="s">
        <v>4674</v>
      </c>
      <c r="C2178" s="10" t="s">
        <v>4675</v>
      </c>
      <c r="D2178" s="11">
        <v>42782.56181712963</v>
      </c>
      <c r="E2178" s="10" t="s">
        <v>125</v>
      </c>
    </row>
    <row r="2179" spans="1:5">
      <c r="A2179" s="11">
        <v>42776</v>
      </c>
      <c r="B2179" s="10" t="s">
        <v>4676</v>
      </c>
      <c r="C2179" s="10" t="s">
        <v>4677</v>
      </c>
      <c r="D2179" s="11">
        <v>42780.684629629628</v>
      </c>
      <c r="E2179" s="10" t="s">
        <v>433</v>
      </c>
    </row>
    <row r="2180" spans="1:5">
      <c r="A2180" s="11">
        <v>42776</v>
      </c>
      <c r="B2180" s="10" t="s">
        <v>4678</v>
      </c>
      <c r="C2180" s="10" t="s">
        <v>4679</v>
      </c>
      <c r="D2180" s="11">
        <v>42781.507488425923</v>
      </c>
      <c r="E2180" s="10" t="s">
        <v>152</v>
      </c>
    </row>
    <row r="2181" spans="1:5">
      <c r="A2181" s="11">
        <v>42776</v>
      </c>
      <c r="B2181" s="10" t="s">
        <v>4680</v>
      </c>
      <c r="C2181" s="10" t="s">
        <v>4681</v>
      </c>
      <c r="D2181" s="11">
        <v>42782.536921296298</v>
      </c>
      <c r="E2181" s="10" t="s">
        <v>122</v>
      </c>
    </row>
    <row r="2182" spans="1:5">
      <c r="A2182" s="11">
        <v>42776</v>
      </c>
      <c r="B2182" s="10" t="s">
        <v>4682</v>
      </c>
      <c r="C2182" s="10" t="s">
        <v>4683</v>
      </c>
      <c r="D2182" s="11">
        <v>42782.683263888888</v>
      </c>
      <c r="E2182" s="10" t="s">
        <v>433</v>
      </c>
    </row>
    <row r="2183" spans="1:5">
      <c r="A2183" s="11">
        <v>42776</v>
      </c>
      <c r="B2183" s="10" t="s">
        <v>4684</v>
      </c>
      <c r="C2183" s="10" t="s">
        <v>4685</v>
      </c>
      <c r="D2183" s="11">
        <v>42776.733912037038</v>
      </c>
      <c r="E2183" s="10" t="s">
        <v>380</v>
      </c>
    </row>
    <row r="2184" spans="1:5">
      <c r="A2184" s="11">
        <v>42776</v>
      </c>
      <c r="B2184" s="10" t="s">
        <v>4686</v>
      </c>
      <c r="C2184" s="10" t="s">
        <v>4687</v>
      </c>
      <c r="D2184" s="11">
        <v>42782.600844907407</v>
      </c>
      <c r="E2184" s="10" t="s">
        <v>433</v>
      </c>
    </row>
    <row r="2185" spans="1:5">
      <c r="A2185" s="11">
        <v>42776</v>
      </c>
      <c r="B2185" s="10" t="s">
        <v>4688</v>
      </c>
      <c r="C2185" s="10" t="s">
        <v>4689</v>
      </c>
      <c r="D2185" s="11">
        <v>42776.737476851849</v>
      </c>
      <c r="E2185" s="10" t="s">
        <v>4690</v>
      </c>
    </row>
    <row r="2186" spans="1:5">
      <c r="A2186" s="11">
        <v>42776</v>
      </c>
      <c r="B2186" s="10" t="s">
        <v>4691</v>
      </c>
      <c r="C2186" s="10" t="s">
        <v>4692</v>
      </c>
      <c r="D2186" s="11">
        <v>42782.542129629626</v>
      </c>
      <c r="E2186" s="10" t="s">
        <v>178</v>
      </c>
    </row>
    <row r="2187" spans="1:5">
      <c r="A2187" s="11">
        <v>42776</v>
      </c>
      <c r="B2187" s="10" t="s">
        <v>4693</v>
      </c>
      <c r="C2187" s="10" t="s">
        <v>4694</v>
      </c>
      <c r="D2187" s="11">
        <v>42776.770995370367</v>
      </c>
      <c r="E2187" s="10" t="s">
        <v>479</v>
      </c>
    </row>
    <row r="2188" spans="1:5">
      <c r="A2188" s="11">
        <v>42776</v>
      </c>
      <c r="B2188" s="10" t="s">
        <v>4695</v>
      </c>
      <c r="C2188" s="10" t="s">
        <v>4696</v>
      </c>
      <c r="D2188" s="11">
        <v>42776.80060185185</v>
      </c>
      <c r="E2188" s="10" t="s">
        <v>2266</v>
      </c>
    </row>
    <row r="2189" spans="1:5">
      <c r="A2189" s="11">
        <v>42776</v>
      </c>
      <c r="B2189" s="10" t="s">
        <v>4697</v>
      </c>
      <c r="C2189" s="10" t="s">
        <v>4698</v>
      </c>
      <c r="D2189" s="11">
        <v>42782.691400462965</v>
      </c>
      <c r="E2189" s="10" t="s">
        <v>308</v>
      </c>
    </row>
    <row r="2190" spans="1:5">
      <c r="A2190" s="11">
        <v>42776</v>
      </c>
      <c r="B2190" s="10" t="s">
        <v>4699</v>
      </c>
      <c r="C2190" s="10" t="s">
        <v>4700</v>
      </c>
      <c r="D2190" s="11">
        <v>42776.839155092595</v>
      </c>
      <c r="E2190" s="10" t="s">
        <v>232</v>
      </c>
    </row>
    <row r="2191" spans="1:5">
      <c r="A2191" s="11">
        <v>42776</v>
      </c>
      <c r="B2191" s="10" t="s">
        <v>4701</v>
      </c>
      <c r="C2191" s="10" t="s">
        <v>4702</v>
      </c>
      <c r="D2191" s="11">
        <v>42780.40693287037</v>
      </c>
      <c r="E2191" s="10" t="s">
        <v>185</v>
      </c>
    </row>
    <row r="2192" spans="1:5">
      <c r="A2192" s="11">
        <v>42776</v>
      </c>
      <c r="B2192" s="10" t="s">
        <v>4703</v>
      </c>
      <c r="C2192" s="10" t="s">
        <v>4704</v>
      </c>
      <c r="D2192" s="11">
        <v>42780.421423611115</v>
      </c>
      <c r="E2192" s="10" t="s">
        <v>2515</v>
      </c>
    </row>
    <row r="2193" spans="1:5">
      <c r="A2193" s="11">
        <v>42776</v>
      </c>
      <c r="B2193" s="10" t="s">
        <v>4705</v>
      </c>
      <c r="C2193" s="10" t="s">
        <v>4706</v>
      </c>
      <c r="D2193" s="11">
        <v>42781.705925925926</v>
      </c>
      <c r="E2193" s="10" t="s">
        <v>433</v>
      </c>
    </row>
    <row r="2194" spans="1:5">
      <c r="A2194" s="11">
        <v>42776</v>
      </c>
      <c r="B2194" s="10" t="s">
        <v>4707</v>
      </c>
      <c r="C2194" s="10" t="s">
        <v>4708</v>
      </c>
      <c r="D2194" s="11">
        <v>42778.754872685182</v>
      </c>
      <c r="E2194" s="10" t="s">
        <v>977</v>
      </c>
    </row>
    <row r="2195" spans="1:5">
      <c r="A2195" s="11">
        <v>42776</v>
      </c>
      <c r="B2195" s="10" t="s">
        <v>4709</v>
      </c>
      <c r="C2195" s="10" t="s">
        <v>4710</v>
      </c>
      <c r="D2195" s="11">
        <v>42782.60496527778</v>
      </c>
      <c r="E2195" s="10" t="s">
        <v>209</v>
      </c>
    </row>
    <row r="2196" spans="1:5">
      <c r="A2196" s="11">
        <v>42776</v>
      </c>
      <c r="B2196" s="10" t="s">
        <v>4711</v>
      </c>
      <c r="C2196" s="10" t="s">
        <v>4712</v>
      </c>
      <c r="D2196" s="11">
        <v>42776.87703703704</v>
      </c>
      <c r="E2196" s="10" t="s">
        <v>212</v>
      </c>
    </row>
    <row r="2197" spans="1:5">
      <c r="A2197" s="11">
        <v>42776</v>
      </c>
      <c r="B2197" s="10" t="s">
        <v>4713</v>
      </c>
      <c r="C2197" s="10" t="s">
        <v>4714</v>
      </c>
      <c r="D2197" s="11">
        <v>42776.885185185187</v>
      </c>
      <c r="E2197" s="10" t="s">
        <v>212</v>
      </c>
    </row>
    <row r="2198" spans="1:5">
      <c r="A2198" s="11">
        <v>42776</v>
      </c>
      <c r="B2198" s="10" t="s">
        <v>4715</v>
      </c>
      <c r="C2198" s="10" t="s">
        <v>4716</v>
      </c>
      <c r="D2198" s="11">
        <v>42782.694872685184</v>
      </c>
      <c r="E2198" s="10" t="s">
        <v>203</v>
      </c>
    </row>
    <row r="2199" spans="1:5">
      <c r="A2199" s="11">
        <v>42776</v>
      </c>
      <c r="B2199" s="10" t="s">
        <v>4717</v>
      </c>
      <c r="C2199" s="10" t="s">
        <v>4718</v>
      </c>
      <c r="D2199" s="11">
        <v>42780.853379629632</v>
      </c>
      <c r="E2199" s="10" t="s">
        <v>218</v>
      </c>
    </row>
    <row r="2200" spans="1:5">
      <c r="A2200" s="11">
        <v>42776</v>
      </c>
      <c r="B2200" s="10" t="s">
        <v>4719</v>
      </c>
      <c r="C2200" s="10" t="s">
        <v>4720</v>
      </c>
      <c r="D2200" s="11">
        <v>42776.904942129629</v>
      </c>
      <c r="E2200" s="10" t="s">
        <v>320</v>
      </c>
    </row>
    <row r="2201" spans="1:5">
      <c r="A2201" s="11">
        <v>42776</v>
      </c>
      <c r="B2201" s="10" t="s">
        <v>4721</v>
      </c>
      <c r="C2201" s="10" t="s">
        <v>4722</v>
      </c>
      <c r="D2201" s="11">
        <v>42781.752592592595</v>
      </c>
      <c r="E2201" s="10" t="s">
        <v>125</v>
      </c>
    </row>
    <row r="2202" spans="1:5">
      <c r="A2202" s="11">
        <v>42776</v>
      </c>
      <c r="B2202" s="10" t="s">
        <v>4723</v>
      </c>
      <c r="C2202" s="10" t="s">
        <v>4724</v>
      </c>
      <c r="D2202" s="11">
        <v>42781.892395833333</v>
      </c>
      <c r="E2202" s="10" t="s">
        <v>152</v>
      </c>
    </row>
    <row r="2203" spans="1:5">
      <c r="A2203" s="11">
        <v>42776</v>
      </c>
      <c r="B2203" s="10" t="s">
        <v>4725</v>
      </c>
      <c r="C2203" s="10" t="s">
        <v>4726</v>
      </c>
      <c r="D2203" s="11">
        <v>42779.706030092595</v>
      </c>
      <c r="E2203" s="10" t="s">
        <v>422</v>
      </c>
    </row>
    <row r="2204" spans="1:5">
      <c r="A2204" s="11">
        <v>42776</v>
      </c>
      <c r="B2204" s="10" t="s">
        <v>4727</v>
      </c>
      <c r="C2204" s="10" t="s">
        <v>4728</v>
      </c>
      <c r="D2204" s="11">
        <v>42776.953368055554</v>
      </c>
      <c r="E2204" s="10" t="s">
        <v>237</v>
      </c>
    </row>
    <row r="2205" spans="1:5">
      <c r="A2205" s="11">
        <v>42776</v>
      </c>
      <c r="B2205" s="10" t="s">
        <v>4729</v>
      </c>
      <c r="C2205" s="10" t="s">
        <v>4730</v>
      </c>
      <c r="D2205" s="11">
        <v>42780.714722222219</v>
      </c>
      <c r="E2205" s="10" t="s">
        <v>122</v>
      </c>
    </row>
    <row r="2206" spans="1:5">
      <c r="A2206" s="11">
        <v>42776</v>
      </c>
      <c r="B2206" s="10" t="s">
        <v>4731</v>
      </c>
      <c r="C2206" s="10" t="s">
        <v>4732</v>
      </c>
      <c r="D2206" s="11">
        <v>42782.608657407407</v>
      </c>
      <c r="E2206" s="10" t="s">
        <v>99</v>
      </c>
    </row>
    <row r="2207" spans="1:5">
      <c r="A2207" s="11">
        <v>42776</v>
      </c>
      <c r="B2207" s="10" t="s">
        <v>4733</v>
      </c>
      <c r="C2207" s="10" t="s">
        <v>4734</v>
      </c>
      <c r="D2207" s="11">
        <v>42776.964745370373</v>
      </c>
      <c r="E2207" s="10" t="s">
        <v>707</v>
      </c>
    </row>
    <row r="2208" spans="1:5">
      <c r="A2208" s="11">
        <v>42777</v>
      </c>
      <c r="B2208" s="10" t="s">
        <v>4735</v>
      </c>
      <c r="C2208" s="10" t="s">
        <v>4736</v>
      </c>
      <c r="D2208" s="11">
        <v>42782.484791666669</v>
      </c>
      <c r="E2208" s="10" t="s">
        <v>3550</v>
      </c>
    </row>
    <row r="2209" spans="1:5">
      <c r="A2209" s="11">
        <v>42777</v>
      </c>
      <c r="B2209" s="10" t="s">
        <v>4737</v>
      </c>
      <c r="C2209" s="10" t="s">
        <v>4738</v>
      </c>
      <c r="D2209" s="11">
        <v>42779.392777777779</v>
      </c>
      <c r="E2209" s="10" t="s">
        <v>2201</v>
      </c>
    </row>
    <row r="2210" spans="1:5">
      <c r="A2210" s="11">
        <v>42777</v>
      </c>
      <c r="B2210" s="10" t="s">
        <v>4739</v>
      </c>
      <c r="C2210" s="10" t="s">
        <v>4740</v>
      </c>
      <c r="D2210" s="11">
        <v>42782.676076388889</v>
      </c>
      <c r="E2210" s="10" t="s">
        <v>193</v>
      </c>
    </row>
    <row r="2211" spans="1:5">
      <c r="A2211" s="11">
        <v>42777</v>
      </c>
      <c r="B2211" s="10" t="s">
        <v>4741</v>
      </c>
      <c r="C2211" s="10" t="s">
        <v>4742</v>
      </c>
      <c r="D2211" s="11">
        <v>42777.606759259259</v>
      </c>
      <c r="E2211" s="10" t="s">
        <v>320</v>
      </c>
    </row>
    <row r="2212" spans="1:5">
      <c r="A2212" s="11">
        <v>42777</v>
      </c>
      <c r="B2212" s="10" t="s">
        <v>4743</v>
      </c>
      <c r="C2212" s="10" t="s">
        <v>4744</v>
      </c>
      <c r="D2212" s="11">
        <v>42777.2809837963</v>
      </c>
      <c r="E2212" s="10" t="s">
        <v>212</v>
      </c>
    </row>
    <row r="2213" spans="1:5">
      <c r="A2213" s="11">
        <v>42777</v>
      </c>
      <c r="B2213" s="10" t="s">
        <v>4745</v>
      </c>
      <c r="C2213" s="10" t="s">
        <v>4746</v>
      </c>
      <c r="D2213" s="11">
        <v>42777.315474537034</v>
      </c>
      <c r="E2213" s="10" t="s">
        <v>96</v>
      </c>
    </row>
    <row r="2214" spans="1:5">
      <c r="A2214" s="11">
        <v>42777</v>
      </c>
      <c r="B2214" s="10" t="s">
        <v>4747</v>
      </c>
      <c r="C2214" s="10" t="s">
        <v>4748</v>
      </c>
      <c r="D2214" s="11">
        <v>42782.421446759261</v>
      </c>
      <c r="E2214" s="10" t="s">
        <v>308</v>
      </c>
    </row>
    <row r="2215" spans="1:5">
      <c r="A2215" s="11">
        <v>42777</v>
      </c>
      <c r="B2215" s="10" t="s">
        <v>4749</v>
      </c>
      <c r="C2215" s="10" t="s">
        <v>4750</v>
      </c>
      <c r="D2215" s="11">
        <v>42778.873506944445</v>
      </c>
      <c r="E2215" s="10" t="s">
        <v>2180</v>
      </c>
    </row>
    <row r="2216" spans="1:5">
      <c r="A2216" s="11">
        <v>42777</v>
      </c>
      <c r="B2216" s="10" t="s">
        <v>4751</v>
      </c>
      <c r="C2216" s="10" t="s">
        <v>4752</v>
      </c>
      <c r="D2216" s="11">
        <v>42777.376666666663</v>
      </c>
      <c r="E2216" s="10" t="s">
        <v>240</v>
      </c>
    </row>
    <row r="2217" spans="1:5">
      <c r="A2217" s="11">
        <v>42777</v>
      </c>
      <c r="B2217" s="10" t="s">
        <v>4753</v>
      </c>
      <c r="C2217" s="10" t="s">
        <v>4754</v>
      </c>
      <c r="D2217" s="11">
        <v>42778.576423611114</v>
      </c>
      <c r="E2217" s="10" t="s">
        <v>670</v>
      </c>
    </row>
    <row r="2218" spans="1:5">
      <c r="A2218" s="11">
        <v>42777</v>
      </c>
      <c r="B2218" s="10" t="s">
        <v>4755</v>
      </c>
      <c r="C2218" s="10" t="s">
        <v>4756</v>
      </c>
      <c r="D2218" s="11">
        <v>42777.386145833334</v>
      </c>
      <c r="E2218" s="10" t="s">
        <v>218</v>
      </c>
    </row>
    <row r="2219" spans="1:5">
      <c r="A2219" s="11">
        <v>42777</v>
      </c>
      <c r="B2219" s="10" t="s">
        <v>4757</v>
      </c>
      <c r="C2219" s="10" t="s">
        <v>4758</v>
      </c>
      <c r="D2219" s="11">
        <v>42780.703090277777</v>
      </c>
      <c r="E2219" s="10" t="s">
        <v>2191</v>
      </c>
    </row>
    <row r="2220" spans="1:5">
      <c r="A2220" s="11">
        <v>42777</v>
      </c>
      <c r="B2220" s="10" t="s">
        <v>4759</v>
      </c>
      <c r="C2220" s="10" t="s">
        <v>4760</v>
      </c>
      <c r="D2220" s="11">
        <v>42777.405173611114</v>
      </c>
      <c r="E2220" s="10" t="s">
        <v>2201</v>
      </c>
    </row>
    <row r="2221" spans="1:5">
      <c r="A2221" s="11">
        <v>42777</v>
      </c>
      <c r="B2221" s="10" t="s">
        <v>4761</v>
      </c>
      <c r="C2221" s="10" t="s">
        <v>4762</v>
      </c>
      <c r="D2221" s="11">
        <v>42777.406875000001</v>
      </c>
      <c r="E2221" s="10" t="s">
        <v>683</v>
      </c>
    </row>
    <row r="2222" spans="1:5">
      <c r="A2222" s="11">
        <v>42777</v>
      </c>
      <c r="B2222" s="10" t="s">
        <v>4763</v>
      </c>
      <c r="C2222" s="10" t="s">
        <v>4764</v>
      </c>
      <c r="D2222" s="11">
        <v>42779.635821759257</v>
      </c>
      <c r="E2222" s="10" t="s">
        <v>2201</v>
      </c>
    </row>
    <row r="2223" spans="1:5">
      <c r="A2223" s="11">
        <v>42777</v>
      </c>
      <c r="B2223" s="10" t="s">
        <v>4765</v>
      </c>
      <c r="C2223" s="10" t="s">
        <v>4766</v>
      </c>
      <c r="D2223" s="11">
        <v>42777.427372685182</v>
      </c>
      <c r="E2223" s="10" t="s">
        <v>212</v>
      </c>
    </row>
    <row r="2224" spans="1:5">
      <c r="A2224" s="11">
        <v>42777</v>
      </c>
      <c r="B2224" s="10" t="s">
        <v>4767</v>
      </c>
      <c r="C2224" s="10" t="s">
        <v>4768</v>
      </c>
      <c r="D2224" s="11">
        <v>42777.43822916667</v>
      </c>
      <c r="E2224" s="10" t="s">
        <v>320</v>
      </c>
    </row>
    <row r="2225" spans="1:5">
      <c r="A2225" s="11">
        <v>42777</v>
      </c>
      <c r="B2225" s="10" t="s">
        <v>4769</v>
      </c>
      <c r="C2225" s="10" t="s">
        <v>4770</v>
      </c>
      <c r="D2225" s="11">
        <v>42782.628113425926</v>
      </c>
      <c r="E2225" s="10" t="s">
        <v>308</v>
      </c>
    </row>
    <row r="2226" spans="1:5">
      <c r="A2226" s="11">
        <v>42777</v>
      </c>
      <c r="B2226" s="10" t="s">
        <v>4771</v>
      </c>
      <c r="C2226" s="10" t="s">
        <v>4772</v>
      </c>
      <c r="D2226" s="11">
        <v>42781.860844907409</v>
      </c>
      <c r="E2226" s="10" t="s">
        <v>683</v>
      </c>
    </row>
    <row r="2227" spans="1:5">
      <c r="A2227" s="11">
        <v>42777</v>
      </c>
      <c r="B2227" s="10" t="s">
        <v>4773</v>
      </c>
      <c r="C2227" s="10" t="s">
        <v>4774</v>
      </c>
      <c r="D2227" s="11">
        <v>42778.509386574071</v>
      </c>
      <c r="E2227" s="10" t="s">
        <v>2515</v>
      </c>
    </row>
    <row r="2228" spans="1:5">
      <c r="A2228" s="11">
        <v>42777</v>
      </c>
      <c r="B2228" s="10" t="s">
        <v>4775</v>
      </c>
      <c r="C2228" s="10" t="s">
        <v>4776</v>
      </c>
      <c r="D2228" s="11">
        <v>42782.591817129629</v>
      </c>
      <c r="E2228" s="10" t="s">
        <v>152</v>
      </c>
    </row>
    <row r="2229" spans="1:5">
      <c r="A2229" s="11">
        <v>42777</v>
      </c>
      <c r="B2229" s="10" t="s">
        <v>4777</v>
      </c>
      <c r="C2229" s="10" t="s">
        <v>4778</v>
      </c>
      <c r="D2229" s="11">
        <v>42782.612349537034</v>
      </c>
      <c r="E2229" s="10" t="s">
        <v>193</v>
      </c>
    </row>
    <row r="2230" spans="1:5">
      <c r="A2230" s="11">
        <v>42777</v>
      </c>
      <c r="B2230" s="10" t="s">
        <v>4779</v>
      </c>
      <c r="C2230" s="10" t="s">
        <v>4780</v>
      </c>
      <c r="D2230" s="11">
        <v>42781.463958333334</v>
      </c>
      <c r="E2230" s="10" t="s">
        <v>178</v>
      </c>
    </row>
    <row r="2231" spans="1:5" ht="21.6">
      <c r="A2231" s="11">
        <v>42777</v>
      </c>
      <c r="B2231" s="10" t="s">
        <v>4781</v>
      </c>
      <c r="C2231" s="10" t="s">
        <v>4782</v>
      </c>
      <c r="D2231" s="11">
        <v>42782.58489583333</v>
      </c>
      <c r="E2231" s="10" t="s">
        <v>1758</v>
      </c>
    </row>
    <row r="2232" spans="1:5">
      <c r="A2232" s="11">
        <v>42777</v>
      </c>
      <c r="B2232" s="10" t="s">
        <v>4783</v>
      </c>
      <c r="C2232" s="10" t="s">
        <v>4784</v>
      </c>
      <c r="D2232" s="11">
        <v>42782.48704861111</v>
      </c>
      <c r="E2232" s="10" t="s">
        <v>2742</v>
      </c>
    </row>
    <row r="2233" spans="1:5">
      <c r="A2233" s="11">
        <v>42777</v>
      </c>
      <c r="B2233" s="10" t="s">
        <v>4785</v>
      </c>
      <c r="C2233" s="10" t="s">
        <v>4786</v>
      </c>
      <c r="D2233" s="11">
        <v>42780.56</v>
      </c>
      <c r="E2233" s="10" t="s">
        <v>143</v>
      </c>
    </row>
    <row r="2234" spans="1:5">
      <c r="A2234" s="11">
        <v>42777</v>
      </c>
      <c r="B2234" s="10" t="s">
        <v>4787</v>
      </c>
      <c r="C2234" s="10" t="s">
        <v>4788</v>
      </c>
      <c r="D2234" s="11">
        <v>42777.507210648146</v>
      </c>
      <c r="E2234" s="10" t="s">
        <v>2515</v>
      </c>
    </row>
    <row r="2235" spans="1:5">
      <c r="A2235" s="11">
        <v>42777</v>
      </c>
      <c r="B2235" s="10" t="s">
        <v>4789</v>
      </c>
      <c r="C2235" s="10" t="s">
        <v>4790</v>
      </c>
      <c r="D2235" s="11">
        <v>42777.525578703702</v>
      </c>
      <c r="E2235" s="10" t="s">
        <v>320</v>
      </c>
    </row>
    <row r="2236" spans="1:5" ht="21.6">
      <c r="A2236" s="11">
        <v>42777</v>
      </c>
      <c r="B2236" s="10" t="s">
        <v>4791</v>
      </c>
      <c r="C2236" s="10" t="s">
        <v>4792</v>
      </c>
      <c r="D2236" s="11">
        <v>42777.537835648145</v>
      </c>
      <c r="E2236" s="10" t="s">
        <v>2554</v>
      </c>
    </row>
    <row r="2237" spans="1:5">
      <c r="A2237" s="11">
        <v>42777</v>
      </c>
      <c r="B2237" s="10" t="s">
        <v>4793</v>
      </c>
      <c r="C2237" s="10" t="s">
        <v>4794</v>
      </c>
      <c r="D2237" s="11">
        <v>42777.555347222224</v>
      </c>
      <c r="E2237" s="10" t="s">
        <v>212</v>
      </c>
    </row>
    <row r="2238" spans="1:5">
      <c r="A2238" s="11">
        <v>42777</v>
      </c>
      <c r="B2238" s="10" t="s">
        <v>4795</v>
      </c>
      <c r="C2238" s="10" t="s">
        <v>4796</v>
      </c>
      <c r="D2238" s="11">
        <v>42782.473530092589</v>
      </c>
      <c r="E2238" s="10" t="s">
        <v>2183</v>
      </c>
    </row>
    <row r="2239" spans="1:5">
      <c r="A2239" s="11">
        <v>42777</v>
      </c>
      <c r="B2239" s="10" t="s">
        <v>4797</v>
      </c>
      <c r="C2239" s="10" t="s">
        <v>4798</v>
      </c>
      <c r="D2239" s="11">
        <v>42782.438946759263</v>
      </c>
      <c r="E2239" s="10" t="s">
        <v>656</v>
      </c>
    </row>
    <row r="2240" spans="1:5">
      <c r="A2240" s="11">
        <v>42777</v>
      </c>
      <c r="B2240" s="10" t="s">
        <v>4799</v>
      </c>
      <c r="C2240" s="10" t="s">
        <v>4800</v>
      </c>
      <c r="D2240" s="11">
        <v>42777.582129629627</v>
      </c>
      <c r="E2240" s="10" t="s">
        <v>380</v>
      </c>
    </row>
    <row r="2241" spans="1:5">
      <c r="A2241" s="11">
        <v>42777</v>
      </c>
      <c r="B2241" s="10" t="s">
        <v>4801</v>
      </c>
      <c r="C2241" s="10" t="s">
        <v>4802</v>
      </c>
      <c r="D2241" s="11">
        <v>42780.780949074076</v>
      </c>
      <c r="E2241" s="10" t="s">
        <v>2742</v>
      </c>
    </row>
    <row r="2242" spans="1:5">
      <c r="A2242" s="11">
        <v>42777</v>
      </c>
      <c r="B2242" s="10" t="s">
        <v>4803</v>
      </c>
      <c r="C2242" s="10" t="s">
        <v>4804</v>
      </c>
      <c r="D2242" s="11">
        <v>42777.588310185187</v>
      </c>
      <c r="E2242" s="10" t="s">
        <v>4805</v>
      </c>
    </row>
    <row r="2243" spans="1:5">
      <c r="A2243" s="11">
        <v>42777</v>
      </c>
      <c r="B2243" s="10" t="s">
        <v>4806</v>
      </c>
      <c r="C2243" s="10" t="s">
        <v>4807</v>
      </c>
      <c r="D2243" s="11">
        <v>42779.300636574073</v>
      </c>
      <c r="E2243" s="10" t="s">
        <v>683</v>
      </c>
    </row>
    <row r="2244" spans="1:5">
      <c r="A2244" s="11">
        <v>42777</v>
      </c>
      <c r="B2244" s="10" t="s">
        <v>4808</v>
      </c>
      <c r="C2244" s="10" t="s">
        <v>4809</v>
      </c>
      <c r="D2244" s="11">
        <v>42777.604687500003</v>
      </c>
      <c r="E2244" s="10" t="s">
        <v>320</v>
      </c>
    </row>
    <row r="2245" spans="1:5">
      <c r="A2245" s="11">
        <v>42777</v>
      </c>
      <c r="B2245" s="10" t="s">
        <v>4810</v>
      </c>
      <c r="C2245" s="10" t="s">
        <v>4811</v>
      </c>
      <c r="D2245" s="11">
        <v>42777.619120370371</v>
      </c>
      <c r="E2245" s="10" t="s">
        <v>433</v>
      </c>
    </row>
    <row r="2246" spans="1:5">
      <c r="A2246" s="11">
        <v>42777</v>
      </c>
      <c r="B2246" s="10" t="s">
        <v>4812</v>
      </c>
      <c r="C2246" s="10" t="s">
        <v>4813</v>
      </c>
      <c r="D2246" s="11">
        <v>42779.517939814818</v>
      </c>
      <c r="E2246" s="10" t="s">
        <v>380</v>
      </c>
    </row>
    <row r="2247" spans="1:5">
      <c r="A2247" s="11">
        <v>42777</v>
      </c>
      <c r="B2247" s="10" t="s">
        <v>4814</v>
      </c>
      <c r="C2247" s="10" t="s">
        <v>4815</v>
      </c>
      <c r="D2247" s="11">
        <v>42777.631956018522</v>
      </c>
      <c r="E2247" s="10" t="s">
        <v>3559</v>
      </c>
    </row>
    <row r="2248" spans="1:5">
      <c r="A2248" s="11">
        <v>42777</v>
      </c>
      <c r="B2248" s="10" t="s">
        <v>4816</v>
      </c>
      <c r="C2248" s="10" t="s">
        <v>4817</v>
      </c>
      <c r="D2248" s="11">
        <v>42779.525069444448</v>
      </c>
      <c r="E2248" s="10" t="s">
        <v>380</v>
      </c>
    </row>
    <row r="2249" spans="1:5">
      <c r="A2249" s="11">
        <v>42777</v>
      </c>
      <c r="B2249" s="10" t="s">
        <v>4818</v>
      </c>
      <c r="C2249" s="10" t="s">
        <v>4819</v>
      </c>
      <c r="D2249" s="11">
        <v>42782.589965277781</v>
      </c>
      <c r="E2249" s="10" t="s">
        <v>152</v>
      </c>
    </row>
    <row r="2250" spans="1:5">
      <c r="A2250" s="11">
        <v>42777</v>
      </c>
      <c r="B2250" s="10" t="s">
        <v>4820</v>
      </c>
      <c r="C2250" s="10" t="s">
        <v>4821</v>
      </c>
      <c r="D2250" s="11">
        <v>42781.513773148145</v>
      </c>
      <c r="E2250" s="10" t="s">
        <v>433</v>
      </c>
    </row>
    <row r="2251" spans="1:5">
      <c r="A2251" s="11">
        <v>42777</v>
      </c>
      <c r="B2251" s="10" t="s">
        <v>4822</v>
      </c>
      <c r="C2251" s="10" t="s">
        <v>4823</v>
      </c>
      <c r="D2251" s="11">
        <v>42777.645405092589</v>
      </c>
      <c r="E2251" s="10" t="s">
        <v>373</v>
      </c>
    </row>
    <row r="2252" spans="1:5">
      <c r="A2252" s="11">
        <v>42777</v>
      </c>
      <c r="B2252" s="10" t="s">
        <v>4824</v>
      </c>
      <c r="C2252" s="10" t="s">
        <v>4825</v>
      </c>
      <c r="D2252" s="11">
        <v>42780.562395833331</v>
      </c>
      <c r="E2252" s="10" t="s">
        <v>2515</v>
      </c>
    </row>
    <row r="2253" spans="1:5">
      <c r="A2253" s="11">
        <v>42777</v>
      </c>
      <c r="B2253" s="10" t="s">
        <v>4826</v>
      </c>
      <c r="C2253" s="10" t="s">
        <v>4827</v>
      </c>
      <c r="D2253" s="11">
        <v>42777.656666666669</v>
      </c>
      <c r="E2253" s="10" t="s">
        <v>380</v>
      </c>
    </row>
    <row r="2254" spans="1:5">
      <c r="A2254" s="11">
        <v>42777</v>
      </c>
      <c r="B2254" s="10" t="s">
        <v>4828</v>
      </c>
      <c r="C2254" s="10" t="s">
        <v>4829</v>
      </c>
      <c r="D2254" s="11">
        <v>42781.898217592592</v>
      </c>
      <c r="E2254" s="10" t="s">
        <v>308</v>
      </c>
    </row>
    <row r="2255" spans="1:5">
      <c r="A2255" s="11">
        <v>42777</v>
      </c>
      <c r="B2255" s="10" t="s">
        <v>4830</v>
      </c>
      <c r="C2255" s="10" t="s">
        <v>4831</v>
      </c>
      <c r="D2255" s="11">
        <v>42782.437604166669</v>
      </c>
      <c r="E2255" s="10" t="s">
        <v>143</v>
      </c>
    </row>
    <row r="2256" spans="1:5">
      <c r="A2256" s="11">
        <v>42777</v>
      </c>
      <c r="B2256" s="10" t="s">
        <v>4832</v>
      </c>
      <c r="C2256" s="10" t="s">
        <v>4833</v>
      </c>
      <c r="D2256" s="11">
        <v>42777.702025462961</v>
      </c>
      <c r="E2256" s="10" t="s">
        <v>380</v>
      </c>
    </row>
    <row r="2257" spans="1:5">
      <c r="A2257" s="11">
        <v>42777</v>
      </c>
      <c r="B2257" s="10" t="s">
        <v>4834</v>
      </c>
      <c r="C2257" s="10" t="s">
        <v>4835</v>
      </c>
      <c r="D2257" s="11">
        <v>42777.713692129626</v>
      </c>
      <c r="E2257" s="10" t="s">
        <v>373</v>
      </c>
    </row>
    <row r="2258" spans="1:5">
      <c r="A2258" s="11">
        <v>42777</v>
      </c>
      <c r="B2258" s="10" t="s">
        <v>4836</v>
      </c>
      <c r="C2258" s="10" t="s">
        <v>4837</v>
      </c>
      <c r="D2258" s="11">
        <v>42778.420856481483</v>
      </c>
      <c r="E2258" s="10" t="s">
        <v>653</v>
      </c>
    </row>
    <row r="2259" spans="1:5">
      <c r="A2259" s="11">
        <v>42777</v>
      </c>
      <c r="B2259" s="10" t="s">
        <v>4838</v>
      </c>
      <c r="C2259" s="10" t="s">
        <v>4839</v>
      </c>
      <c r="D2259" s="11">
        <v>42782.703449074077</v>
      </c>
      <c r="E2259" s="10" t="s">
        <v>479</v>
      </c>
    </row>
    <row r="2260" spans="1:5">
      <c r="A2260" s="11">
        <v>42777</v>
      </c>
      <c r="B2260" s="10" t="s">
        <v>4840</v>
      </c>
      <c r="C2260" s="10" t="s">
        <v>4841</v>
      </c>
      <c r="D2260" s="11">
        <v>42781.711504629631</v>
      </c>
      <c r="E2260" s="10" t="s">
        <v>2201</v>
      </c>
    </row>
    <row r="2261" spans="1:5">
      <c r="A2261" s="11">
        <v>42777</v>
      </c>
      <c r="B2261" s="10" t="s">
        <v>4842</v>
      </c>
      <c r="C2261" s="10" t="s">
        <v>4843</v>
      </c>
      <c r="D2261" s="11">
        <v>42777.738761574074</v>
      </c>
      <c r="E2261" s="10" t="s">
        <v>209</v>
      </c>
    </row>
    <row r="2262" spans="1:5">
      <c r="A2262" s="11">
        <v>42777</v>
      </c>
      <c r="B2262" s="10" t="s">
        <v>4844</v>
      </c>
      <c r="C2262" s="10" t="s">
        <v>4845</v>
      </c>
      <c r="D2262" s="11">
        <v>42777.743344907409</v>
      </c>
      <c r="E2262" s="10" t="s">
        <v>433</v>
      </c>
    </row>
    <row r="2263" spans="1:5">
      <c r="A2263" s="11">
        <v>42777</v>
      </c>
      <c r="B2263" s="10" t="s">
        <v>4846</v>
      </c>
      <c r="C2263" s="10" t="s">
        <v>4847</v>
      </c>
      <c r="D2263" s="11">
        <v>42782.485497685186</v>
      </c>
      <c r="E2263" s="10" t="s">
        <v>155</v>
      </c>
    </row>
    <row r="2264" spans="1:5">
      <c r="A2264" s="11">
        <v>42777</v>
      </c>
      <c r="B2264" s="10" t="s">
        <v>4848</v>
      </c>
      <c r="C2264" s="10" t="s">
        <v>4849</v>
      </c>
      <c r="D2264" s="11">
        <v>42777.757407407407</v>
      </c>
      <c r="E2264" s="10" t="s">
        <v>212</v>
      </c>
    </row>
    <row r="2265" spans="1:5">
      <c r="A2265" s="11">
        <v>42777</v>
      </c>
      <c r="B2265" s="10" t="s">
        <v>4850</v>
      </c>
      <c r="C2265" s="10" t="s">
        <v>4851</v>
      </c>
      <c r="D2265" s="11">
        <v>42779.660069444442</v>
      </c>
      <c r="E2265" s="10" t="s">
        <v>2201</v>
      </c>
    </row>
    <row r="2266" spans="1:5">
      <c r="A2266" s="11">
        <v>42777</v>
      </c>
      <c r="B2266" s="10" t="s">
        <v>4852</v>
      </c>
      <c r="C2266" s="10" t="s">
        <v>4853</v>
      </c>
      <c r="D2266" s="11">
        <v>42779.362175925926</v>
      </c>
      <c r="E2266" s="10" t="s">
        <v>373</v>
      </c>
    </row>
    <row r="2267" spans="1:5">
      <c r="A2267" s="11">
        <v>42777</v>
      </c>
      <c r="B2267" s="10" t="s">
        <v>4854</v>
      </c>
      <c r="C2267" s="10" t="s">
        <v>4855</v>
      </c>
      <c r="D2267" s="11">
        <v>42779.77611111111</v>
      </c>
      <c r="E2267" s="10" t="s">
        <v>320</v>
      </c>
    </row>
    <row r="2268" spans="1:5">
      <c r="A2268" s="11">
        <v>42777</v>
      </c>
      <c r="B2268" s="10" t="s">
        <v>4856</v>
      </c>
      <c r="C2268" s="10" t="s">
        <v>4857</v>
      </c>
      <c r="D2268" s="11">
        <v>42777.808148148149</v>
      </c>
      <c r="E2268" s="10" t="s">
        <v>707</v>
      </c>
    </row>
    <row r="2269" spans="1:5">
      <c r="A2269" s="11">
        <v>42777</v>
      </c>
      <c r="B2269" s="10" t="s">
        <v>4858</v>
      </c>
      <c r="C2269" s="10" t="s">
        <v>4859</v>
      </c>
      <c r="D2269" s="11">
        <v>42781.765416666669</v>
      </c>
      <c r="E2269" s="10" t="s">
        <v>433</v>
      </c>
    </row>
    <row r="2270" spans="1:5">
      <c r="A2270" s="11">
        <v>42777</v>
      </c>
      <c r="B2270" s="10" t="s">
        <v>4860</v>
      </c>
      <c r="C2270" s="10" t="s">
        <v>4861</v>
      </c>
      <c r="D2270" s="11">
        <v>42782.568993055553</v>
      </c>
      <c r="E2270" s="10" t="s">
        <v>4862</v>
      </c>
    </row>
    <row r="2271" spans="1:5">
      <c r="A2271" s="11">
        <v>42777</v>
      </c>
      <c r="B2271" s="10" t="s">
        <v>4863</v>
      </c>
      <c r="C2271" s="10" t="s">
        <v>4864</v>
      </c>
      <c r="D2271" s="11">
        <v>42777.879201388889</v>
      </c>
      <c r="E2271" s="10" t="s">
        <v>4865</v>
      </c>
    </row>
    <row r="2272" spans="1:5">
      <c r="A2272" s="11">
        <v>42777</v>
      </c>
      <c r="B2272" s="10" t="s">
        <v>4866</v>
      </c>
      <c r="C2272" s="10" t="s">
        <v>4867</v>
      </c>
      <c r="D2272" s="11">
        <v>42781.501111111109</v>
      </c>
      <c r="E2272" s="10" t="s">
        <v>433</v>
      </c>
    </row>
    <row r="2273" spans="1:5">
      <c r="A2273" s="11">
        <v>42777</v>
      </c>
      <c r="B2273" s="10" t="s">
        <v>4868</v>
      </c>
      <c r="C2273" s="10" t="s">
        <v>4869</v>
      </c>
      <c r="D2273" s="11">
        <v>42781.7969212963</v>
      </c>
      <c r="E2273" s="10" t="s">
        <v>2266</v>
      </c>
    </row>
    <row r="2274" spans="1:5">
      <c r="A2274" s="11">
        <v>42777</v>
      </c>
      <c r="B2274" s="10" t="s">
        <v>4870</v>
      </c>
      <c r="C2274" s="10" t="s">
        <v>4871</v>
      </c>
      <c r="D2274" s="11">
        <v>42777.892997685187</v>
      </c>
      <c r="E2274" s="10" t="s">
        <v>707</v>
      </c>
    </row>
    <row r="2275" spans="1:5">
      <c r="A2275" s="11">
        <v>42777</v>
      </c>
      <c r="B2275" s="10" t="s">
        <v>4872</v>
      </c>
      <c r="C2275" s="10" t="s">
        <v>4873</v>
      </c>
      <c r="D2275" s="11">
        <v>42777.942997685182</v>
      </c>
      <c r="E2275" s="10" t="s">
        <v>320</v>
      </c>
    </row>
    <row r="2276" spans="1:5">
      <c r="A2276" s="11">
        <v>42777</v>
      </c>
      <c r="B2276" s="10" t="s">
        <v>4874</v>
      </c>
      <c r="C2276" s="10" t="s">
        <v>4875</v>
      </c>
      <c r="D2276" s="11">
        <v>42777.943240740744</v>
      </c>
      <c r="E2276" s="10" t="s">
        <v>320</v>
      </c>
    </row>
    <row r="2277" spans="1:5">
      <c r="A2277" s="11">
        <v>42777</v>
      </c>
      <c r="B2277" s="10" t="s">
        <v>4876</v>
      </c>
      <c r="C2277" s="10" t="s">
        <v>4877</v>
      </c>
      <c r="D2277" s="11">
        <v>42782.565648148149</v>
      </c>
      <c r="E2277" s="10" t="s">
        <v>122</v>
      </c>
    </row>
    <row r="2278" spans="1:5">
      <c r="A2278" s="11">
        <v>42777</v>
      </c>
      <c r="B2278" s="10" t="s">
        <v>4878</v>
      </c>
      <c r="C2278" s="10" t="s">
        <v>4879</v>
      </c>
      <c r="D2278" s="11">
        <v>42781.716678240744</v>
      </c>
      <c r="E2278" s="10" t="s">
        <v>683</v>
      </c>
    </row>
    <row r="2279" spans="1:5">
      <c r="A2279" s="11">
        <v>42777</v>
      </c>
      <c r="B2279" s="10" t="s">
        <v>4880</v>
      </c>
      <c r="C2279" s="10" t="s">
        <v>4881</v>
      </c>
      <c r="D2279" s="11">
        <v>42782.613877314812</v>
      </c>
      <c r="E2279" s="10" t="s">
        <v>683</v>
      </c>
    </row>
    <row r="2280" spans="1:5">
      <c r="A2280" s="11">
        <v>42778</v>
      </c>
      <c r="B2280" s="10" t="s">
        <v>4882</v>
      </c>
      <c r="C2280" s="10" t="s">
        <v>4883</v>
      </c>
      <c r="D2280" s="11">
        <v>42779.590624999997</v>
      </c>
      <c r="E2280" s="10" t="s">
        <v>479</v>
      </c>
    </row>
    <row r="2281" spans="1:5">
      <c r="A2281" s="11">
        <v>42778</v>
      </c>
      <c r="B2281" s="10" t="s">
        <v>4884</v>
      </c>
      <c r="C2281" s="10" t="s">
        <v>4885</v>
      </c>
      <c r="D2281" s="11">
        <v>42778.324537037035</v>
      </c>
      <c r="E2281" s="10" t="s">
        <v>108</v>
      </c>
    </row>
    <row r="2282" spans="1:5">
      <c r="A2282" s="11">
        <v>42778</v>
      </c>
      <c r="B2282" s="10" t="s">
        <v>4886</v>
      </c>
      <c r="C2282" s="10" t="s">
        <v>4887</v>
      </c>
      <c r="D2282" s="11">
        <v>42781.739583333336</v>
      </c>
      <c r="E2282" s="10" t="s">
        <v>433</v>
      </c>
    </row>
    <row r="2283" spans="1:5">
      <c r="A2283" s="11">
        <v>42778</v>
      </c>
      <c r="B2283" s="10" t="s">
        <v>4888</v>
      </c>
      <c r="C2283" s="10" t="s">
        <v>4889</v>
      </c>
      <c r="D2283" s="11">
        <v>42778.62394675926</v>
      </c>
      <c r="E2283" s="10" t="s">
        <v>2201</v>
      </c>
    </row>
    <row r="2284" spans="1:5">
      <c r="A2284" s="11">
        <v>42778</v>
      </c>
      <c r="B2284" s="10" t="s">
        <v>4890</v>
      </c>
      <c r="C2284" s="10" t="s">
        <v>4891</v>
      </c>
      <c r="D2284" s="11">
        <v>42780.749097222222</v>
      </c>
      <c r="E2284" s="10" t="s">
        <v>122</v>
      </c>
    </row>
    <row r="2285" spans="1:5">
      <c r="A2285" s="11">
        <v>42778</v>
      </c>
      <c r="B2285" s="10" t="s">
        <v>4892</v>
      </c>
      <c r="C2285" s="10" t="s">
        <v>4893</v>
      </c>
      <c r="D2285" s="11">
        <v>42778.383715277778</v>
      </c>
      <c r="E2285" s="10" t="s">
        <v>218</v>
      </c>
    </row>
    <row r="2286" spans="1:5" ht="21.6">
      <c r="A2286" s="11">
        <v>42778</v>
      </c>
      <c r="B2286" s="10" t="s">
        <v>4894</v>
      </c>
      <c r="C2286" s="10" t="s">
        <v>4895</v>
      </c>
      <c r="D2286" s="11">
        <v>42781.687060185184</v>
      </c>
      <c r="E2286" s="10" t="s">
        <v>171</v>
      </c>
    </row>
    <row r="2287" spans="1:5">
      <c r="A2287" s="11">
        <v>42778</v>
      </c>
      <c r="B2287" s="10" t="s">
        <v>4896</v>
      </c>
      <c r="C2287" s="10" t="s">
        <v>4897</v>
      </c>
      <c r="D2287" s="11">
        <v>42782.528136574074</v>
      </c>
      <c r="E2287" s="10" t="s">
        <v>4898</v>
      </c>
    </row>
    <row r="2288" spans="1:5">
      <c r="A2288" s="11">
        <v>42778</v>
      </c>
      <c r="B2288" s="10" t="s">
        <v>4899</v>
      </c>
      <c r="C2288" s="10" t="s">
        <v>4900</v>
      </c>
      <c r="D2288" s="11">
        <v>42781.867546296293</v>
      </c>
      <c r="E2288" s="10" t="s">
        <v>209</v>
      </c>
    </row>
    <row r="2289" spans="1:5">
      <c r="A2289" s="11">
        <v>42778</v>
      </c>
      <c r="B2289" s="10" t="s">
        <v>4901</v>
      </c>
      <c r="C2289" s="10" t="s">
        <v>4902</v>
      </c>
      <c r="D2289" s="11">
        <v>42782.320937500001</v>
      </c>
      <c r="E2289" s="10" t="s">
        <v>122</v>
      </c>
    </row>
    <row r="2290" spans="1:5">
      <c r="A2290" s="11">
        <v>42778</v>
      </c>
      <c r="B2290" s="10" t="s">
        <v>4903</v>
      </c>
      <c r="C2290" s="10" t="s">
        <v>4904</v>
      </c>
      <c r="D2290" s="11">
        <v>42782.590312499997</v>
      </c>
      <c r="E2290" s="10" t="s">
        <v>433</v>
      </c>
    </row>
    <row r="2291" spans="1:5">
      <c r="A2291" s="11">
        <v>42778</v>
      </c>
      <c r="B2291" s="10" t="s">
        <v>4905</v>
      </c>
      <c r="C2291" s="10" t="s">
        <v>4906</v>
      </c>
      <c r="D2291" s="11">
        <v>42778.521168981482</v>
      </c>
      <c r="E2291" s="10" t="s">
        <v>2823</v>
      </c>
    </row>
    <row r="2292" spans="1:5">
      <c r="A2292" s="11">
        <v>42778</v>
      </c>
      <c r="B2292" s="10" t="s">
        <v>4907</v>
      </c>
      <c r="C2292" s="10" t="s">
        <v>4908</v>
      </c>
      <c r="D2292" s="11">
        <v>42782.495150462964</v>
      </c>
      <c r="E2292" s="10" t="s">
        <v>2180</v>
      </c>
    </row>
    <row r="2293" spans="1:5">
      <c r="A2293" s="11">
        <v>42778</v>
      </c>
      <c r="B2293" s="10" t="s">
        <v>4909</v>
      </c>
      <c r="C2293" s="10" t="s">
        <v>4910</v>
      </c>
      <c r="D2293" s="11">
        <v>42781.479594907411</v>
      </c>
      <c r="E2293" s="10" t="s">
        <v>2554</v>
      </c>
    </row>
    <row r="2294" spans="1:5">
      <c r="A2294" s="11">
        <v>42778</v>
      </c>
      <c r="B2294" s="10" t="s">
        <v>4911</v>
      </c>
      <c r="C2294" s="10" t="s">
        <v>4912</v>
      </c>
      <c r="D2294" s="11">
        <v>42780.47760416667</v>
      </c>
      <c r="E2294" s="10" t="s">
        <v>96</v>
      </c>
    </row>
    <row r="2295" spans="1:5">
      <c r="A2295" s="11">
        <v>42778</v>
      </c>
      <c r="B2295" s="10" t="s">
        <v>4913</v>
      </c>
      <c r="C2295" s="10" t="s">
        <v>4914</v>
      </c>
      <c r="D2295" s="11">
        <v>42781.839733796296</v>
      </c>
      <c r="E2295" s="10" t="s">
        <v>433</v>
      </c>
    </row>
    <row r="2296" spans="1:5">
      <c r="A2296" s="11">
        <v>42778</v>
      </c>
      <c r="B2296" s="10" t="s">
        <v>4915</v>
      </c>
      <c r="C2296" s="10" t="s">
        <v>4916</v>
      </c>
      <c r="D2296" s="11">
        <v>42778.576863425929</v>
      </c>
      <c r="E2296" s="10" t="s">
        <v>625</v>
      </c>
    </row>
    <row r="2297" spans="1:5">
      <c r="A2297" s="11">
        <v>42778</v>
      </c>
      <c r="B2297" s="10" t="s">
        <v>4917</v>
      </c>
      <c r="C2297" s="10" t="s">
        <v>4918</v>
      </c>
      <c r="D2297" s="11">
        <v>42780.423831018517</v>
      </c>
      <c r="E2297" s="10" t="s">
        <v>683</v>
      </c>
    </row>
    <row r="2298" spans="1:5">
      <c r="A2298" s="11">
        <v>42778</v>
      </c>
      <c r="B2298" s="10" t="s">
        <v>4919</v>
      </c>
      <c r="C2298" s="10" t="s">
        <v>4920</v>
      </c>
      <c r="D2298" s="11">
        <v>42778.570034722223</v>
      </c>
      <c r="E2298" s="10" t="s">
        <v>1696</v>
      </c>
    </row>
    <row r="2299" spans="1:5">
      <c r="A2299" s="11">
        <v>42778</v>
      </c>
      <c r="B2299" s="10" t="s">
        <v>4921</v>
      </c>
      <c r="C2299" s="10" t="s">
        <v>4922</v>
      </c>
      <c r="D2299" s="11">
        <v>42781.647962962961</v>
      </c>
      <c r="E2299" s="10" t="s">
        <v>2139</v>
      </c>
    </row>
    <row r="2300" spans="1:5">
      <c r="A2300" s="11">
        <v>42778</v>
      </c>
      <c r="B2300" s="10" t="s">
        <v>4923</v>
      </c>
      <c r="C2300" s="10" t="s">
        <v>4924</v>
      </c>
      <c r="D2300" s="11">
        <v>42778.850358796299</v>
      </c>
      <c r="E2300" s="10" t="s">
        <v>4045</v>
      </c>
    </row>
    <row r="2301" spans="1:5">
      <c r="A2301" s="11">
        <v>42778</v>
      </c>
      <c r="B2301" s="10" t="s">
        <v>4925</v>
      </c>
      <c r="C2301" s="10" t="s">
        <v>4926</v>
      </c>
      <c r="D2301" s="11">
        <v>42781.39271990741</v>
      </c>
      <c r="E2301" s="10" t="s">
        <v>237</v>
      </c>
    </row>
    <row r="2302" spans="1:5">
      <c r="A2302" s="11">
        <v>42778</v>
      </c>
      <c r="B2302" s="10" t="s">
        <v>4927</v>
      </c>
      <c r="C2302" s="10" t="s">
        <v>4928</v>
      </c>
      <c r="D2302" s="11">
        <v>42778.591782407406</v>
      </c>
      <c r="E2302" s="10" t="s">
        <v>2515</v>
      </c>
    </row>
    <row r="2303" spans="1:5">
      <c r="A2303" s="11">
        <v>42778</v>
      </c>
      <c r="B2303" s="10" t="s">
        <v>4929</v>
      </c>
      <c r="C2303" s="10" t="s">
        <v>4930</v>
      </c>
      <c r="D2303" s="11">
        <v>42780.676840277774</v>
      </c>
      <c r="E2303" s="10" t="s">
        <v>433</v>
      </c>
    </row>
    <row r="2304" spans="1:5">
      <c r="A2304" s="11">
        <v>42778</v>
      </c>
      <c r="B2304" s="10" t="s">
        <v>4931</v>
      </c>
      <c r="C2304" s="10" t="s">
        <v>4932</v>
      </c>
      <c r="D2304" s="11">
        <v>42778.615381944444</v>
      </c>
      <c r="E2304" s="10" t="s">
        <v>240</v>
      </c>
    </row>
    <row r="2305" spans="1:5">
      <c r="A2305" s="11">
        <v>42778</v>
      </c>
      <c r="B2305" s="10" t="s">
        <v>4933</v>
      </c>
      <c r="C2305" s="10" t="s">
        <v>4934</v>
      </c>
      <c r="D2305" s="11">
        <v>42782.563530092593</v>
      </c>
      <c r="E2305" s="10" t="s">
        <v>193</v>
      </c>
    </row>
    <row r="2306" spans="1:5">
      <c r="A2306" s="11">
        <v>42778</v>
      </c>
      <c r="B2306" s="10" t="s">
        <v>4935</v>
      </c>
      <c r="C2306" s="10" t="s">
        <v>4936</v>
      </c>
      <c r="D2306" s="11">
        <v>42779.821157407408</v>
      </c>
      <c r="E2306" s="10" t="s">
        <v>3550</v>
      </c>
    </row>
    <row r="2307" spans="1:5">
      <c r="A2307" s="11">
        <v>42778</v>
      </c>
      <c r="B2307" s="10" t="s">
        <v>4937</v>
      </c>
      <c r="C2307" s="10" t="s">
        <v>4938</v>
      </c>
      <c r="D2307" s="11">
        <v>42779.545486111114</v>
      </c>
      <c r="E2307" s="10" t="s">
        <v>683</v>
      </c>
    </row>
    <row r="2308" spans="1:5">
      <c r="A2308" s="11">
        <v>42778</v>
      </c>
      <c r="B2308" s="10" t="s">
        <v>4939</v>
      </c>
      <c r="C2308" s="10" t="s">
        <v>4940</v>
      </c>
      <c r="D2308" s="11">
        <v>42778.635266203702</v>
      </c>
      <c r="E2308" s="10" t="s">
        <v>122</v>
      </c>
    </row>
    <row r="2309" spans="1:5" ht="21.6">
      <c r="A2309" s="11">
        <v>42778</v>
      </c>
      <c r="B2309" s="10" t="s">
        <v>4941</v>
      </c>
      <c r="C2309" s="10" t="s">
        <v>4942</v>
      </c>
      <c r="D2309" s="11">
        <v>42780.507141203707</v>
      </c>
      <c r="E2309" s="10" t="s">
        <v>2299</v>
      </c>
    </row>
    <row r="2310" spans="1:5">
      <c r="A2310" s="11">
        <v>42778</v>
      </c>
      <c r="B2310" s="10" t="s">
        <v>4943</v>
      </c>
      <c r="C2310" s="10" t="s">
        <v>4944</v>
      </c>
      <c r="D2310" s="11">
        <v>42778.639201388891</v>
      </c>
      <c r="E2310" s="10" t="s">
        <v>373</v>
      </c>
    </row>
    <row r="2311" spans="1:5">
      <c r="A2311" s="11">
        <v>42778</v>
      </c>
      <c r="B2311" s="10" t="s">
        <v>4945</v>
      </c>
      <c r="C2311" s="10" t="s">
        <v>4946</v>
      </c>
      <c r="D2311" s="11">
        <v>42781.667673611111</v>
      </c>
      <c r="E2311" s="10" t="s">
        <v>240</v>
      </c>
    </row>
    <row r="2312" spans="1:5">
      <c r="A2312" s="11">
        <v>42778</v>
      </c>
      <c r="B2312" s="10" t="s">
        <v>4947</v>
      </c>
      <c r="C2312" s="10" t="s">
        <v>4948</v>
      </c>
      <c r="D2312" s="11">
        <v>42782.452314814815</v>
      </c>
      <c r="E2312" s="10" t="s">
        <v>433</v>
      </c>
    </row>
    <row r="2313" spans="1:5">
      <c r="A2313" s="11">
        <v>42778</v>
      </c>
      <c r="B2313" s="10" t="s">
        <v>4949</v>
      </c>
      <c r="C2313" s="10" t="s">
        <v>4950</v>
      </c>
      <c r="D2313" s="11">
        <v>42778.654120370367</v>
      </c>
      <c r="E2313" s="10" t="s">
        <v>433</v>
      </c>
    </row>
    <row r="2314" spans="1:5">
      <c r="A2314" s="11">
        <v>42778</v>
      </c>
      <c r="B2314" s="10" t="s">
        <v>4951</v>
      </c>
      <c r="C2314" s="10" t="s">
        <v>4952</v>
      </c>
      <c r="D2314" s="11">
        <v>42778.659988425927</v>
      </c>
      <c r="E2314" s="10" t="s">
        <v>308</v>
      </c>
    </row>
    <row r="2315" spans="1:5">
      <c r="A2315" s="11">
        <v>42778</v>
      </c>
      <c r="B2315" s="10" t="s">
        <v>4953</v>
      </c>
      <c r="C2315" s="10" t="s">
        <v>4954</v>
      </c>
      <c r="D2315" s="11">
        <v>42782.685659722221</v>
      </c>
      <c r="E2315" s="10" t="s">
        <v>683</v>
      </c>
    </row>
    <row r="2316" spans="1:5">
      <c r="A2316" s="11">
        <v>42778</v>
      </c>
      <c r="B2316" s="10" t="s">
        <v>4955</v>
      </c>
      <c r="C2316" s="10" t="s">
        <v>4956</v>
      </c>
      <c r="D2316" s="11">
        <v>42778.670995370368</v>
      </c>
      <c r="E2316" s="10" t="s">
        <v>4957</v>
      </c>
    </row>
    <row r="2317" spans="1:5">
      <c r="A2317" s="11">
        <v>42778</v>
      </c>
      <c r="B2317" s="10" t="s">
        <v>4958</v>
      </c>
      <c r="C2317" s="10" t="s">
        <v>4959</v>
      </c>
      <c r="D2317" s="11">
        <v>42778.671342592592</v>
      </c>
      <c r="E2317" s="10" t="s">
        <v>4957</v>
      </c>
    </row>
    <row r="2318" spans="1:5">
      <c r="A2318" s="11">
        <v>42778</v>
      </c>
      <c r="B2318" s="10" t="s">
        <v>4960</v>
      </c>
      <c r="C2318" s="10" t="s">
        <v>4961</v>
      </c>
      <c r="D2318" s="11">
        <v>42778.683993055558</v>
      </c>
      <c r="E2318" s="10" t="s">
        <v>1319</v>
      </c>
    </row>
    <row r="2319" spans="1:5">
      <c r="A2319" s="11">
        <v>42778</v>
      </c>
      <c r="B2319" s="10" t="s">
        <v>4962</v>
      </c>
      <c r="C2319" s="10" t="s">
        <v>4963</v>
      </c>
      <c r="D2319" s="11">
        <v>42778.698449074072</v>
      </c>
      <c r="E2319" s="10" t="s">
        <v>218</v>
      </c>
    </row>
    <row r="2320" spans="1:5">
      <c r="A2320" s="11">
        <v>42778</v>
      </c>
      <c r="B2320" s="10" t="s">
        <v>4964</v>
      </c>
      <c r="C2320" s="10" t="s">
        <v>4965</v>
      </c>
      <c r="D2320" s="11">
        <v>42778.698680555557</v>
      </c>
      <c r="E2320" s="10" t="s">
        <v>373</v>
      </c>
    </row>
    <row r="2321" spans="1:5">
      <c r="A2321" s="11">
        <v>42778</v>
      </c>
      <c r="B2321" s="10" t="s">
        <v>4966</v>
      </c>
      <c r="C2321" s="10" t="s">
        <v>4967</v>
      </c>
      <c r="D2321" s="11">
        <v>42778.700856481482</v>
      </c>
      <c r="E2321" s="10" t="s">
        <v>209</v>
      </c>
    </row>
    <row r="2322" spans="1:5">
      <c r="A2322" s="11">
        <v>42778</v>
      </c>
      <c r="B2322" s="10" t="s">
        <v>4968</v>
      </c>
      <c r="C2322" s="10" t="s">
        <v>4969</v>
      </c>
      <c r="D2322" s="11">
        <v>42778.702974537038</v>
      </c>
      <c r="E2322" s="10" t="s">
        <v>859</v>
      </c>
    </row>
    <row r="2323" spans="1:5">
      <c r="A2323" s="11">
        <v>42778</v>
      </c>
      <c r="B2323" s="10" t="s">
        <v>4970</v>
      </c>
      <c r="C2323" s="10" t="s">
        <v>4971</v>
      </c>
      <c r="D2323" s="11">
        <v>42780.590578703705</v>
      </c>
      <c r="E2323" s="10" t="s">
        <v>122</v>
      </c>
    </row>
    <row r="2324" spans="1:5">
      <c r="A2324" s="11">
        <v>42778</v>
      </c>
      <c r="B2324" s="10" t="s">
        <v>4972</v>
      </c>
      <c r="C2324" s="10" t="s">
        <v>4973</v>
      </c>
      <c r="D2324" s="11">
        <v>42782.704594907409</v>
      </c>
      <c r="E2324" s="10" t="s">
        <v>237</v>
      </c>
    </row>
    <row r="2325" spans="1:5">
      <c r="A2325" s="11">
        <v>42778</v>
      </c>
      <c r="B2325" s="10" t="s">
        <v>4974</v>
      </c>
      <c r="C2325" s="10" t="s">
        <v>4975</v>
      </c>
      <c r="D2325" s="11">
        <v>42781.662268518521</v>
      </c>
      <c r="E2325" s="10" t="s">
        <v>237</v>
      </c>
    </row>
    <row r="2326" spans="1:5">
      <c r="A2326" s="11">
        <v>42778</v>
      </c>
      <c r="B2326" s="10" t="s">
        <v>4976</v>
      </c>
      <c r="C2326" s="10" t="s">
        <v>4977</v>
      </c>
      <c r="D2326" s="11">
        <v>42782.704386574071</v>
      </c>
      <c r="E2326" s="10" t="s">
        <v>237</v>
      </c>
    </row>
    <row r="2327" spans="1:5">
      <c r="A2327" s="11">
        <v>42778</v>
      </c>
      <c r="B2327" s="10" t="s">
        <v>4978</v>
      </c>
      <c r="C2327" s="10" t="s">
        <v>4979</v>
      </c>
      <c r="D2327" s="11">
        <v>42782.700231481482</v>
      </c>
      <c r="E2327" s="10" t="s">
        <v>479</v>
      </c>
    </row>
    <row r="2328" spans="1:5">
      <c r="A2328" s="11">
        <v>42778</v>
      </c>
      <c r="B2328" s="10" t="s">
        <v>4980</v>
      </c>
      <c r="C2328" s="10" t="s">
        <v>4981</v>
      </c>
      <c r="D2328" s="11">
        <v>42781.838564814818</v>
      </c>
      <c r="E2328" s="10" t="s">
        <v>4805</v>
      </c>
    </row>
    <row r="2329" spans="1:5">
      <c r="A2329" s="11">
        <v>42778</v>
      </c>
      <c r="B2329" s="10" t="s">
        <v>4982</v>
      </c>
      <c r="C2329" s="10" t="s">
        <v>4983</v>
      </c>
      <c r="D2329" s="11">
        <v>42778.733356481483</v>
      </c>
      <c r="E2329" s="10" t="s">
        <v>193</v>
      </c>
    </row>
    <row r="2330" spans="1:5">
      <c r="A2330" s="11">
        <v>42778</v>
      </c>
      <c r="B2330" s="10" t="s">
        <v>4984</v>
      </c>
      <c r="C2330" s="10" t="s">
        <v>4985</v>
      </c>
      <c r="D2330" s="11">
        <v>42778.735300925924</v>
      </c>
      <c r="E2330" s="10" t="s">
        <v>2180</v>
      </c>
    </row>
    <row r="2331" spans="1:5">
      <c r="A2331" s="11">
        <v>42778</v>
      </c>
      <c r="B2331" s="10" t="s">
        <v>4986</v>
      </c>
      <c r="C2331" s="10" t="s">
        <v>4987</v>
      </c>
      <c r="D2331" s="11">
        <v>42780.518738425926</v>
      </c>
      <c r="E2331" s="10" t="s">
        <v>122</v>
      </c>
    </row>
    <row r="2332" spans="1:5">
      <c r="A2332" s="11">
        <v>42778</v>
      </c>
      <c r="B2332" s="10" t="s">
        <v>4988</v>
      </c>
      <c r="C2332" s="10" t="s">
        <v>4989</v>
      </c>
      <c r="D2332" s="11">
        <v>42782.623506944445</v>
      </c>
      <c r="E2332" s="10" t="s">
        <v>122</v>
      </c>
    </row>
    <row r="2333" spans="1:5">
      <c r="A2333" s="11">
        <v>42778</v>
      </c>
      <c r="B2333" s="10" t="s">
        <v>4990</v>
      </c>
      <c r="C2333" s="10" t="s">
        <v>4991</v>
      </c>
      <c r="D2333" s="11">
        <v>42782.655752314815</v>
      </c>
      <c r="E2333" s="10" t="s">
        <v>2688</v>
      </c>
    </row>
    <row r="2334" spans="1:5">
      <c r="A2334" s="11">
        <v>42778</v>
      </c>
      <c r="B2334" s="10" t="s">
        <v>4992</v>
      </c>
      <c r="C2334" s="10" t="s">
        <v>4993</v>
      </c>
      <c r="D2334" s="11">
        <v>42779.430196759262</v>
      </c>
      <c r="E2334" s="10" t="s">
        <v>479</v>
      </c>
    </row>
    <row r="2335" spans="1:5">
      <c r="A2335" s="11">
        <v>42778</v>
      </c>
      <c r="B2335" s="10" t="s">
        <v>4994</v>
      </c>
      <c r="C2335" s="10" t="s">
        <v>4995</v>
      </c>
      <c r="D2335" s="11">
        <v>42782.707766203705</v>
      </c>
      <c r="E2335" s="10" t="s">
        <v>292</v>
      </c>
    </row>
    <row r="2336" spans="1:5">
      <c r="A2336" s="11">
        <v>42778</v>
      </c>
      <c r="B2336" s="10" t="s">
        <v>4996</v>
      </c>
      <c r="C2336" s="10" t="s">
        <v>4997</v>
      </c>
      <c r="D2336" s="11">
        <v>42778.777060185188</v>
      </c>
      <c r="E2336" s="10" t="s">
        <v>209</v>
      </c>
    </row>
    <row r="2337" spans="1:5">
      <c r="A2337" s="11">
        <v>42778</v>
      </c>
      <c r="B2337" s="10" t="s">
        <v>4998</v>
      </c>
      <c r="C2337" s="10" t="s">
        <v>4999</v>
      </c>
      <c r="D2337" s="11">
        <v>42778.777395833335</v>
      </c>
      <c r="E2337" s="10" t="s">
        <v>152</v>
      </c>
    </row>
    <row r="2338" spans="1:5">
      <c r="A2338" s="11">
        <v>42778</v>
      </c>
      <c r="B2338" s="10" t="s">
        <v>5000</v>
      </c>
      <c r="C2338" s="10" t="s">
        <v>5001</v>
      </c>
      <c r="D2338" s="11">
        <v>42778.783009259256</v>
      </c>
      <c r="E2338" s="10" t="s">
        <v>2742</v>
      </c>
    </row>
    <row r="2339" spans="1:5">
      <c r="A2339" s="11">
        <v>42778</v>
      </c>
      <c r="B2339" s="10" t="s">
        <v>5002</v>
      </c>
      <c r="C2339" s="10" t="s">
        <v>5003</v>
      </c>
      <c r="D2339" s="11">
        <v>42782.469756944447</v>
      </c>
      <c r="E2339" s="10" t="s">
        <v>215</v>
      </c>
    </row>
    <row r="2340" spans="1:5">
      <c r="A2340" s="11">
        <v>42778</v>
      </c>
      <c r="B2340" s="10" t="s">
        <v>5004</v>
      </c>
      <c r="C2340" s="10" t="s">
        <v>5005</v>
      </c>
      <c r="D2340" s="11">
        <v>42780.499074074076</v>
      </c>
      <c r="E2340" s="10" t="s">
        <v>122</v>
      </c>
    </row>
    <row r="2341" spans="1:5">
      <c r="A2341" s="11">
        <v>42778</v>
      </c>
      <c r="B2341" s="10" t="s">
        <v>5006</v>
      </c>
      <c r="C2341" s="10" t="s">
        <v>5007</v>
      </c>
      <c r="D2341" s="11">
        <v>42781.658437500002</v>
      </c>
      <c r="E2341" s="10" t="s">
        <v>656</v>
      </c>
    </row>
    <row r="2342" spans="1:5">
      <c r="A2342" s="11">
        <v>42778</v>
      </c>
      <c r="B2342" s="10" t="s">
        <v>5008</v>
      </c>
      <c r="C2342" s="10" t="s">
        <v>5009</v>
      </c>
      <c r="D2342" s="11">
        <v>42781.652083333334</v>
      </c>
      <c r="E2342" s="10" t="s">
        <v>218</v>
      </c>
    </row>
    <row r="2343" spans="1:5" ht="21.6">
      <c r="A2343" s="11">
        <v>42778</v>
      </c>
      <c r="B2343" s="10" t="s">
        <v>5010</v>
      </c>
      <c r="C2343" s="10" t="s">
        <v>5011</v>
      </c>
      <c r="D2343" s="11">
        <v>42782.491469907407</v>
      </c>
      <c r="E2343" s="10" t="s">
        <v>257</v>
      </c>
    </row>
    <row r="2344" spans="1:5">
      <c r="A2344" s="11">
        <v>42778</v>
      </c>
      <c r="B2344" s="10" t="s">
        <v>5012</v>
      </c>
      <c r="C2344" s="10" t="s">
        <v>5013</v>
      </c>
      <c r="D2344" s="11">
        <v>42778.809317129628</v>
      </c>
      <c r="E2344" s="10" t="s">
        <v>433</v>
      </c>
    </row>
    <row r="2345" spans="1:5">
      <c r="A2345" s="11">
        <v>42778</v>
      </c>
      <c r="B2345" s="10" t="s">
        <v>5014</v>
      </c>
      <c r="C2345" s="10" t="s">
        <v>5015</v>
      </c>
      <c r="D2345" s="11">
        <v>42778.810856481483</v>
      </c>
      <c r="E2345" s="10" t="s">
        <v>433</v>
      </c>
    </row>
    <row r="2346" spans="1:5">
      <c r="A2346" s="11">
        <v>42778</v>
      </c>
      <c r="B2346" s="10" t="s">
        <v>5016</v>
      </c>
      <c r="C2346" s="10" t="s">
        <v>5017</v>
      </c>
      <c r="D2346" s="11">
        <v>42782.669374999998</v>
      </c>
      <c r="E2346" s="10" t="s">
        <v>152</v>
      </c>
    </row>
    <row r="2347" spans="1:5">
      <c r="A2347" s="11">
        <v>42778</v>
      </c>
      <c r="B2347" s="10" t="s">
        <v>5018</v>
      </c>
      <c r="C2347" s="10" t="s">
        <v>5019</v>
      </c>
      <c r="D2347" s="11">
        <v>42781.449108796296</v>
      </c>
      <c r="E2347" s="10" t="s">
        <v>209</v>
      </c>
    </row>
    <row r="2348" spans="1:5">
      <c r="A2348" s="11">
        <v>42778</v>
      </c>
      <c r="B2348" s="10" t="s">
        <v>5020</v>
      </c>
      <c r="C2348" s="10" t="s">
        <v>5021</v>
      </c>
      <c r="D2348" s="11">
        <v>42778.828090277777</v>
      </c>
      <c r="E2348" s="10" t="s">
        <v>966</v>
      </c>
    </row>
    <row r="2349" spans="1:5">
      <c r="A2349" s="11">
        <v>42778</v>
      </c>
      <c r="B2349" s="10" t="s">
        <v>5022</v>
      </c>
      <c r="C2349" s="10" t="s">
        <v>5023</v>
      </c>
      <c r="D2349" s="11">
        <v>42780.878634259258</v>
      </c>
      <c r="E2349" s="10" t="s">
        <v>143</v>
      </c>
    </row>
    <row r="2350" spans="1:5">
      <c r="A2350" s="11">
        <v>42778</v>
      </c>
      <c r="B2350" s="10" t="s">
        <v>5024</v>
      </c>
      <c r="C2350" s="10" t="s">
        <v>5025</v>
      </c>
      <c r="D2350" s="11">
        <v>42782.706099537034</v>
      </c>
      <c r="E2350" s="10" t="s">
        <v>5026</v>
      </c>
    </row>
    <row r="2351" spans="1:5">
      <c r="A2351" s="11">
        <v>42778</v>
      </c>
      <c r="B2351" s="10" t="s">
        <v>5027</v>
      </c>
      <c r="C2351" s="10" t="s">
        <v>5028</v>
      </c>
      <c r="D2351" s="11">
        <v>42779.818113425928</v>
      </c>
      <c r="E2351" s="10" t="s">
        <v>4898</v>
      </c>
    </row>
    <row r="2352" spans="1:5">
      <c r="A2352" s="11">
        <v>42778</v>
      </c>
      <c r="B2352" s="10" t="s">
        <v>5029</v>
      </c>
      <c r="C2352" s="10" t="s">
        <v>5030</v>
      </c>
      <c r="D2352" s="11">
        <v>42782.698136574072</v>
      </c>
      <c r="E2352" s="10" t="s">
        <v>152</v>
      </c>
    </row>
    <row r="2353" spans="1:5">
      <c r="A2353" s="11">
        <v>42778</v>
      </c>
      <c r="B2353" s="10" t="s">
        <v>5031</v>
      </c>
      <c r="C2353" s="10" t="s">
        <v>5032</v>
      </c>
      <c r="D2353" s="11">
        <v>42778.913946759261</v>
      </c>
      <c r="E2353" s="10" t="s">
        <v>422</v>
      </c>
    </row>
    <row r="2354" spans="1:5">
      <c r="A2354" s="11">
        <v>42778</v>
      </c>
      <c r="B2354" s="10" t="s">
        <v>5033</v>
      </c>
      <c r="C2354" s="10" t="s">
        <v>5034</v>
      </c>
      <c r="D2354" s="11">
        <v>42778.932152777779</v>
      </c>
      <c r="E2354" s="10" t="s">
        <v>433</v>
      </c>
    </row>
    <row r="2355" spans="1:5">
      <c r="A2355" s="11">
        <v>42778</v>
      </c>
      <c r="B2355" s="10" t="s">
        <v>5035</v>
      </c>
      <c r="C2355" s="10" t="s">
        <v>5036</v>
      </c>
      <c r="D2355" s="11">
        <v>42778.933379629627</v>
      </c>
      <c r="E2355" s="10" t="s">
        <v>433</v>
      </c>
    </row>
    <row r="2356" spans="1:5">
      <c r="A2356" s="11">
        <v>42778</v>
      </c>
      <c r="B2356" s="10" t="s">
        <v>5037</v>
      </c>
      <c r="C2356" s="10" t="s">
        <v>5038</v>
      </c>
      <c r="D2356" s="11">
        <v>42778.935393518521</v>
      </c>
      <c r="E2356" s="10" t="s">
        <v>433</v>
      </c>
    </row>
    <row r="2357" spans="1:5">
      <c r="A2357" s="11">
        <v>42778</v>
      </c>
      <c r="B2357" s="10" t="s">
        <v>5039</v>
      </c>
      <c r="C2357" s="10" t="s">
        <v>5040</v>
      </c>
      <c r="D2357" s="11">
        <v>42778.935636574075</v>
      </c>
      <c r="E2357" s="10" t="s">
        <v>433</v>
      </c>
    </row>
    <row r="2358" spans="1:5">
      <c r="A2358" s="11">
        <v>42778</v>
      </c>
      <c r="B2358" s="10" t="s">
        <v>5041</v>
      </c>
      <c r="C2358" s="10" t="s">
        <v>5042</v>
      </c>
      <c r="D2358" s="11">
        <v>42778.94090277778</v>
      </c>
      <c r="E2358" s="10" t="s">
        <v>433</v>
      </c>
    </row>
    <row r="2359" spans="1:5">
      <c r="A2359" s="11">
        <v>42778</v>
      </c>
      <c r="B2359" s="10" t="s">
        <v>5043</v>
      </c>
      <c r="C2359" s="10" t="s">
        <v>5044</v>
      </c>
      <c r="D2359" s="11">
        <v>42778.956400462965</v>
      </c>
      <c r="E2359" s="10" t="s">
        <v>305</v>
      </c>
    </row>
    <row r="2360" spans="1:5">
      <c r="A2360" s="11">
        <v>42778</v>
      </c>
      <c r="B2360" s="10" t="s">
        <v>5045</v>
      </c>
      <c r="C2360" s="10" t="s">
        <v>5046</v>
      </c>
      <c r="D2360" s="11">
        <v>42782.699942129628</v>
      </c>
      <c r="E2360" s="10" t="s">
        <v>422</v>
      </c>
    </row>
    <row r="2361" spans="1:5">
      <c r="A2361" s="11">
        <v>42779</v>
      </c>
      <c r="B2361" s="10" t="s">
        <v>5047</v>
      </c>
      <c r="C2361" s="10" t="s">
        <v>5048</v>
      </c>
      <c r="D2361" s="11">
        <v>42779.084733796299</v>
      </c>
      <c r="E2361" s="10" t="s">
        <v>5026</v>
      </c>
    </row>
    <row r="2362" spans="1:5">
      <c r="A2362" s="11">
        <v>42779</v>
      </c>
      <c r="B2362" s="10" t="s">
        <v>5049</v>
      </c>
      <c r="C2362" s="10" t="s">
        <v>5050</v>
      </c>
      <c r="D2362" s="11">
        <v>42780.506909722222</v>
      </c>
      <c r="E2362" s="10" t="s">
        <v>320</v>
      </c>
    </row>
    <row r="2363" spans="1:5">
      <c r="A2363" s="11">
        <v>42779</v>
      </c>
      <c r="B2363" s="10" t="s">
        <v>5051</v>
      </c>
      <c r="C2363" s="10" t="s">
        <v>5052</v>
      </c>
      <c r="D2363" s="11">
        <v>42781.465011574073</v>
      </c>
      <c r="E2363" s="10" t="s">
        <v>96</v>
      </c>
    </row>
    <row r="2364" spans="1:5">
      <c r="A2364" s="11">
        <v>42779</v>
      </c>
      <c r="B2364" s="10" t="s">
        <v>5053</v>
      </c>
      <c r="C2364" s="10" t="s">
        <v>5054</v>
      </c>
      <c r="D2364" s="11">
        <v>42782.667164351849</v>
      </c>
      <c r="E2364" s="10" t="s">
        <v>5055</v>
      </c>
    </row>
    <row r="2365" spans="1:5">
      <c r="A2365" s="11">
        <v>42779</v>
      </c>
      <c r="B2365" s="10" t="s">
        <v>5056</v>
      </c>
      <c r="C2365" s="10" t="s">
        <v>5057</v>
      </c>
      <c r="D2365" s="11">
        <v>42779.334039351852</v>
      </c>
      <c r="E2365" s="10" t="s">
        <v>422</v>
      </c>
    </row>
    <row r="2366" spans="1:5">
      <c r="A2366" s="11">
        <v>42779</v>
      </c>
      <c r="B2366" s="10" t="s">
        <v>5058</v>
      </c>
      <c r="C2366" s="10" t="s">
        <v>5059</v>
      </c>
      <c r="D2366" s="11">
        <v>42779.36546296296</v>
      </c>
      <c r="E2366" s="10" t="s">
        <v>240</v>
      </c>
    </row>
    <row r="2367" spans="1:5">
      <c r="A2367" s="11">
        <v>42779</v>
      </c>
      <c r="B2367" s="10" t="s">
        <v>5060</v>
      </c>
      <c r="C2367" s="10" t="s">
        <v>5061</v>
      </c>
      <c r="D2367" s="11">
        <v>42779.366412037038</v>
      </c>
      <c r="E2367" s="10" t="s">
        <v>240</v>
      </c>
    </row>
    <row r="2368" spans="1:5">
      <c r="A2368" s="11">
        <v>42779</v>
      </c>
      <c r="B2368" s="10" t="s">
        <v>5062</v>
      </c>
      <c r="C2368" s="10" t="s">
        <v>5063</v>
      </c>
      <c r="D2368" s="11">
        <v>42782.631666666668</v>
      </c>
      <c r="E2368" s="10" t="s">
        <v>2515</v>
      </c>
    </row>
    <row r="2369" spans="1:5">
      <c r="A2369" s="11">
        <v>42779</v>
      </c>
      <c r="B2369" s="10" t="s">
        <v>5064</v>
      </c>
      <c r="C2369" s="10" t="s">
        <v>5065</v>
      </c>
      <c r="D2369" s="11">
        <v>42779.371724537035</v>
      </c>
      <c r="E2369" s="10" t="s">
        <v>218</v>
      </c>
    </row>
    <row r="2370" spans="1:5">
      <c r="A2370" s="11">
        <v>42779</v>
      </c>
      <c r="B2370" s="10" t="s">
        <v>5066</v>
      </c>
      <c r="C2370" s="10" t="s">
        <v>5067</v>
      </c>
      <c r="D2370" s="11">
        <v>42779.375023148146</v>
      </c>
      <c r="E2370" s="10" t="s">
        <v>613</v>
      </c>
    </row>
    <row r="2371" spans="1:5">
      <c r="A2371" s="11">
        <v>42779</v>
      </c>
      <c r="B2371" s="10" t="s">
        <v>5068</v>
      </c>
      <c r="C2371" s="10" t="s">
        <v>5069</v>
      </c>
      <c r="D2371" s="11">
        <v>42779.37636574074</v>
      </c>
      <c r="E2371" s="10" t="s">
        <v>433</v>
      </c>
    </row>
    <row r="2372" spans="1:5">
      <c r="A2372" s="11">
        <v>42779</v>
      </c>
      <c r="B2372" s="10" t="s">
        <v>5070</v>
      </c>
      <c r="C2372" s="10" t="s">
        <v>5071</v>
      </c>
      <c r="D2372" s="11">
        <v>42779.383668981478</v>
      </c>
      <c r="E2372" s="10" t="s">
        <v>218</v>
      </c>
    </row>
    <row r="2373" spans="1:5">
      <c r="A2373" s="11">
        <v>42779</v>
      </c>
      <c r="B2373" s="10" t="s">
        <v>5072</v>
      </c>
      <c r="C2373" s="10" t="s">
        <v>5073</v>
      </c>
      <c r="D2373" s="11">
        <v>42779.388935185183</v>
      </c>
      <c r="E2373" s="10" t="s">
        <v>1208</v>
      </c>
    </row>
    <row r="2374" spans="1:5">
      <c r="A2374" s="11">
        <v>42779</v>
      </c>
      <c r="B2374" s="10" t="s">
        <v>5074</v>
      </c>
      <c r="C2374" s="10" t="s">
        <v>5075</v>
      </c>
      <c r="D2374" s="11">
        <v>42782.605451388888</v>
      </c>
      <c r="E2374" s="10" t="s">
        <v>2742</v>
      </c>
    </row>
    <row r="2375" spans="1:5">
      <c r="A2375" s="11">
        <v>42779</v>
      </c>
      <c r="B2375" s="10" t="s">
        <v>5076</v>
      </c>
      <c r="C2375" s="10" t="s">
        <v>5077</v>
      </c>
      <c r="D2375" s="11">
        <v>42779.401886574073</v>
      </c>
      <c r="E2375" s="10" t="s">
        <v>373</v>
      </c>
    </row>
    <row r="2376" spans="1:5">
      <c r="A2376" s="11">
        <v>42779</v>
      </c>
      <c r="B2376" s="10" t="s">
        <v>5078</v>
      </c>
      <c r="C2376" s="10" t="s">
        <v>5079</v>
      </c>
      <c r="D2376" s="11">
        <v>42779.402881944443</v>
      </c>
      <c r="E2376" s="10" t="s">
        <v>1103</v>
      </c>
    </row>
    <row r="2377" spans="1:5">
      <c r="A2377" s="11">
        <v>42779</v>
      </c>
      <c r="B2377" s="10" t="s">
        <v>5080</v>
      </c>
      <c r="C2377" s="10" t="s">
        <v>5081</v>
      </c>
      <c r="D2377" s="11">
        <v>42782.410370370373</v>
      </c>
      <c r="E2377" s="10" t="s">
        <v>433</v>
      </c>
    </row>
    <row r="2378" spans="1:5">
      <c r="A2378" s="11">
        <v>42779</v>
      </c>
      <c r="B2378" s="10" t="s">
        <v>5082</v>
      </c>
      <c r="C2378" s="10" t="s">
        <v>5083</v>
      </c>
      <c r="D2378" s="11">
        <v>42782.580312500002</v>
      </c>
      <c r="E2378" s="10" t="s">
        <v>240</v>
      </c>
    </row>
    <row r="2379" spans="1:5">
      <c r="A2379" s="11">
        <v>42779</v>
      </c>
      <c r="B2379" s="10" t="s">
        <v>5084</v>
      </c>
      <c r="C2379" s="10" t="s">
        <v>5085</v>
      </c>
      <c r="D2379" s="11">
        <v>42779.409583333334</v>
      </c>
      <c r="E2379" s="10" t="s">
        <v>949</v>
      </c>
    </row>
    <row r="2380" spans="1:5">
      <c r="A2380" s="11">
        <v>42779</v>
      </c>
      <c r="B2380" s="10" t="s">
        <v>5086</v>
      </c>
      <c r="C2380" s="10" t="s">
        <v>5087</v>
      </c>
      <c r="D2380" s="11">
        <v>42782.461111111108</v>
      </c>
      <c r="E2380" s="10" t="s">
        <v>215</v>
      </c>
    </row>
    <row r="2381" spans="1:5">
      <c r="A2381" s="11">
        <v>42779</v>
      </c>
      <c r="B2381" s="10" t="s">
        <v>5088</v>
      </c>
      <c r="C2381" s="10" t="s">
        <v>5089</v>
      </c>
      <c r="D2381" s="11">
        <v>42782.514826388891</v>
      </c>
      <c r="E2381" s="10" t="s">
        <v>218</v>
      </c>
    </row>
    <row r="2382" spans="1:5">
      <c r="A2382" s="11">
        <v>42779</v>
      </c>
      <c r="B2382" s="10" t="s">
        <v>5090</v>
      </c>
      <c r="C2382" s="10" t="s">
        <v>5091</v>
      </c>
      <c r="D2382" s="11">
        <v>42779.415185185186</v>
      </c>
      <c r="E2382" s="10" t="s">
        <v>373</v>
      </c>
    </row>
    <row r="2383" spans="1:5">
      <c r="A2383" s="11">
        <v>42779</v>
      </c>
      <c r="B2383" s="10" t="s">
        <v>5092</v>
      </c>
      <c r="C2383" s="10" t="s">
        <v>5093</v>
      </c>
      <c r="D2383" s="11">
        <v>42782.45579861111</v>
      </c>
      <c r="E2383" s="10" t="s">
        <v>433</v>
      </c>
    </row>
    <row r="2384" spans="1:5">
      <c r="A2384" s="11">
        <v>42779</v>
      </c>
      <c r="B2384" s="10" t="s">
        <v>5094</v>
      </c>
      <c r="C2384" s="10" t="s">
        <v>5095</v>
      </c>
      <c r="D2384" s="11">
        <v>42780.74082175926</v>
      </c>
      <c r="E2384" s="10" t="s">
        <v>656</v>
      </c>
    </row>
    <row r="2385" spans="1:5">
      <c r="A2385" s="11">
        <v>42779</v>
      </c>
      <c r="B2385" s="10" t="s">
        <v>5096</v>
      </c>
      <c r="C2385" s="10" t="s">
        <v>5097</v>
      </c>
      <c r="D2385" s="11">
        <v>42779.433217592596</v>
      </c>
      <c r="E2385" s="10" t="s">
        <v>2515</v>
      </c>
    </row>
    <row r="2386" spans="1:5" ht="21.6">
      <c r="A2386" s="11">
        <v>42779</v>
      </c>
      <c r="B2386" s="10" t="s">
        <v>5098</v>
      </c>
      <c r="C2386" s="10" t="s">
        <v>5099</v>
      </c>
      <c r="D2386" s="11">
        <v>42779.443460648145</v>
      </c>
      <c r="E2386" s="10" t="s">
        <v>2554</v>
      </c>
    </row>
    <row r="2387" spans="1:5">
      <c r="A2387" s="11">
        <v>42779</v>
      </c>
      <c r="B2387" s="10" t="s">
        <v>5100</v>
      </c>
      <c r="C2387" s="10" t="s">
        <v>5101</v>
      </c>
      <c r="D2387" s="11">
        <v>42782.63890046296</v>
      </c>
      <c r="E2387" s="10" t="s">
        <v>422</v>
      </c>
    </row>
    <row r="2388" spans="1:5">
      <c r="A2388" s="11">
        <v>42779</v>
      </c>
      <c r="B2388" s="10" t="s">
        <v>5102</v>
      </c>
      <c r="C2388" s="10" t="s">
        <v>5103</v>
      </c>
      <c r="D2388" s="11">
        <v>42779.445023148146</v>
      </c>
      <c r="E2388" s="10" t="s">
        <v>218</v>
      </c>
    </row>
    <row r="2389" spans="1:5" ht="21.6">
      <c r="A2389" s="11">
        <v>42779</v>
      </c>
      <c r="B2389" s="10" t="s">
        <v>5104</v>
      </c>
      <c r="C2389" s="10" t="s">
        <v>5105</v>
      </c>
      <c r="D2389" s="11">
        <v>42779.446655092594</v>
      </c>
      <c r="E2389" s="10" t="s">
        <v>2554</v>
      </c>
    </row>
    <row r="2390" spans="1:5">
      <c r="A2390" s="11">
        <v>42779</v>
      </c>
      <c r="B2390" s="10" t="s">
        <v>5106</v>
      </c>
      <c r="C2390" s="10" t="s">
        <v>5107</v>
      </c>
      <c r="D2390" s="11">
        <v>42779.680196759262</v>
      </c>
      <c r="E2390" s="10" t="s">
        <v>902</v>
      </c>
    </row>
    <row r="2391" spans="1:5">
      <c r="A2391" s="11">
        <v>42779</v>
      </c>
      <c r="B2391" s="10" t="s">
        <v>5108</v>
      </c>
      <c r="C2391" s="10" t="s">
        <v>5109</v>
      </c>
      <c r="D2391" s="11">
        <v>42779.448738425926</v>
      </c>
      <c r="E2391" s="10" t="s">
        <v>218</v>
      </c>
    </row>
    <row r="2392" spans="1:5">
      <c r="A2392" s="11">
        <v>42779</v>
      </c>
      <c r="B2392" s="10" t="s">
        <v>5110</v>
      </c>
      <c r="C2392" s="10" t="s">
        <v>5111</v>
      </c>
      <c r="D2392" s="11">
        <v>42782.501666666663</v>
      </c>
      <c r="E2392" s="10" t="s">
        <v>373</v>
      </c>
    </row>
    <row r="2393" spans="1:5" ht="21.6">
      <c r="A2393" s="11">
        <v>42779</v>
      </c>
      <c r="B2393" s="10" t="s">
        <v>5112</v>
      </c>
      <c r="C2393" s="10" t="s">
        <v>5113</v>
      </c>
      <c r="D2393" s="11">
        <v>42779.458483796298</v>
      </c>
      <c r="E2393" s="10" t="s">
        <v>226</v>
      </c>
    </row>
    <row r="2394" spans="1:5" ht="21.6">
      <c r="A2394" s="11">
        <v>42779</v>
      </c>
      <c r="B2394" s="10" t="s">
        <v>5114</v>
      </c>
      <c r="C2394" s="10" t="s">
        <v>5115</v>
      </c>
      <c r="D2394" s="11">
        <v>42779.458495370367</v>
      </c>
      <c r="E2394" s="10" t="s">
        <v>1316</v>
      </c>
    </row>
    <row r="2395" spans="1:5">
      <c r="A2395" s="11">
        <v>42779</v>
      </c>
      <c r="B2395" s="10" t="s">
        <v>5116</v>
      </c>
      <c r="C2395" s="10" t="s">
        <v>5117</v>
      </c>
      <c r="D2395" s="11">
        <v>42779.466793981483</v>
      </c>
      <c r="E2395" s="10" t="s">
        <v>122</v>
      </c>
    </row>
    <row r="2396" spans="1:5">
      <c r="A2396" s="11">
        <v>42779</v>
      </c>
      <c r="B2396" s="10" t="s">
        <v>5118</v>
      </c>
      <c r="C2396" s="10" t="s">
        <v>5119</v>
      </c>
      <c r="D2396" s="11">
        <v>42781.49722222222</v>
      </c>
      <c r="E2396" s="10" t="s">
        <v>240</v>
      </c>
    </row>
    <row r="2397" spans="1:5">
      <c r="A2397" s="11">
        <v>42779</v>
      </c>
      <c r="B2397" s="10" t="s">
        <v>5120</v>
      </c>
      <c r="C2397" s="10" t="s">
        <v>5121</v>
      </c>
      <c r="D2397" s="11">
        <v>42782.691284722219</v>
      </c>
      <c r="E2397" s="10" t="s">
        <v>152</v>
      </c>
    </row>
    <row r="2398" spans="1:5">
      <c r="A2398" s="11">
        <v>42779</v>
      </c>
      <c r="B2398" s="10" t="s">
        <v>5122</v>
      </c>
      <c r="C2398" s="10" t="s">
        <v>5123</v>
      </c>
      <c r="D2398" s="11">
        <v>42782.69127314815</v>
      </c>
      <c r="E2398" s="10" t="s">
        <v>99</v>
      </c>
    </row>
    <row r="2399" spans="1:5" ht="21.6">
      <c r="A2399" s="11">
        <v>42779</v>
      </c>
      <c r="B2399" s="10" t="s">
        <v>5124</v>
      </c>
      <c r="C2399" s="10" t="s">
        <v>5125</v>
      </c>
      <c r="D2399" s="11">
        <v>42779.475266203706</v>
      </c>
      <c r="E2399" s="10" t="s">
        <v>5126</v>
      </c>
    </row>
    <row r="2400" spans="1:5">
      <c r="A2400" s="11">
        <v>42779</v>
      </c>
      <c r="B2400" s="10" t="s">
        <v>5127</v>
      </c>
      <c r="C2400" s="10" t="s">
        <v>5128</v>
      </c>
      <c r="D2400" s="11">
        <v>42779.476365740738</v>
      </c>
      <c r="E2400" s="10" t="s">
        <v>2442</v>
      </c>
    </row>
    <row r="2401" spans="1:5">
      <c r="A2401" s="11">
        <v>42779</v>
      </c>
      <c r="B2401" s="10" t="s">
        <v>5129</v>
      </c>
      <c r="C2401" s="10" t="s">
        <v>5130</v>
      </c>
      <c r="D2401" s="11">
        <v>42779.477754629632</v>
      </c>
      <c r="E2401" s="10" t="s">
        <v>237</v>
      </c>
    </row>
    <row r="2402" spans="1:5">
      <c r="A2402" s="11">
        <v>42779</v>
      </c>
      <c r="B2402" s="10" t="s">
        <v>5131</v>
      </c>
      <c r="C2402" s="10" t="s">
        <v>5132</v>
      </c>
      <c r="D2402" s="11">
        <v>42781.451631944445</v>
      </c>
      <c r="E2402" s="10" t="s">
        <v>178</v>
      </c>
    </row>
    <row r="2403" spans="1:5">
      <c r="A2403" s="11">
        <v>42779</v>
      </c>
      <c r="B2403" s="10" t="s">
        <v>5133</v>
      </c>
      <c r="C2403" s="10" t="s">
        <v>5134</v>
      </c>
      <c r="D2403" s="11">
        <v>42779.486203703702</v>
      </c>
      <c r="E2403" s="10" t="s">
        <v>122</v>
      </c>
    </row>
    <row r="2404" spans="1:5">
      <c r="A2404" s="11">
        <v>42779</v>
      </c>
      <c r="B2404" s="10" t="s">
        <v>5135</v>
      </c>
      <c r="C2404" s="10" t="s">
        <v>5136</v>
      </c>
      <c r="D2404" s="11">
        <v>42781.899791666663</v>
      </c>
      <c r="E2404" s="10" t="s">
        <v>320</v>
      </c>
    </row>
    <row r="2405" spans="1:5">
      <c r="A2405" s="11">
        <v>42779</v>
      </c>
      <c r="B2405" s="10" t="s">
        <v>5137</v>
      </c>
      <c r="C2405" s="10" t="s">
        <v>5138</v>
      </c>
      <c r="D2405" s="11">
        <v>42779.492604166669</v>
      </c>
      <c r="E2405" s="10" t="s">
        <v>2180</v>
      </c>
    </row>
    <row r="2406" spans="1:5">
      <c r="A2406" s="11">
        <v>42779</v>
      </c>
      <c r="B2406" s="10" t="s">
        <v>5139</v>
      </c>
      <c r="C2406" s="10" t="s">
        <v>5140</v>
      </c>
      <c r="D2406" s="11">
        <v>42779.495138888888</v>
      </c>
      <c r="E2406" s="10" t="s">
        <v>433</v>
      </c>
    </row>
    <row r="2407" spans="1:5">
      <c r="A2407" s="11">
        <v>42779</v>
      </c>
      <c r="B2407" s="10" t="s">
        <v>5141</v>
      </c>
      <c r="C2407" s="10" t="s">
        <v>5142</v>
      </c>
      <c r="D2407" s="11">
        <v>42782.355162037034</v>
      </c>
      <c r="E2407" s="10" t="s">
        <v>215</v>
      </c>
    </row>
    <row r="2408" spans="1:5">
      <c r="A2408" s="11">
        <v>42779</v>
      </c>
      <c r="B2408" s="10" t="s">
        <v>5143</v>
      </c>
      <c r="C2408" s="10" t="s">
        <v>5144</v>
      </c>
      <c r="D2408" s="11">
        <v>42779.501030092593</v>
      </c>
      <c r="E2408" s="10" t="s">
        <v>240</v>
      </c>
    </row>
    <row r="2409" spans="1:5">
      <c r="A2409" s="11">
        <v>42779</v>
      </c>
      <c r="B2409" s="10" t="s">
        <v>5145</v>
      </c>
      <c r="C2409" s="10" t="s">
        <v>5146</v>
      </c>
      <c r="D2409" s="11">
        <v>42779.501539351855</v>
      </c>
      <c r="E2409" s="10" t="s">
        <v>215</v>
      </c>
    </row>
    <row r="2410" spans="1:5">
      <c r="A2410" s="11">
        <v>42779</v>
      </c>
      <c r="B2410" s="10" t="s">
        <v>5147</v>
      </c>
      <c r="C2410" s="10" t="s">
        <v>5148</v>
      </c>
      <c r="D2410" s="11">
        <v>42782.597581018519</v>
      </c>
      <c r="E2410" s="10" t="s">
        <v>482</v>
      </c>
    </row>
    <row r="2411" spans="1:5">
      <c r="A2411" s="11">
        <v>42779</v>
      </c>
      <c r="B2411" s="10" t="s">
        <v>5149</v>
      </c>
      <c r="C2411" s="10" t="s">
        <v>5150</v>
      </c>
      <c r="D2411" s="11">
        <v>42781.413287037038</v>
      </c>
      <c r="E2411" s="10" t="s">
        <v>122</v>
      </c>
    </row>
    <row r="2412" spans="1:5">
      <c r="A2412" s="11">
        <v>42779</v>
      </c>
      <c r="B2412" s="10" t="s">
        <v>5151</v>
      </c>
      <c r="C2412" s="10" t="s">
        <v>5152</v>
      </c>
      <c r="D2412" s="11">
        <v>42780.540196759262</v>
      </c>
      <c r="E2412" s="10" t="s">
        <v>433</v>
      </c>
    </row>
    <row r="2413" spans="1:5">
      <c r="A2413" s="11">
        <v>42779</v>
      </c>
      <c r="B2413" s="10" t="s">
        <v>5153</v>
      </c>
      <c r="C2413" s="10" t="s">
        <v>5154</v>
      </c>
      <c r="D2413" s="11">
        <v>42779.516030092593</v>
      </c>
      <c r="E2413" s="10" t="s">
        <v>365</v>
      </c>
    </row>
    <row r="2414" spans="1:5">
      <c r="A2414" s="11">
        <v>42779</v>
      </c>
      <c r="B2414" s="10" t="s">
        <v>5155</v>
      </c>
      <c r="C2414" s="10" t="s">
        <v>5156</v>
      </c>
      <c r="D2414" s="11">
        <v>42779.522812499999</v>
      </c>
      <c r="E2414" s="10" t="s">
        <v>320</v>
      </c>
    </row>
    <row r="2415" spans="1:5">
      <c r="A2415" s="11">
        <v>42779</v>
      </c>
      <c r="B2415" s="10" t="s">
        <v>5157</v>
      </c>
      <c r="C2415" s="10" t="s">
        <v>5158</v>
      </c>
      <c r="D2415" s="11">
        <v>42779.522997685184</v>
      </c>
      <c r="E2415" s="10" t="s">
        <v>2124</v>
      </c>
    </row>
    <row r="2416" spans="1:5">
      <c r="A2416" s="11">
        <v>42779</v>
      </c>
      <c r="B2416" s="10" t="s">
        <v>5159</v>
      </c>
      <c r="C2416" s="10" t="s">
        <v>5160</v>
      </c>
      <c r="D2416" s="11">
        <v>42779.523032407407</v>
      </c>
      <c r="E2416" s="10" t="s">
        <v>320</v>
      </c>
    </row>
    <row r="2417" spans="1:5">
      <c r="A2417" s="11">
        <v>42779</v>
      </c>
      <c r="B2417" s="10" t="s">
        <v>5161</v>
      </c>
      <c r="C2417" s="10" t="s">
        <v>5162</v>
      </c>
      <c r="D2417" s="11">
        <v>42781.71603009259</v>
      </c>
      <c r="E2417" s="10" t="s">
        <v>433</v>
      </c>
    </row>
    <row r="2418" spans="1:5">
      <c r="A2418" s="11">
        <v>42779</v>
      </c>
      <c r="B2418" s="10" t="s">
        <v>5163</v>
      </c>
      <c r="C2418" s="10" t="s">
        <v>5164</v>
      </c>
      <c r="D2418" s="11">
        <v>42779.530613425923</v>
      </c>
      <c r="E2418" s="10" t="s">
        <v>353</v>
      </c>
    </row>
    <row r="2419" spans="1:5">
      <c r="A2419" s="11">
        <v>42779</v>
      </c>
      <c r="B2419" s="10" t="s">
        <v>5165</v>
      </c>
      <c r="C2419" s="10" t="s">
        <v>5166</v>
      </c>
      <c r="D2419" s="11">
        <v>42782.709664351853</v>
      </c>
      <c r="E2419" s="10" t="s">
        <v>96</v>
      </c>
    </row>
    <row r="2420" spans="1:5">
      <c r="A2420" s="11">
        <v>42779</v>
      </c>
      <c r="B2420" s="10" t="s">
        <v>5167</v>
      </c>
      <c r="C2420" s="10" t="s">
        <v>5168</v>
      </c>
      <c r="D2420" s="11">
        <v>42779.531284722223</v>
      </c>
      <c r="E2420" s="10" t="s">
        <v>683</v>
      </c>
    </row>
    <row r="2421" spans="1:5">
      <c r="A2421" s="11">
        <v>42779</v>
      </c>
      <c r="B2421" s="10" t="s">
        <v>5169</v>
      </c>
      <c r="C2421" s="10" t="s">
        <v>5170</v>
      </c>
      <c r="D2421" s="11">
        <v>42779.535671296297</v>
      </c>
      <c r="E2421" s="10" t="s">
        <v>240</v>
      </c>
    </row>
    <row r="2422" spans="1:5">
      <c r="A2422" s="11">
        <v>42779</v>
      </c>
      <c r="B2422" s="10" t="s">
        <v>5171</v>
      </c>
      <c r="C2422" s="10" t="s">
        <v>5172</v>
      </c>
      <c r="D2422" s="11">
        <v>42781.624652777777</v>
      </c>
      <c r="E2422" s="10" t="s">
        <v>433</v>
      </c>
    </row>
    <row r="2423" spans="1:5">
      <c r="A2423" s="11">
        <v>42779</v>
      </c>
      <c r="B2423" s="10" t="s">
        <v>5173</v>
      </c>
      <c r="C2423" s="10" t="s">
        <v>5174</v>
      </c>
      <c r="D2423" s="11">
        <v>42779.551053240742</v>
      </c>
      <c r="E2423" s="10" t="s">
        <v>373</v>
      </c>
    </row>
    <row r="2424" spans="1:5">
      <c r="A2424" s="11">
        <v>42779</v>
      </c>
      <c r="B2424" s="10" t="s">
        <v>5175</v>
      </c>
      <c r="C2424" s="10" t="s">
        <v>5176</v>
      </c>
      <c r="D2424" s="11">
        <v>42779.552743055552</v>
      </c>
      <c r="E2424" s="10" t="s">
        <v>2169</v>
      </c>
    </row>
    <row r="2425" spans="1:5">
      <c r="A2425" s="11">
        <v>42779</v>
      </c>
      <c r="B2425" s="10" t="s">
        <v>5177</v>
      </c>
      <c r="C2425" s="10" t="s">
        <v>5178</v>
      </c>
      <c r="D2425" s="11">
        <v>42781.410266203704</v>
      </c>
      <c r="E2425" s="10" t="s">
        <v>185</v>
      </c>
    </row>
    <row r="2426" spans="1:5">
      <c r="A2426" s="11">
        <v>42779</v>
      </c>
      <c r="B2426" s="10" t="s">
        <v>5179</v>
      </c>
      <c r="C2426" s="10" t="s">
        <v>5180</v>
      </c>
      <c r="D2426" s="11">
        <v>42782.523333333331</v>
      </c>
      <c r="E2426" s="10" t="s">
        <v>966</v>
      </c>
    </row>
    <row r="2427" spans="1:5">
      <c r="A2427" s="11">
        <v>42779</v>
      </c>
      <c r="B2427" s="10" t="s">
        <v>5181</v>
      </c>
      <c r="C2427" s="10" t="s">
        <v>5182</v>
      </c>
      <c r="D2427" s="11">
        <v>42782.596516203703</v>
      </c>
      <c r="E2427" s="10" t="s">
        <v>433</v>
      </c>
    </row>
    <row r="2428" spans="1:5">
      <c r="A2428" s="11">
        <v>42779</v>
      </c>
      <c r="B2428" s="10" t="s">
        <v>5183</v>
      </c>
      <c r="C2428" s="10" t="s">
        <v>5184</v>
      </c>
      <c r="D2428" s="11">
        <v>42782.612013888887</v>
      </c>
      <c r="E2428" s="10" t="s">
        <v>152</v>
      </c>
    </row>
    <row r="2429" spans="1:5">
      <c r="A2429" s="11">
        <v>42779</v>
      </c>
      <c r="B2429" s="10" t="s">
        <v>5185</v>
      </c>
      <c r="C2429" s="10" t="s">
        <v>5186</v>
      </c>
      <c r="D2429" s="11">
        <v>42781.715173611112</v>
      </c>
      <c r="E2429" s="10" t="s">
        <v>2201</v>
      </c>
    </row>
    <row r="2430" spans="1:5">
      <c r="A2430" s="11">
        <v>42779</v>
      </c>
      <c r="B2430" s="10" t="s">
        <v>5187</v>
      </c>
      <c r="C2430" s="10" t="s">
        <v>5188</v>
      </c>
      <c r="D2430" s="11">
        <v>42780.839004629626</v>
      </c>
      <c r="E2430" s="10" t="s">
        <v>683</v>
      </c>
    </row>
    <row r="2431" spans="1:5">
      <c r="A2431" s="11">
        <v>42779</v>
      </c>
      <c r="B2431" s="10" t="s">
        <v>5189</v>
      </c>
      <c r="C2431" s="10" t="s">
        <v>5190</v>
      </c>
      <c r="D2431" s="11">
        <v>42779.77747685185</v>
      </c>
      <c r="E2431" s="10" t="s">
        <v>2186</v>
      </c>
    </row>
    <row r="2432" spans="1:5">
      <c r="A2432" s="11">
        <v>42779</v>
      </c>
      <c r="B2432" s="10" t="s">
        <v>5191</v>
      </c>
      <c r="C2432" s="10" t="s">
        <v>5192</v>
      </c>
      <c r="D2432" s="11">
        <v>42779.581076388888</v>
      </c>
      <c r="E2432" s="10" t="s">
        <v>240</v>
      </c>
    </row>
    <row r="2433" spans="1:5">
      <c r="A2433" s="11">
        <v>42779</v>
      </c>
      <c r="B2433" s="10" t="s">
        <v>5193</v>
      </c>
      <c r="C2433" s="10" t="s">
        <v>5194</v>
      </c>
      <c r="D2433" s="11">
        <v>42779.777685185189</v>
      </c>
      <c r="E2433" s="10" t="s">
        <v>2186</v>
      </c>
    </row>
    <row r="2434" spans="1:5" ht="21.6">
      <c r="A2434" s="11">
        <v>42779</v>
      </c>
      <c r="B2434" s="10" t="s">
        <v>5195</v>
      </c>
      <c r="C2434" s="10" t="s">
        <v>5196</v>
      </c>
      <c r="D2434" s="11">
        <v>42779.581516203703</v>
      </c>
      <c r="E2434" s="10" t="s">
        <v>2341</v>
      </c>
    </row>
    <row r="2435" spans="1:5">
      <c r="A2435" s="11">
        <v>42779</v>
      </c>
      <c r="B2435" s="10" t="s">
        <v>5197</v>
      </c>
      <c r="C2435" s="10" t="s">
        <v>5198</v>
      </c>
      <c r="D2435" s="11">
        <v>42779.582951388889</v>
      </c>
      <c r="E2435" s="10" t="s">
        <v>433</v>
      </c>
    </row>
    <row r="2436" spans="1:5">
      <c r="A2436" s="11">
        <v>42779</v>
      </c>
      <c r="B2436" s="10" t="s">
        <v>5199</v>
      </c>
      <c r="C2436" s="10" t="s">
        <v>5200</v>
      </c>
      <c r="D2436" s="11">
        <v>42780.850451388891</v>
      </c>
      <c r="E2436" s="10" t="s">
        <v>2554</v>
      </c>
    </row>
    <row r="2437" spans="1:5">
      <c r="A2437" s="11">
        <v>42779</v>
      </c>
      <c r="B2437" s="10" t="s">
        <v>5201</v>
      </c>
      <c r="C2437" s="10" t="s">
        <v>5202</v>
      </c>
      <c r="D2437" s="11">
        <v>42782.687905092593</v>
      </c>
      <c r="E2437" s="10" t="s">
        <v>433</v>
      </c>
    </row>
    <row r="2438" spans="1:5">
      <c r="A2438" s="11">
        <v>42779</v>
      </c>
      <c r="B2438" s="10" t="s">
        <v>5203</v>
      </c>
      <c r="C2438" s="10" t="s">
        <v>5204</v>
      </c>
      <c r="D2438" s="11">
        <v>42782.453738425924</v>
      </c>
      <c r="E2438" s="10" t="s">
        <v>414</v>
      </c>
    </row>
    <row r="2439" spans="1:5">
      <c r="A2439" s="11">
        <v>42779</v>
      </c>
      <c r="B2439" s="10" t="s">
        <v>5205</v>
      </c>
      <c r="C2439" s="10" t="s">
        <v>5206</v>
      </c>
      <c r="D2439" s="11">
        <v>42779.589884259258</v>
      </c>
      <c r="E2439" s="10" t="s">
        <v>1103</v>
      </c>
    </row>
    <row r="2440" spans="1:5">
      <c r="A2440" s="11">
        <v>42779</v>
      </c>
      <c r="B2440" s="10" t="s">
        <v>5207</v>
      </c>
      <c r="C2440" s="10" t="s">
        <v>5208</v>
      </c>
      <c r="D2440" s="11">
        <v>42781.461377314816</v>
      </c>
      <c r="E2440" s="10" t="s">
        <v>414</v>
      </c>
    </row>
    <row r="2441" spans="1:5">
      <c r="A2441" s="11">
        <v>42779</v>
      </c>
      <c r="B2441" s="10" t="s">
        <v>5209</v>
      </c>
      <c r="C2441" s="10" t="s">
        <v>5210</v>
      </c>
      <c r="D2441" s="11">
        <v>42782.668773148151</v>
      </c>
      <c r="E2441" s="10" t="s">
        <v>3550</v>
      </c>
    </row>
    <row r="2442" spans="1:5">
      <c r="A2442" s="11">
        <v>42779</v>
      </c>
      <c r="B2442" s="10" t="s">
        <v>5211</v>
      </c>
      <c r="C2442" s="10" t="s">
        <v>5212</v>
      </c>
      <c r="D2442" s="11">
        <v>42782.427812499998</v>
      </c>
      <c r="E2442" s="10" t="s">
        <v>433</v>
      </c>
    </row>
    <row r="2443" spans="1:5">
      <c r="A2443" s="11">
        <v>42779</v>
      </c>
      <c r="B2443" s="10" t="s">
        <v>5213</v>
      </c>
      <c r="C2443" s="10" t="s">
        <v>5214</v>
      </c>
      <c r="D2443" s="11">
        <v>42779.599652777775</v>
      </c>
      <c r="E2443" s="10" t="s">
        <v>373</v>
      </c>
    </row>
    <row r="2444" spans="1:5">
      <c r="A2444" s="11">
        <v>42779</v>
      </c>
      <c r="B2444" s="10" t="s">
        <v>5215</v>
      </c>
      <c r="C2444" s="10" t="s">
        <v>5216</v>
      </c>
      <c r="D2444" s="11">
        <v>42779.599675925929</v>
      </c>
      <c r="E2444" s="10" t="s">
        <v>433</v>
      </c>
    </row>
    <row r="2445" spans="1:5">
      <c r="A2445" s="11">
        <v>42779</v>
      </c>
      <c r="B2445" s="10" t="s">
        <v>5217</v>
      </c>
      <c r="C2445" s="10" t="s">
        <v>5218</v>
      </c>
      <c r="D2445" s="11">
        <v>42779.600474537037</v>
      </c>
      <c r="E2445" s="10" t="s">
        <v>373</v>
      </c>
    </row>
    <row r="2446" spans="1:5">
      <c r="A2446" s="11">
        <v>42779</v>
      </c>
      <c r="B2446" s="10" t="s">
        <v>5219</v>
      </c>
      <c r="C2446" s="10" t="s">
        <v>5220</v>
      </c>
      <c r="D2446" s="11">
        <v>42782.52925925926</v>
      </c>
      <c r="E2446" s="10" t="s">
        <v>1103</v>
      </c>
    </row>
    <row r="2447" spans="1:5">
      <c r="A2447" s="11">
        <v>42779</v>
      </c>
      <c r="B2447" s="10" t="s">
        <v>5221</v>
      </c>
      <c r="C2447" s="10" t="s">
        <v>5222</v>
      </c>
      <c r="D2447" s="11">
        <v>42779.60733796296</v>
      </c>
      <c r="E2447" s="10" t="s">
        <v>320</v>
      </c>
    </row>
    <row r="2448" spans="1:5">
      <c r="A2448" s="11">
        <v>42779</v>
      </c>
      <c r="B2448" s="10" t="s">
        <v>5223</v>
      </c>
      <c r="C2448" s="10" t="s">
        <v>5224</v>
      </c>
      <c r="D2448" s="11">
        <v>42779.607905092591</v>
      </c>
      <c r="E2448" s="10" t="s">
        <v>240</v>
      </c>
    </row>
    <row r="2449" spans="1:5">
      <c r="A2449" s="11">
        <v>42779</v>
      </c>
      <c r="B2449" s="10" t="s">
        <v>5225</v>
      </c>
      <c r="C2449" s="10" t="s">
        <v>5226</v>
      </c>
      <c r="D2449" s="11">
        <v>42779.61005787037</v>
      </c>
      <c r="E2449" s="10" t="s">
        <v>2515</v>
      </c>
    </row>
    <row r="2450" spans="1:5">
      <c r="A2450" s="11">
        <v>42779</v>
      </c>
      <c r="B2450" s="10" t="s">
        <v>5227</v>
      </c>
      <c r="C2450" s="10" t="s">
        <v>5228</v>
      </c>
      <c r="D2450" s="11">
        <v>42781.877974537034</v>
      </c>
      <c r="E2450" s="10" t="s">
        <v>237</v>
      </c>
    </row>
    <row r="2451" spans="1:5">
      <c r="A2451" s="11">
        <v>42779</v>
      </c>
      <c r="B2451" s="10" t="s">
        <v>5229</v>
      </c>
      <c r="C2451" s="10" t="s">
        <v>5230</v>
      </c>
      <c r="D2451" s="11">
        <v>42780.442499999997</v>
      </c>
      <c r="E2451" s="10" t="s">
        <v>237</v>
      </c>
    </row>
    <row r="2452" spans="1:5">
      <c r="A2452" s="11">
        <v>42779</v>
      </c>
      <c r="B2452" s="10" t="s">
        <v>5231</v>
      </c>
      <c r="C2452" s="10" t="s">
        <v>5232</v>
      </c>
      <c r="D2452" s="11">
        <v>42779.61210648148</v>
      </c>
      <c r="E2452" s="10" t="s">
        <v>373</v>
      </c>
    </row>
    <row r="2453" spans="1:5">
      <c r="A2453" s="11">
        <v>42779</v>
      </c>
      <c r="B2453" s="10" t="s">
        <v>5233</v>
      </c>
      <c r="C2453" s="10" t="s">
        <v>5234</v>
      </c>
      <c r="D2453" s="11">
        <v>42782.60527777778</v>
      </c>
      <c r="E2453" s="10" t="s">
        <v>1103</v>
      </c>
    </row>
    <row r="2454" spans="1:5">
      <c r="A2454" s="11">
        <v>42779</v>
      </c>
      <c r="B2454" s="10" t="s">
        <v>5235</v>
      </c>
      <c r="C2454" s="10" t="s">
        <v>5236</v>
      </c>
      <c r="D2454" s="11">
        <v>42779.618564814817</v>
      </c>
      <c r="E2454" s="10" t="s">
        <v>707</v>
      </c>
    </row>
    <row r="2455" spans="1:5">
      <c r="A2455" s="11">
        <v>42779</v>
      </c>
      <c r="B2455" s="10" t="s">
        <v>5237</v>
      </c>
      <c r="C2455" s="10" t="s">
        <v>5238</v>
      </c>
      <c r="D2455" s="11">
        <v>42779.61922453704</v>
      </c>
      <c r="E2455" s="10" t="s">
        <v>966</v>
      </c>
    </row>
    <row r="2456" spans="1:5">
      <c r="A2456" s="11">
        <v>42779</v>
      </c>
      <c r="B2456" s="10" t="s">
        <v>5239</v>
      </c>
      <c r="C2456" s="10" t="s">
        <v>5240</v>
      </c>
      <c r="D2456" s="11">
        <v>42779.623877314814</v>
      </c>
      <c r="E2456" s="10" t="s">
        <v>193</v>
      </c>
    </row>
    <row r="2457" spans="1:5">
      <c r="A2457" s="11">
        <v>42779</v>
      </c>
      <c r="B2457" s="10" t="s">
        <v>5241</v>
      </c>
      <c r="C2457" s="10" t="s">
        <v>5242</v>
      </c>
      <c r="D2457" s="11">
        <v>42779.627916666665</v>
      </c>
      <c r="E2457" s="10" t="s">
        <v>122</v>
      </c>
    </row>
    <row r="2458" spans="1:5">
      <c r="A2458" s="11">
        <v>42779</v>
      </c>
      <c r="B2458" s="10" t="s">
        <v>5243</v>
      </c>
      <c r="C2458" s="10" t="s">
        <v>5244</v>
      </c>
      <c r="D2458" s="11">
        <v>42779.627997685187</v>
      </c>
      <c r="E2458" s="10" t="s">
        <v>656</v>
      </c>
    </row>
    <row r="2459" spans="1:5">
      <c r="A2459" s="11">
        <v>42779</v>
      </c>
      <c r="B2459" s="10" t="s">
        <v>5245</v>
      </c>
      <c r="C2459" s="10" t="s">
        <v>5246</v>
      </c>
      <c r="D2459" s="11">
        <v>42782.606828703705</v>
      </c>
      <c r="E2459" s="10" t="s">
        <v>380</v>
      </c>
    </row>
    <row r="2460" spans="1:5">
      <c r="A2460" s="11">
        <v>42779</v>
      </c>
      <c r="B2460" s="10" t="s">
        <v>5247</v>
      </c>
      <c r="C2460" s="10" t="s">
        <v>5248</v>
      </c>
      <c r="D2460" s="11">
        <v>42779.643541666665</v>
      </c>
      <c r="E2460" s="10" t="s">
        <v>373</v>
      </c>
    </row>
    <row r="2461" spans="1:5">
      <c r="A2461" s="11">
        <v>42779</v>
      </c>
      <c r="B2461" s="10" t="s">
        <v>5249</v>
      </c>
      <c r="C2461" s="10" t="s">
        <v>5250</v>
      </c>
      <c r="D2461" s="11">
        <v>42779.644976851851</v>
      </c>
      <c r="E2461" s="10" t="s">
        <v>373</v>
      </c>
    </row>
    <row r="2462" spans="1:5">
      <c r="A2462" s="11">
        <v>42779</v>
      </c>
      <c r="B2462" s="10" t="s">
        <v>5251</v>
      </c>
      <c r="C2462" s="10" t="s">
        <v>5252</v>
      </c>
      <c r="D2462" s="11">
        <v>42782.425219907411</v>
      </c>
      <c r="E2462" s="10" t="s">
        <v>1696</v>
      </c>
    </row>
    <row r="2463" spans="1:5">
      <c r="A2463" s="11">
        <v>42779</v>
      </c>
      <c r="B2463" s="10" t="s">
        <v>5253</v>
      </c>
      <c r="C2463" s="10" t="s">
        <v>5254</v>
      </c>
      <c r="D2463" s="11">
        <v>42780.868506944447</v>
      </c>
      <c r="E2463" s="10" t="s">
        <v>1103</v>
      </c>
    </row>
    <row r="2464" spans="1:5">
      <c r="A2464" s="11">
        <v>42779</v>
      </c>
      <c r="B2464" s="10" t="s">
        <v>5255</v>
      </c>
      <c r="C2464" s="10" t="s">
        <v>5256</v>
      </c>
      <c r="D2464" s="11">
        <v>42779.654999999999</v>
      </c>
      <c r="E2464" s="10" t="s">
        <v>212</v>
      </c>
    </row>
    <row r="2465" spans="1:5">
      <c r="A2465" s="11">
        <v>42779</v>
      </c>
      <c r="B2465" s="10" t="s">
        <v>5257</v>
      </c>
      <c r="C2465" s="10" t="s">
        <v>5258</v>
      </c>
      <c r="D2465" s="11">
        <v>42782.651620370372</v>
      </c>
      <c r="E2465" s="10" t="s">
        <v>320</v>
      </c>
    </row>
    <row r="2466" spans="1:5">
      <c r="A2466" s="11">
        <v>42779</v>
      </c>
      <c r="B2466" s="10" t="s">
        <v>5259</v>
      </c>
      <c r="C2466" s="10" t="s">
        <v>5260</v>
      </c>
      <c r="D2466" s="11">
        <v>42780.771296296298</v>
      </c>
      <c r="E2466" s="10" t="s">
        <v>2515</v>
      </c>
    </row>
    <row r="2467" spans="1:5">
      <c r="A2467" s="11">
        <v>42779</v>
      </c>
      <c r="B2467" s="10" t="s">
        <v>5261</v>
      </c>
      <c r="C2467" s="10" t="s">
        <v>5262</v>
      </c>
      <c r="D2467" s="11">
        <v>42782.586967592593</v>
      </c>
      <c r="E2467" s="10" t="s">
        <v>99</v>
      </c>
    </row>
    <row r="2468" spans="1:5">
      <c r="A2468" s="11">
        <v>42779</v>
      </c>
      <c r="B2468" s="10" t="s">
        <v>5263</v>
      </c>
      <c r="C2468" s="10" t="s">
        <v>5264</v>
      </c>
      <c r="D2468" s="11">
        <v>42779.668703703705</v>
      </c>
      <c r="E2468" s="10" t="s">
        <v>215</v>
      </c>
    </row>
    <row r="2469" spans="1:5">
      <c r="A2469" s="11">
        <v>42779</v>
      </c>
      <c r="B2469" s="10" t="s">
        <v>5265</v>
      </c>
      <c r="C2469" s="10" t="s">
        <v>5266</v>
      </c>
      <c r="D2469" s="11">
        <v>42779.668888888889</v>
      </c>
      <c r="E2469" s="10" t="s">
        <v>237</v>
      </c>
    </row>
    <row r="2470" spans="1:5">
      <c r="A2470" s="11">
        <v>42779</v>
      </c>
      <c r="B2470" s="10" t="s">
        <v>5267</v>
      </c>
      <c r="C2470" s="10" t="s">
        <v>5268</v>
      </c>
      <c r="D2470" s="11">
        <v>42779.671898148146</v>
      </c>
      <c r="E2470" s="10" t="s">
        <v>3559</v>
      </c>
    </row>
    <row r="2471" spans="1:5">
      <c r="A2471" s="11">
        <v>42779</v>
      </c>
      <c r="B2471" s="10" t="s">
        <v>5269</v>
      </c>
      <c r="C2471" s="10" t="s">
        <v>5270</v>
      </c>
      <c r="D2471" s="11">
        <v>42779.67763888889</v>
      </c>
      <c r="E2471" s="10" t="s">
        <v>707</v>
      </c>
    </row>
    <row r="2472" spans="1:5">
      <c r="A2472" s="11">
        <v>42779</v>
      </c>
      <c r="B2472" s="10" t="s">
        <v>5271</v>
      </c>
      <c r="C2472" s="10" t="s">
        <v>5272</v>
      </c>
      <c r="D2472" s="11">
        <v>42779.68310185185</v>
      </c>
      <c r="E2472" s="10" t="s">
        <v>2515</v>
      </c>
    </row>
    <row r="2473" spans="1:5">
      <c r="A2473" s="11">
        <v>42779</v>
      </c>
      <c r="B2473" s="10" t="s">
        <v>5273</v>
      </c>
      <c r="C2473" s="10" t="s">
        <v>5274</v>
      </c>
      <c r="D2473" s="11">
        <v>42779.683738425927</v>
      </c>
      <c r="E2473" s="10" t="s">
        <v>143</v>
      </c>
    </row>
    <row r="2474" spans="1:5">
      <c r="A2474" s="11">
        <v>42779</v>
      </c>
      <c r="B2474" s="10" t="s">
        <v>5275</v>
      </c>
      <c r="C2474" s="10" t="s">
        <v>5276</v>
      </c>
      <c r="D2474" s="11">
        <v>42781.790046296293</v>
      </c>
      <c r="E2474" s="10" t="s">
        <v>479</v>
      </c>
    </row>
    <row r="2475" spans="1:5" ht="21.6">
      <c r="A2475" s="11">
        <v>42779</v>
      </c>
      <c r="B2475" s="10" t="s">
        <v>5277</v>
      </c>
      <c r="C2475" s="10" t="s">
        <v>5278</v>
      </c>
      <c r="D2475" s="11">
        <v>42779.68482638889</v>
      </c>
      <c r="E2475" s="10" t="s">
        <v>4004</v>
      </c>
    </row>
    <row r="2476" spans="1:5" ht="21.6">
      <c r="A2476" s="11">
        <v>42779</v>
      </c>
      <c r="B2476" s="10" t="s">
        <v>5279</v>
      </c>
      <c r="C2476" s="10" t="s">
        <v>5280</v>
      </c>
      <c r="D2476" s="11">
        <v>42779.686215277776</v>
      </c>
      <c r="E2476" s="10" t="s">
        <v>4004</v>
      </c>
    </row>
    <row r="2477" spans="1:5">
      <c r="A2477" s="11">
        <v>42779</v>
      </c>
      <c r="B2477" s="10" t="s">
        <v>5281</v>
      </c>
      <c r="C2477" s="10" t="s">
        <v>5282</v>
      </c>
      <c r="D2477" s="11">
        <v>42779.687708333331</v>
      </c>
      <c r="E2477" s="10" t="s">
        <v>373</v>
      </c>
    </row>
    <row r="2478" spans="1:5">
      <c r="A2478" s="11">
        <v>42779</v>
      </c>
      <c r="B2478" s="10" t="s">
        <v>5283</v>
      </c>
      <c r="C2478" s="10" t="s">
        <v>5284</v>
      </c>
      <c r="D2478" s="11">
        <v>42779.68849537037</v>
      </c>
      <c r="E2478" s="10" t="s">
        <v>2538</v>
      </c>
    </row>
    <row r="2479" spans="1:5">
      <c r="A2479" s="11">
        <v>42779</v>
      </c>
      <c r="B2479" s="10" t="s">
        <v>5285</v>
      </c>
      <c r="C2479" s="10" t="s">
        <v>5286</v>
      </c>
      <c r="D2479" s="11">
        <v>42779.690752314818</v>
      </c>
      <c r="E2479" s="10" t="s">
        <v>433</v>
      </c>
    </row>
    <row r="2480" spans="1:5">
      <c r="A2480" s="11">
        <v>42779</v>
      </c>
      <c r="B2480" s="10" t="s">
        <v>5287</v>
      </c>
      <c r="C2480" s="10" t="s">
        <v>5288</v>
      </c>
      <c r="D2480" s="11">
        <v>42779.691250000003</v>
      </c>
      <c r="E2480" s="10" t="s">
        <v>122</v>
      </c>
    </row>
    <row r="2481" spans="1:5">
      <c r="A2481" s="11">
        <v>42779</v>
      </c>
      <c r="B2481" s="10" t="s">
        <v>5289</v>
      </c>
      <c r="C2481" s="10" t="s">
        <v>5290</v>
      </c>
      <c r="D2481" s="11">
        <v>42779.691400462965</v>
      </c>
      <c r="E2481" s="10" t="s">
        <v>308</v>
      </c>
    </row>
    <row r="2482" spans="1:5">
      <c r="A2482" s="11">
        <v>42779</v>
      </c>
      <c r="B2482" s="10" t="s">
        <v>5291</v>
      </c>
      <c r="C2482" s="10" t="s">
        <v>5292</v>
      </c>
      <c r="D2482" s="11">
        <v>42779.691608796296</v>
      </c>
      <c r="E2482" s="10" t="s">
        <v>2180</v>
      </c>
    </row>
    <row r="2483" spans="1:5">
      <c r="A2483" s="11">
        <v>42779</v>
      </c>
      <c r="B2483" s="10" t="s">
        <v>5293</v>
      </c>
      <c r="C2483" s="10" t="s">
        <v>5294</v>
      </c>
      <c r="D2483" s="11">
        <v>42779.699201388888</v>
      </c>
      <c r="E2483" s="10" t="s">
        <v>240</v>
      </c>
    </row>
    <row r="2484" spans="1:5">
      <c r="A2484" s="11">
        <v>42779</v>
      </c>
      <c r="B2484" s="10" t="s">
        <v>5295</v>
      </c>
      <c r="C2484" s="10" t="s">
        <v>5296</v>
      </c>
      <c r="D2484" s="11">
        <v>42782.639444444445</v>
      </c>
      <c r="E2484" s="10" t="s">
        <v>380</v>
      </c>
    </row>
    <row r="2485" spans="1:5">
      <c r="A2485" s="11">
        <v>42779</v>
      </c>
      <c r="B2485" s="10" t="s">
        <v>5297</v>
      </c>
      <c r="C2485" s="10" t="s">
        <v>5298</v>
      </c>
      <c r="D2485" s="11">
        <v>42779.704317129632</v>
      </c>
      <c r="E2485" s="10" t="s">
        <v>433</v>
      </c>
    </row>
    <row r="2486" spans="1:5">
      <c r="A2486" s="11">
        <v>42779</v>
      </c>
      <c r="B2486" s="10" t="s">
        <v>5299</v>
      </c>
      <c r="C2486" s="10" t="s">
        <v>5300</v>
      </c>
      <c r="D2486" s="11">
        <v>42779.70449074074</v>
      </c>
      <c r="E2486" s="10" t="s">
        <v>152</v>
      </c>
    </row>
    <row r="2487" spans="1:5">
      <c r="A2487" s="11">
        <v>42779</v>
      </c>
      <c r="B2487" s="10" t="s">
        <v>5301</v>
      </c>
      <c r="C2487" s="10" t="s">
        <v>5302</v>
      </c>
      <c r="D2487" s="11">
        <v>42782.487233796295</v>
      </c>
      <c r="E2487" s="10" t="s">
        <v>433</v>
      </c>
    </row>
    <row r="2488" spans="1:5">
      <c r="A2488" s="11">
        <v>42779</v>
      </c>
      <c r="B2488" s="10" t="s">
        <v>5303</v>
      </c>
      <c r="C2488" s="10" t="s">
        <v>5304</v>
      </c>
      <c r="D2488" s="11">
        <v>42779.70548611111</v>
      </c>
      <c r="E2488" s="10" t="s">
        <v>122</v>
      </c>
    </row>
    <row r="2489" spans="1:5">
      <c r="A2489" s="11">
        <v>42779</v>
      </c>
      <c r="B2489" s="10" t="s">
        <v>5305</v>
      </c>
      <c r="C2489" s="10" t="s">
        <v>5306</v>
      </c>
      <c r="D2489" s="11">
        <v>42779.706967592596</v>
      </c>
      <c r="E2489" s="10" t="s">
        <v>152</v>
      </c>
    </row>
    <row r="2490" spans="1:5">
      <c r="A2490" s="11">
        <v>42779</v>
      </c>
      <c r="B2490" s="10" t="s">
        <v>5307</v>
      </c>
      <c r="C2490" s="10" t="s">
        <v>5308</v>
      </c>
      <c r="D2490" s="11">
        <v>42779.707060185188</v>
      </c>
      <c r="E2490" s="10" t="s">
        <v>240</v>
      </c>
    </row>
    <row r="2491" spans="1:5">
      <c r="A2491" s="11">
        <v>42779</v>
      </c>
      <c r="B2491" s="10" t="s">
        <v>5309</v>
      </c>
      <c r="C2491" s="10" t="s">
        <v>5310</v>
      </c>
      <c r="D2491" s="11">
        <v>42779.70826388889</v>
      </c>
      <c r="E2491" s="10" t="s">
        <v>2515</v>
      </c>
    </row>
    <row r="2492" spans="1:5">
      <c r="A2492" s="11">
        <v>42779</v>
      </c>
      <c r="B2492" s="10" t="s">
        <v>5311</v>
      </c>
      <c r="C2492" s="10" t="s">
        <v>5312</v>
      </c>
      <c r="D2492" s="11">
        <v>42779.709386574075</v>
      </c>
      <c r="E2492" s="10" t="s">
        <v>240</v>
      </c>
    </row>
    <row r="2493" spans="1:5">
      <c r="A2493" s="11">
        <v>42779</v>
      </c>
      <c r="B2493" s="10" t="s">
        <v>5313</v>
      </c>
      <c r="C2493" s="10" t="s">
        <v>5314</v>
      </c>
      <c r="D2493" s="11">
        <v>42779.712037037039</v>
      </c>
      <c r="E2493" s="10" t="s">
        <v>433</v>
      </c>
    </row>
    <row r="2494" spans="1:5">
      <c r="A2494" s="11">
        <v>42779</v>
      </c>
      <c r="B2494" s="10" t="s">
        <v>5315</v>
      </c>
      <c r="C2494" s="10" t="s">
        <v>5316</v>
      </c>
      <c r="D2494" s="11">
        <v>42782.622777777775</v>
      </c>
      <c r="E2494" s="10" t="s">
        <v>414</v>
      </c>
    </row>
    <row r="2495" spans="1:5">
      <c r="A2495" s="11">
        <v>42779</v>
      </c>
      <c r="B2495" s="10" t="s">
        <v>5317</v>
      </c>
      <c r="C2495" s="10" t="s">
        <v>5318</v>
      </c>
      <c r="D2495" s="11">
        <v>42779.714282407411</v>
      </c>
      <c r="E2495" s="10" t="s">
        <v>433</v>
      </c>
    </row>
    <row r="2496" spans="1:5">
      <c r="A2496" s="11">
        <v>42779</v>
      </c>
      <c r="B2496" s="10" t="s">
        <v>5319</v>
      </c>
      <c r="C2496" s="10" t="s">
        <v>5320</v>
      </c>
      <c r="D2496" s="11">
        <v>42779.714513888888</v>
      </c>
      <c r="E2496" s="10" t="s">
        <v>433</v>
      </c>
    </row>
    <row r="2497" spans="1:5">
      <c r="A2497" s="11">
        <v>42779</v>
      </c>
      <c r="B2497" s="10" t="s">
        <v>5321</v>
      </c>
      <c r="C2497" s="10" t="s">
        <v>5322</v>
      </c>
      <c r="D2497" s="11">
        <v>42779.716099537036</v>
      </c>
      <c r="E2497" s="10" t="s">
        <v>237</v>
      </c>
    </row>
    <row r="2498" spans="1:5">
      <c r="A2498" s="11">
        <v>42779</v>
      </c>
      <c r="B2498" s="10" t="s">
        <v>5323</v>
      </c>
      <c r="C2498" s="10" t="s">
        <v>5324</v>
      </c>
      <c r="D2498" s="11">
        <v>42779.717129629629</v>
      </c>
      <c r="E2498" s="10" t="s">
        <v>373</v>
      </c>
    </row>
    <row r="2499" spans="1:5">
      <c r="A2499" s="11">
        <v>42779</v>
      </c>
      <c r="B2499" s="10" t="s">
        <v>5325</v>
      </c>
      <c r="C2499" s="10" t="s">
        <v>5326</v>
      </c>
      <c r="D2499" s="11">
        <v>42779.717812499999</v>
      </c>
      <c r="E2499" s="10" t="s">
        <v>237</v>
      </c>
    </row>
    <row r="2500" spans="1:5">
      <c r="A2500" s="11">
        <v>42779</v>
      </c>
      <c r="B2500" s="10" t="s">
        <v>5327</v>
      </c>
      <c r="C2500" s="10" t="s">
        <v>5328</v>
      </c>
      <c r="D2500" s="11">
        <v>42779.719502314816</v>
      </c>
      <c r="E2500" s="10" t="s">
        <v>2515</v>
      </c>
    </row>
    <row r="2501" spans="1:5">
      <c r="A2501" s="11">
        <v>42779</v>
      </c>
      <c r="B2501" s="10" t="s">
        <v>5329</v>
      </c>
      <c r="C2501" s="10" t="s">
        <v>5330</v>
      </c>
      <c r="D2501" s="11">
        <v>42779.719652777778</v>
      </c>
      <c r="E2501" s="10" t="s">
        <v>237</v>
      </c>
    </row>
    <row r="2502" spans="1:5">
      <c r="A2502" s="11">
        <v>42779</v>
      </c>
      <c r="B2502" s="10" t="s">
        <v>5331</v>
      </c>
      <c r="C2502" s="10" t="s">
        <v>5332</v>
      </c>
      <c r="D2502" s="11">
        <v>42779.719872685186</v>
      </c>
      <c r="E2502" s="10" t="s">
        <v>237</v>
      </c>
    </row>
    <row r="2503" spans="1:5">
      <c r="A2503" s="11">
        <v>42779</v>
      </c>
      <c r="B2503" s="10" t="s">
        <v>5333</v>
      </c>
      <c r="C2503" s="10" t="s">
        <v>5334</v>
      </c>
      <c r="D2503" s="11">
        <v>42782.617129629631</v>
      </c>
      <c r="E2503" s="10" t="s">
        <v>2180</v>
      </c>
    </row>
    <row r="2504" spans="1:5">
      <c r="A2504" s="11">
        <v>42779</v>
      </c>
      <c r="B2504" s="10" t="s">
        <v>5335</v>
      </c>
      <c r="C2504" s="10" t="s">
        <v>5336</v>
      </c>
      <c r="D2504" s="11">
        <v>42779.72016203704</v>
      </c>
      <c r="E2504" s="10" t="s">
        <v>237</v>
      </c>
    </row>
    <row r="2505" spans="1:5">
      <c r="A2505" s="11">
        <v>42779</v>
      </c>
      <c r="B2505" s="10" t="s">
        <v>5337</v>
      </c>
      <c r="C2505" s="10" t="s">
        <v>5338</v>
      </c>
      <c r="D2505" s="11">
        <v>42779.720706018517</v>
      </c>
      <c r="E2505" s="10" t="s">
        <v>237</v>
      </c>
    </row>
    <row r="2506" spans="1:5">
      <c r="A2506" s="11">
        <v>42779</v>
      </c>
      <c r="B2506" s="10" t="s">
        <v>5339</v>
      </c>
      <c r="C2506" s="10" t="s">
        <v>5340</v>
      </c>
      <c r="D2506" s="11">
        <v>42781.062083333331</v>
      </c>
      <c r="E2506" s="10" t="s">
        <v>122</v>
      </c>
    </row>
    <row r="2507" spans="1:5">
      <c r="A2507" s="11">
        <v>42779</v>
      </c>
      <c r="B2507" s="10" t="s">
        <v>5341</v>
      </c>
      <c r="C2507" s="10" t="s">
        <v>5342</v>
      </c>
      <c r="D2507" s="11">
        <v>42779.722291666665</v>
      </c>
      <c r="E2507" s="10" t="s">
        <v>949</v>
      </c>
    </row>
    <row r="2508" spans="1:5">
      <c r="A2508" s="11">
        <v>42779</v>
      </c>
      <c r="B2508" s="10" t="s">
        <v>5343</v>
      </c>
      <c r="C2508" s="10" t="s">
        <v>5344</v>
      </c>
      <c r="D2508" s="11">
        <v>42779.729027777779</v>
      </c>
      <c r="E2508" s="10" t="s">
        <v>218</v>
      </c>
    </row>
    <row r="2509" spans="1:5">
      <c r="A2509" s="11">
        <v>42779</v>
      </c>
      <c r="B2509" s="10" t="s">
        <v>5345</v>
      </c>
      <c r="C2509" s="10" t="s">
        <v>5346</v>
      </c>
      <c r="D2509" s="11">
        <v>42779.731122685182</v>
      </c>
      <c r="E2509" s="10" t="s">
        <v>240</v>
      </c>
    </row>
    <row r="2510" spans="1:5">
      <c r="A2510" s="11">
        <v>42779</v>
      </c>
      <c r="B2510" s="10" t="s">
        <v>5347</v>
      </c>
      <c r="C2510" s="10" t="s">
        <v>5348</v>
      </c>
      <c r="D2510" s="11">
        <v>42779.731504629628</v>
      </c>
      <c r="E2510" s="10" t="s">
        <v>218</v>
      </c>
    </row>
    <row r="2511" spans="1:5">
      <c r="A2511" s="11">
        <v>42779</v>
      </c>
      <c r="B2511" s="10" t="s">
        <v>5349</v>
      </c>
      <c r="C2511" s="10" t="s">
        <v>5350</v>
      </c>
      <c r="D2511" s="11">
        <v>42780.442025462966</v>
      </c>
      <c r="E2511" s="10" t="s">
        <v>125</v>
      </c>
    </row>
    <row r="2512" spans="1:5">
      <c r="A2512" s="11">
        <v>42779</v>
      </c>
      <c r="B2512" s="10" t="s">
        <v>5351</v>
      </c>
      <c r="C2512" s="10" t="s">
        <v>5352</v>
      </c>
      <c r="D2512" s="11">
        <v>42781.860266203701</v>
      </c>
      <c r="E2512" s="10" t="s">
        <v>656</v>
      </c>
    </row>
    <row r="2513" spans="1:5">
      <c r="A2513" s="11">
        <v>42779</v>
      </c>
      <c r="B2513" s="10" t="s">
        <v>5353</v>
      </c>
      <c r="C2513" s="10" t="s">
        <v>5354</v>
      </c>
      <c r="D2513" s="11">
        <v>42781.85601851852</v>
      </c>
      <c r="E2513" s="10" t="s">
        <v>215</v>
      </c>
    </row>
    <row r="2514" spans="1:5">
      <c r="A2514" s="11">
        <v>42779</v>
      </c>
      <c r="B2514" s="10" t="s">
        <v>5355</v>
      </c>
      <c r="C2514" s="10" t="s">
        <v>5356</v>
      </c>
      <c r="D2514" s="11">
        <v>42779.747881944444</v>
      </c>
      <c r="E2514" s="10" t="s">
        <v>433</v>
      </c>
    </row>
    <row r="2515" spans="1:5">
      <c r="A2515" s="11">
        <v>42779</v>
      </c>
      <c r="B2515" s="10" t="s">
        <v>5357</v>
      </c>
      <c r="C2515" s="10" t="s">
        <v>5358</v>
      </c>
      <c r="D2515" s="11">
        <v>42779.750775462962</v>
      </c>
      <c r="E2515" s="10" t="s">
        <v>1361</v>
      </c>
    </row>
    <row r="2516" spans="1:5">
      <c r="A2516" s="11">
        <v>42779</v>
      </c>
      <c r="B2516" s="10" t="s">
        <v>5359</v>
      </c>
      <c r="C2516" s="10" t="s">
        <v>5360</v>
      </c>
      <c r="D2516" s="11">
        <v>42781.799733796295</v>
      </c>
      <c r="E2516" s="10" t="s">
        <v>433</v>
      </c>
    </row>
    <row r="2517" spans="1:5">
      <c r="A2517" s="11">
        <v>42779</v>
      </c>
      <c r="B2517" s="10" t="s">
        <v>5361</v>
      </c>
      <c r="C2517" s="10" t="s">
        <v>5362</v>
      </c>
      <c r="D2517" s="11">
        <v>42779.751261574071</v>
      </c>
      <c r="E2517" s="10" t="s">
        <v>212</v>
      </c>
    </row>
    <row r="2518" spans="1:5">
      <c r="A2518" s="11">
        <v>42779</v>
      </c>
      <c r="B2518" s="10" t="s">
        <v>5363</v>
      </c>
      <c r="C2518" s="10" t="s">
        <v>5364</v>
      </c>
      <c r="D2518" s="11">
        <v>42779.751377314817</v>
      </c>
      <c r="E2518" s="10" t="s">
        <v>3997</v>
      </c>
    </row>
    <row r="2519" spans="1:5">
      <c r="A2519" s="11">
        <v>42779</v>
      </c>
      <c r="B2519" s="10" t="s">
        <v>5365</v>
      </c>
      <c r="C2519" s="10" t="s">
        <v>5366</v>
      </c>
      <c r="D2519" s="11">
        <v>42779.761921296296</v>
      </c>
      <c r="E2519" s="10" t="s">
        <v>240</v>
      </c>
    </row>
    <row r="2520" spans="1:5">
      <c r="A2520" s="11">
        <v>42779</v>
      </c>
      <c r="B2520" s="10" t="s">
        <v>5367</v>
      </c>
      <c r="C2520" s="10" t="s">
        <v>5368</v>
      </c>
      <c r="D2520" s="11">
        <v>42779.766064814816</v>
      </c>
      <c r="E2520" s="10" t="s">
        <v>670</v>
      </c>
    </row>
    <row r="2521" spans="1:5">
      <c r="A2521" s="11">
        <v>42779</v>
      </c>
      <c r="B2521" s="10" t="s">
        <v>5369</v>
      </c>
      <c r="C2521" s="10" t="s">
        <v>5370</v>
      </c>
      <c r="D2521" s="11">
        <v>42782.630474537036</v>
      </c>
      <c r="E2521" s="10" t="s">
        <v>2180</v>
      </c>
    </row>
    <row r="2522" spans="1:5">
      <c r="A2522" s="11">
        <v>42779</v>
      </c>
      <c r="B2522" s="10" t="s">
        <v>5371</v>
      </c>
      <c r="C2522" s="10" t="s">
        <v>5372</v>
      </c>
      <c r="D2522" s="11">
        <v>42782.635844907411</v>
      </c>
      <c r="E2522" s="10" t="s">
        <v>2688</v>
      </c>
    </row>
    <row r="2523" spans="1:5">
      <c r="A2523" s="11">
        <v>42779</v>
      </c>
      <c r="B2523" s="10" t="s">
        <v>5373</v>
      </c>
      <c r="C2523" s="10" t="s">
        <v>5374</v>
      </c>
      <c r="D2523" s="11">
        <v>42779.777881944443</v>
      </c>
      <c r="E2523" s="10" t="s">
        <v>3997</v>
      </c>
    </row>
    <row r="2524" spans="1:5">
      <c r="A2524" s="11">
        <v>42779</v>
      </c>
      <c r="B2524" s="10" t="s">
        <v>5375</v>
      </c>
      <c r="C2524" s="10" t="s">
        <v>5376</v>
      </c>
      <c r="D2524" s="11">
        <v>42779.78665509259</v>
      </c>
      <c r="E2524" s="10" t="s">
        <v>373</v>
      </c>
    </row>
    <row r="2525" spans="1:5">
      <c r="A2525" s="11">
        <v>42779</v>
      </c>
      <c r="B2525" s="10" t="s">
        <v>5377</v>
      </c>
      <c r="C2525" s="10" t="s">
        <v>5378</v>
      </c>
      <c r="D2525" s="11">
        <v>42779.787141203706</v>
      </c>
      <c r="E2525" s="10" t="s">
        <v>683</v>
      </c>
    </row>
    <row r="2526" spans="1:5">
      <c r="A2526" s="11">
        <v>42779</v>
      </c>
      <c r="B2526" s="10" t="s">
        <v>5379</v>
      </c>
      <c r="C2526" s="10" t="s">
        <v>5380</v>
      </c>
      <c r="D2526" s="11">
        <v>42779.796631944446</v>
      </c>
      <c r="E2526" s="10" t="s">
        <v>240</v>
      </c>
    </row>
    <row r="2527" spans="1:5">
      <c r="A2527" s="11">
        <v>42779</v>
      </c>
      <c r="B2527" s="10" t="s">
        <v>5381</v>
      </c>
      <c r="C2527" s="10" t="s">
        <v>5382</v>
      </c>
      <c r="D2527" s="11">
        <v>42779.80263888889</v>
      </c>
      <c r="E2527" s="10" t="s">
        <v>1190</v>
      </c>
    </row>
    <row r="2528" spans="1:5">
      <c r="A2528" s="11">
        <v>42779</v>
      </c>
      <c r="B2528" s="10" t="s">
        <v>5383</v>
      </c>
      <c r="C2528" s="10" t="s">
        <v>5384</v>
      </c>
      <c r="D2528" s="11">
        <v>42780.87636574074</v>
      </c>
      <c r="E2528" s="10" t="s">
        <v>125</v>
      </c>
    </row>
    <row r="2529" spans="1:5">
      <c r="A2529" s="11">
        <v>42779</v>
      </c>
      <c r="B2529" s="10" t="s">
        <v>5385</v>
      </c>
      <c r="C2529" s="10" t="s">
        <v>5386</v>
      </c>
      <c r="D2529" s="11">
        <v>42779.807951388888</v>
      </c>
      <c r="E2529" s="10" t="s">
        <v>5387</v>
      </c>
    </row>
    <row r="2530" spans="1:5">
      <c r="A2530" s="11">
        <v>42779</v>
      </c>
      <c r="B2530" s="10" t="s">
        <v>5388</v>
      </c>
      <c r="C2530" s="10" t="s">
        <v>5389</v>
      </c>
      <c r="D2530" s="11">
        <v>42781.82476851852</v>
      </c>
      <c r="E2530" s="10" t="s">
        <v>237</v>
      </c>
    </row>
    <row r="2531" spans="1:5">
      <c r="A2531" s="11">
        <v>42779</v>
      </c>
      <c r="B2531" s="10" t="s">
        <v>5390</v>
      </c>
      <c r="C2531" s="10" t="s">
        <v>5391</v>
      </c>
      <c r="D2531" s="11">
        <v>42781.985300925924</v>
      </c>
      <c r="E2531" s="10" t="s">
        <v>2180</v>
      </c>
    </row>
    <row r="2532" spans="1:5">
      <c r="A2532" s="11">
        <v>42779</v>
      </c>
      <c r="B2532" s="10" t="s">
        <v>5392</v>
      </c>
      <c r="C2532" s="10" t="s">
        <v>5393</v>
      </c>
      <c r="D2532" s="11">
        <v>42779.814791666664</v>
      </c>
      <c r="E2532" s="10" t="s">
        <v>218</v>
      </c>
    </row>
    <row r="2533" spans="1:5">
      <c r="A2533" s="11">
        <v>42779</v>
      </c>
      <c r="B2533" s="10" t="s">
        <v>5394</v>
      </c>
      <c r="C2533" s="10" t="s">
        <v>5395</v>
      </c>
      <c r="D2533" s="11">
        <v>42779.815578703703</v>
      </c>
      <c r="E2533" s="10" t="s">
        <v>433</v>
      </c>
    </row>
    <row r="2534" spans="1:5">
      <c r="A2534" s="11">
        <v>42779</v>
      </c>
      <c r="B2534" s="10" t="s">
        <v>5396</v>
      </c>
      <c r="C2534" s="10" t="s">
        <v>5397</v>
      </c>
      <c r="D2534" s="11">
        <v>42779.821736111109</v>
      </c>
      <c r="E2534" s="10" t="s">
        <v>3550</v>
      </c>
    </row>
    <row r="2535" spans="1:5">
      <c r="A2535" s="11">
        <v>42779</v>
      </c>
      <c r="B2535" s="10" t="s">
        <v>5398</v>
      </c>
      <c r="C2535" s="10" t="s">
        <v>5399</v>
      </c>
      <c r="D2535" s="11">
        <v>42781.981817129628</v>
      </c>
      <c r="E2535" s="10" t="s">
        <v>152</v>
      </c>
    </row>
    <row r="2536" spans="1:5">
      <c r="A2536" s="11">
        <v>42779</v>
      </c>
      <c r="B2536" s="10" t="s">
        <v>5400</v>
      </c>
      <c r="C2536" s="10" t="s">
        <v>5401</v>
      </c>
      <c r="D2536" s="11">
        <v>42781.616516203707</v>
      </c>
      <c r="E2536" s="10" t="s">
        <v>433</v>
      </c>
    </row>
    <row r="2537" spans="1:5">
      <c r="A2537" s="11">
        <v>42779</v>
      </c>
      <c r="B2537" s="10" t="s">
        <v>5402</v>
      </c>
      <c r="C2537" s="10" t="s">
        <v>5403</v>
      </c>
      <c r="D2537" s="11">
        <v>42779.832384259258</v>
      </c>
      <c r="E2537" s="10" t="s">
        <v>2124</v>
      </c>
    </row>
    <row r="2538" spans="1:5" ht="21.6">
      <c r="A2538" s="11">
        <v>42779</v>
      </c>
      <c r="B2538" s="10" t="s">
        <v>5404</v>
      </c>
      <c r="C2538" s="10" t="s">
        <v>5405</v>
      </c>
      <c r="D2538" s="11">
        <v>42782.601261574076</v>
      </c>
      <c r="E2538" s="10" t="s">
        <v>5406</v>
      </c>
    </row>
    <row r="2539" spans="1:5">
      <c r="A2539" s="11">
        <v>42779</v>
      </c>
      <c r="B2539" s="10" t="s">
        <v>5407</v>
      </c>
      <c r="C2539" s="10" t="s">
        <v>5408</v>
      </c>
      <c r="D2539" s="11">
        <v>42779.835949074077</v>
      </c>
      <c r="E2539" s="10" t="s">
        <v>433</v>
      </c>
    </row>
    <row r="2540" spans="1:5" ht="21.6">
      <c r="A2540" s="11">
        <v>42779</v>
      </c>
      <c r="B2540" s="10" t="s">
        <v>5409</v>
      </c>
      <c r="C2540" s="10" t="s">
        <v>5410</v>
      </c>
      <c r="D2540" s="11">
        <v>42779.836736111109</v>
      </c>
      <c r="E2540" s="10" t="s">
        <v>3027</v>
      </c>
    </row>
    <row r="2541" spans="1:5">
      <c r="A2541" s="11">
        <v>42779</v>
      </c>
      <c r="B2541" s="10" t="s">
        <v>5411</v>
      </c>
      <c r="C2541" s="10" t="s">
        <v>5412</v>
      </c>
      <c r="D2541" s="11">
        <v>42779.837118055555</v>
      </c>
      <c r="E2541" s="10" t="s">
        <v>2180</v>
      </c>
    </row>
    <row r="2542" spans="1:5" ht="21.6">
      <c r="A2542" s="11">
        <v>42779</v>
      </c>
      <c r="B2542" s="10" t="s">
        <v>5413</v>
      </c>
      <c r="C2542" s="10" t="s">
        <v>5414</v>
      </c>
      <c r="D2542" s="11">
        <v>42779.837395833332</v>
      </c>
      <c r="E2542" s="10" t="s">
        <v>3027</v>
      </c>
    </row>
    <row r="2543" spans="1:5">
      <c r="A2543" s="11">
        <v>42779</v>
      </c>
      <c r="B2543" s="10" t="s">
        <v>5415</v>
      </c>
      <c r="C2543" s="10" t="s">
        <v>5416</v>
      </c>
      <c r="D2543" s="11">
        <v>42779.850347222222</v>
      </c>
      <c r="E2543" s="10" t="s">
        <v>2515</v>
      </c>
    </row>
    <row r="2544" spans="1:5">
      <c r="A2544" s="11">
        <v>42779</v>
      </c>
      <c r="B2544" s="10" t="s">
        <v>5417</v>
      </c>
      <c r="C2544" s="10" t="s">
        <v>5418</v>
      </c>
      <c r="D2544" s="11">
        <v>42779.855150462965</v>
      </c>
      <c r="E2544" s="10" t="s">
        <v>237</v>
      </c>
    </row>
    <row r="2545" spans="1:5">
      <c r="A2545" s="11">
        <v>42779</v>
      </c>
      <c r="B2545" s="10" t="s">
        <v>5419</v>
      </c>
      <c r="C2545" s="10" t="s">
        <v>5420</v>
      </c>
      <c r="D2545" s="11">
        <v>42781.698807870373</v>
      </c>
      <c r="E2545" s="10" t="s">
        <v>2180</v>
      </c>
    </row>
    <row r="2546" spans="1:5">
      <c r="A2546" s="11">
        <v>42779</v>
      </c>
      <c r="B2546" s="10" t="s">
        <v>5421</v>
      </c>
      <c r="C2546" s="10" t="s">
        <v>5422</v>
      </c>
      <c r="D2546" s="11">
        <v>42779.859884259262</v>
      </c>
      <c r="E2546" s="10" t="s">
        <v>433</v>
      </c>
    </row>
    <row r="2547" spans="1:5">
      <c r="A2547" s="11">
        <v>42779</v>
      </c>
      <c r="B2547" s="10" t="s">
        <v>5423</v>
      </c>
      <c r="C2547" s="10" t="s">
        <v>5424</v>
      </c>
      <c r="D2547" s="11">
        <v>42779.86010416667</v>
      </c>
      <c r="E2547" s="10" t="s">
        <v>433</v>
      </c>
    </row>
    <row r="2548" spans="1:5">
      <c r="A2548" s="11">
        <v>42779</v>
      </c>
      <c r="B2548" s="10" t="s">
        <v>5425</v>
      </c>
      <c r="C2548" s="10" t="s">
        <v>5426</v>
      </c>
      <c r="D2548" s="11">
        <v>42779.862604166665</v>
      </c>
      <c r="E2548" s="10" t="s">
        <v>122</v>
      </c>
    </row>
    <row r="2549" spans="1:5">
      <c r="A2549" s="11">
        <v>42779</v>
      </c>
      <c r="B2549" s="10" t="s">
        <v>5427</v>
      </c>
      <c r="C2549" s="10" t="s">
        <v>5428</v>
      </c>
      <c r="D2549" s="11">
        <v>42782.692847222221</v>
      </c>
      <c r="E2549" s="10" t="s">
        <v>193</v>
      </c>
    </row>
    <row r="2550" spans="1:5">
      <c r="A2550" s="11">
        <v>42779</v>
      </c>
      <c r="B2550" s="10" t="s">
        <v>5429</v>
      </c>
      <c r="C2550" s="10" t="s">
        <v>5430</v>
      </c>
      <c r="D2550" s="11">
        <v>42779.887013888889</v>
      </c>
      <c r="E2550" s="10" t="s">
        <v>240</v>
      </c>
    </row>
    <row r="2551" spans="1:5">
      <c r="A2551" s="11">
        <v>42779</v>
      </c>
      <c r="B2551" s="10" t="s">
        <v>5431</v>
      </c>
      <c r="C2551" s="10" t="s">
        <v>5432</v>
      </c>
      <c r="D2551" s="11">
        <v>42779.887233796297</v>
      </c>
      <c r="E2551" s="10" t="s">
        <v>218</v>
      </c>
    </row>
    <row r="2552" spans="1:5">
      <c r="A2552" s="11">
        <v>42779</v>
      </c>
      <c r="B2552" s="10" t="s">
        <v>5433</v>
      </c>
      <c r="C2552" s="10" t="s">
        <v>5434</v>
      </c>
      <c r="D2552" s="11">
        <v>42779.900937500002</v>
      </c>
      <c r="E2552" s="10" t="s">
        <v>433</v>
      </c>
    </row>
    <row r="2553" spans="1:5">
      <c r="A2553" s="11">
        <v>42779</v>
      </c>
      <c r="B2553" s="10" t="s">
        <v>5435</v>
      </c>
      <c r="C2553" s="10" t="s">
        <v>5436</v>
      </c>
      <c r="D2553" s="11">
        <v>42782.557106481479</v>
      </c>
      <c r="E2553" s="10" t="s">
        <v>2742</v>
      </c>
    </row>
    <row r="2554" spans="1:5">
      <c r="A2554" s="11">
        <v>42779</v>
      </c>
      <c r="B2554" s="10" t="s">
        <v>5437</v>
      </c>
      <c r="C2554" s="10" t="s">
        <v>5438</v>
      </c>
      <c r="D2554" s="11">
        <v>42779.919710648152</v>
      </c>
      <c r="E2554" s="10" t="s">
        <v>949</v>
      </c>
    </row>
    <row r="2555" spans="1:5">
      <c r="A2555" s="11">
        <v>42779</v>
      </c>
      <c r="B2555" s="10" t="s">
        <v>5439</v>
      </c>
      <c r="C2555" s="10" t="s">
        <v>5440</v>
      </c>
      <c r="D2555" s="11">
        <v>42782.402962962966</v>
      </c>
      <c r="E2555" s="10" t="s">
        <v>656</v>
      </c>
    </row>
    <row r="2556" spans="1:5">
      <c r="A2556" s="11">
        <v>42779</v>
      </c>
      <c r="B2556" s="10" t="s">
        <v>5441</v>
      </c>
      <c r="C2556" s="10" t="s">
        <v>5442</v>
      </c>
      <c r="D2556" s="11">
        <v>42779.926898148151</v>
      </c>
      <c r="E2556" s="10" t="s">
        <v>433</v>
      </c>
    </row>
    <row r="2557" spans="1:5">
      <c r="A2557" s="11">
        <v>42779</v>
      </c>
      <c r="B2557" s="10" t="s">
        <v>5443</v>
      </c>
      <c r="C2557" s="10" t="s">
        <v>5444</v>
      </c>
      <c r="D2557" s="11">
        <v>42779.942280092589</v>
      </c>
      <c r="E2557" s="10" t="s">
        <v>308</v>
      </c>
    </row>
    <row r="2558" spans="1:5">
      <c r="A2558" s="11">
        <v>42779</v>
      </c>
      <c r="B2558" s="10" t="s">
        <v>5445</v>
      </c>
      <c r="C2558" s="10" t="s">
        <v>5446</v>
      </c>
      <c r="D2558" s="11">
        <v>42782.700787037036</v>
      </c>
      <c r="E2558" s="10" t="s">
        <v>122</v>
      </c>
    </row>
    <row r="2559" spans="1:5">
      <c r="A2559" s="11">
        <v>42779</v>
      </c>
      <c r="B2559" s="10" t="s">
        <v>5447</v>
      </c>
      <c r="C2559" s="10" t="s">
        <v>5448</v>
      </c>
      <c r="D2559" s="11">
        <v>42780.434930555559</v>
      </c>
      <c r="E2559" s="10" t="s">
        <v>5449</v>
      </c>
    </row>
    <row r="2560" spans="1:5">
      <c r="A2560" s="11">
        <v>42779</v>
      </c>
      <c r="B2560" s="10" t="s">
        <v>5450</v>
      </c>
      <c r="C2560" s="10" t="s">
        <v>5451</v>
      </c>
      <c r="D2560" s="11">
        <v>42782.440763888888</v>
      </c>
      <c r="E2560" s="10" t="s">
        <v>380</v>
      </c>
    </row>
    <row r="2561" spans="1:5">
      <c r="A2561" s="11">
        <v>42779</v>
      </c>
      <c r="B2561" s="10" t="s">
        <v>5452</v>
      </c>
      <c r="C2561" s="10" t="s">
        <v>5453</v>
      </c>
      <c r="D2561" s="11">
        <v>42780.715763888889</v>
      </c>
      <c r="E2561" s="10" t="s">
        <v>3997</v>
      </c>
    </row>
    <row r="2562" spans="1:5">
      <c r="A2562" s="11">
        <v>42779</v>
      </c>
      <c r="B2562" s="10" t="s">
        <v>5454</v>
      </c>
      <c r="C2562" s="10" t="s">
        <v>5455</v>
      </c>
      <c r="D2562" s="11">
        <v>42781.469699074078</v>
      </c>
      <c r="E2562" s="10" t="s">
        <v>422</v>
      </c>
    </row>
    <row r="2563" spans="1:5">
      <c r="A2563" s="11">
        <v>42780</v>
      </c>
      <c r="B2563" s="10" t="s">
        <v>5456</v>
      </c>
      <c r="C2563" s="10" t="s">
        <v>5457</v>
      </c>
      <c r="D2563" s="11">
        <v>42782.701249999998</v>
      </c>
      <c r="E2563" s="10" t="s">
        <v>353</v>
      </c>
    </row>
    <row r="2564" spans="1:5">
      <c r="A2564" s="11">
        <v>42780</v>
      </c>
      <c r="B2564" s="10" t="s">
        <v>5458</v>
      </c>
      <c r="C2564" s="10" t="s">
        <v>5459</v>
      </c>
      <c r="D2564" s="11">
        <v>42782.521724537037</v>
      </c>
      <c r="E2564" s="10" t="s">
        <v>237</v>
      </c>
    </row>
    <row r="2565" spans="1:5">
      <c r="A2565" s="11">
        <v>42780</v>
      </c>
      <c r="B2565" s="10" t="s">
        <v>5460</v>
      </c>
      <c r="C2565" s="10" t="s">
        <v>5461</v>
      </c>
      <c r="D2565" s="11">
        <v>42780.069733796299</v>
      </c>
      <c r="E2565" s="10" t="s">
        <v>422</v>
      </c>
    </row>
    <row r="2566" spans="1:5">
      <c r="A2566" s="11">
        <v>42780</v>
      </c>
      <c r="B2566" s="10" t="s">
        <v>5462</v>
      </c>
      <c r="C2566" s="10" t="s">
        <v>5463</v>
      </c>
      <c r="D2566" s="11">
        <v>42780.084722222222</v>
      </c>
      <c r="E2566" s="10" t="s">
        <v>130</v>
      </c>
    </row>
    <row r="2567" spans="1:5">
      <c r="A2567" s="11">
        <v>42780</v>
      </c>
      <c r="B2567" s="10" t="s">
        <v>5464</v>
      </c>
      <c r="C2567" s="10" t="s">
        <v>5465</v>
      </c>
      <c r="D2567" s="11">
        <v>42782.675706018519</v>
      </c>
      <c r="E2567" s="10" t="s">
        <v>320</v>
      </c>
    </row>
    <row r="2568" spans="1:5">
      <c r="A2568" s="11">
        <v>42780</v>
      </c>
      <c r="B2568" s="10" t="s">
        <v>5466</v>
      </c>
      <c r="C2568" s="10" t="s">
        <v>5467</v>
      </c>
      <c r="D2568" s="11">
        <v>42780.315023148149</v>
      </c>
      <c r="E2568" s="10" t="s">
        <v>212</v>
      </c>
    </row>
    <row r="2569" spans="1:5">
      <c r="A2569" s="11">
        <v>42780</v>
      </c>
      <c r="B2569" s="10" t="s">
        <v>5468</v>
      </c>
      <c r="C2569" s="10" t="s">
        <v>5469</v>
      </c>
      <c r="D2569" s="11">
        <v>42780.335023148145</v>
      </c>
      <c r="E2569" s="10" t="s">
        <v>2183</v>
      </c>
    </row>
    <row r="2570" spans="1:5">
      <c r="A2570" s="11">
        <v>42780</v>
      </c>
      <c r="B2570" s="10" t="s">
        <v>5470</v>
      </c>
      <c r="C2570" s="10" t="s">
        <v>5471</v>
      </c>
      <c r="D2570" s="11">
        <v>42782.666967592595</v>
      </c>
      <c r="E2570" s="10" t="s">
        <v>373</v>
      </c>
    </row>
    <row r="2571" spans="1:5">
      <c r="A2571" s="11">
        <v>42780</v>
      </c>
      <c r="B2571" s="10" t="s">
        <v>5472</v>
      </c>
      <c r="C2571" s="10" t="s">
        <v>5473</v>
      </c>
      <c r="D2571" s="11">
        <v>42780.459988425922</v>
      </c>
      <c r="E2571" s="10" t="s">
        <v>4862</v>
      </c>
    </row>
    <row r="2572" spans="1:5">
      <c r="A2572" s="11">
        <v>42780</v>
      </c>
      <c r="B2572" s="10" t="s">
        <v>5474</v>
      </c>
      <c r="C2572" s="10" t="s">
        <v>5475</v>
      </c>
      <c r="D2572" s="11">
        <v>42780.342303240737</v>
      </c>
      <c r="E2572" s="10" t="s">
        <v>380</v>
      </c>
    </row>
    <row r="2573" spans="1:5">
      <c r="A2573" s="11">
        <v>42780</v>
      </c>
      <c r="B2573" s="10" t="s">
        <v>5476</v>
      </c>
      <c r="C2573" s="10" t="s">
        <v>5477</v>
      </c>
      <c r="D2573" s="11">
        <v>42782.482106481482</v>
      </c>
      <c r="E2573" s="10" t="s">
        <v>193</v>
      </c>
    </row>
    <row r="2574" spans="1:5">
      <c r="A2574" s="11">
        <v>42780</v>
      </c>
      <c r="B2574" s="10" t="s">
        <v>5478</v>
      </c>
      <c r="C2574" s="10" t="s">
        <v>5479</v>
      </c>
      <c r="D2574" s="11">
        <v>42780.355312500003</v>
      </c>
      <c r="E2574" s="10" t="s">
        <v>433</v>
      </c>
    </row>
    <row r="2575" spans="1:5">
      <c r="A2575" s="11">
        <v>42780</v>
      </c>
      <c r="B2575" s="10" t="s">
        <v>5480</v>
      </c>
      <c r="C2575" s="10" t="s">
        <v>5481</v>
      </c>
      <c r="D2575" s="11">
        <v>42780.356203703705</v>
      </c>
      <c r="E2575" s="10" t="s">
        <v>433</v>
      </c>
    </row>
    <row r="2576" spans="1:5">
      <c r="A2576" s="11">
        <v>42780</v>
      </c>
      <c r="B2576" s="10" t="s">
        <v>5482</v>
      </c>
      <c r="C2576" s="10" t="s">
        <v>5483</v>
      </c>
      <c r="D2576" s="11">
        <v>42780.356678240743</v>
      </c>
      <c r="E2576" s="10" t="s">
        <v>1319</v>
      </c>
    </row>
    <row r="2577" spans="1:5">
      <c r="A2577" s="11">
        <v>42780</v>
      </c>
      <c r="B2577" s="10" t="s">
        <v>5484</v>
      </c>
      <c r="C2577" s="10" t="s">
        <v>5485</v>
      </c>
      <c r="D2577" s="11">
        <v>42780.358159722222</v>
      </c>
      <c r="E2577" s="10" t="s">
        <v>433</v>
      </c>
    </row>
    <row r="2578" spans="1:5">
      <c r="A2578" s="11">
        <v>42780</v>
      </c>
      <c r="B2578" s="10" t="s">
        <v>5486</v>
      </c>
      <c r="C2578" s="10" t="s">
        <v>5487</v>
      </c>
      <c r="D2578" s="11">
        <v>42780.358738425923</v>
      </c>
      <c r="E2578" s="10" t="s">
        <v>433</v>
      </c>
    </row>
    <row r="2579" spans="1:5">
      <c r="A2579" s="11">
        <v>42780</v>
      </c>
      <c r="B2579" s="10" t="s">
        <v>5488</v>
      </c>
      <c r="C2579" s="10" t="s">
        <v>5489</v>
      </c>
      <c r="D2579" s="11">
        <v>42780.359143518515</v>
      </c>
      <c r="E2579" s="10" t="s">
        <v>433</v>
      </c>
    </row>
    <row r="2580" spans="1:5">
      <c r="A2580" s="11">
        <v>42780</v>
      </c>
      <c r="B2580" s="10" t="s">
        <v>5490</v>
      </c>
      <c r="C2580" s="10" t="s">
        <v>5491</v>
      </c>
      <c r="D2580" s="11">
        <v>42780.359398148146</v>
      </c>
      <c r="E2580" s="10" t="s">
        <v>433</v>
      </c>
    </row>
    <row r="2581" spans="1:5">
      <c r="A2581" s="11">
        <v>42780</v>
      </c>
      <c r="B2581" s="10" t="s">
        <v>5492</v>
      </c>
      <c r="C2581" s="10" t="s">
        <v>5493</v>
      </c>
      <c r="D2581" s="11">
        <v>42780.359594907408</v>
      </c>
      <c r="E2581" s="10" t="s">
        <v>433</v>
      </c>
    </row>
    <row r="2582" spans="1:5">
      <c r="A2582" s="11">
        <v>42780</v>
      </c>
      <c r="B2582" s="10" t="s">
        <v>5494</v>
      </c>
      <c r="C2582" s="10" t="s">
        <v>5495</v>
      </c>
      <c r="D2582" s="11">
        <v>42780.359780092593</v>
      </c>
      <c r="E2582" s="10" t="s">
        <v>433</v>
      </c>
    </row>
    <row r="2583" spans="1:5">
      <c r="A2583" s="11">
        <v>42780</v>
      </c>
      <c r="B2583" s="10" t="s">
        <v>5496</v>
      </c>
      <c r="C2583" s="10" t="s">
        <v>5497</v>
      </c>
      <c r="D2583" s="11">
        <v>42780.359953703701</v>
      </c>
      <c r="E2583" s="10" t="s">
        <v>433</v>
      </c>
    </row>
    <row r="2584" spans="1:5">
      <c r="A2584" s="11">
        <v>42780</v>
      </c>
      <c r="B2584" s="10" t="s">
        <v>5498</v>
      </c>
      <c r="C2584" s="10" t="s">
        <v>5499</v>
      </c>
      <c r="D2584" s="11">
        <v>42780.360243055555</v>
      </c>
      <c r="E2584" s="10" t="s">
        <v>433</v>
      </c>
    </row>
    <row r="2585" spans="1:5">
      <c r="A2585" s="11">
        <v>42780</v>
      </c>
      <c r="B2585" s="10" t="s">
        <v>5500</v>
      </c>
      <c r="C2585" s="10" t="s">
        <v>5501</v>
      </c>
      <c r="D2585" s="11">
        <v>42780.36042824074</v>
      </c>
      <c r="E2585" s="10" t="s">
        <v>433</v>
      </c>
    </row>
    <row r="2586" spans="1:5">
      <c r="A2586" s="11">
        <v>42780</v>
      </c>
      <c r="B2586" s="10" t="s">
        <v>5502</v>
      </c>
      <c r="C2586" s="10" t="s">
        <v>5503</v>
      </c>
      <c r="D2586" s="11">
        <v>42780.360625000001</v>
      </c>
      <c r="E2586" s="10" t="s">
        <v>433</v>
      </c>
    </row>
    <row r="2587" spans="1:5">
      <c r="A2587" s="11">
        <v>42780</v>
      </c>
      <c r="B2587" s="10" t="s">
        <v>5504</v>
      </c>
      <c r="C2587" s="10" t="s">
        <v>5505</v>
      </c>
      <c r="D2587" s="11">
        <v>42780.361342592594</v>
      </c>
      <c r="E2587" s="10" t="s">
        <v>433</v>
      </c>
    </row>
    <row r="2588" spans="1:5">
      <c r="A2588" s="11">
        <v>42780</v>
      </c>
      <c r="B2588" s="10" t="s">
        <v>5506</v>
      </c>
      <c r="C2588" s="10" t="s">
        <v>5507</v>
      </c>
      <c r="D2588" s="11">
        <v>42780.361990740741</v>
      </c>
      <c r="E2588" s="10" t="s">
        <v>433</v>
      </c>
    </row>
    <row r="2589" spans="1:5">
      <c r="A2589" s="11">
        <v>42780</v>
      </c>
      <c r="B2589" s="10" t="s">
        <v>5508</v>
      </c>
      <c r="C2589" s="10" t="s">
        <v>5509</v>
      </c>
      <c r="D2589" s="11">
        <v>42780.362164351849</v>
      </c>
      <c r="E2589" s="10" t="s">
        <v>433</v>
      </c>
    </row>
    <row r="2590" spans="1:5">
      <c r="A2590" s="11">
        <v>42780</v>
      </c>
      <c r="B2590" s="10" t="s">
        <v>5510</v>
      </c>
      <c r="C2590" s="10" t="s">
        <v>5511</v>
      </c>
      <c r="D2590" s="11">
        <v>42780.362361111111</v>
      </c>
      <c r="E2590" s="10" t="s">
        <v>99</v>
      </c>
    </row>
    <row r="2591" spans="1:5">
      <c r="A2591" s="11">
        <v>42780</v>
      </c>
      <c r="B2591" s="10" t="s">
        <v>5512</v>
      </c>
      <c r="C2591" s="10" t="s">
        <v>5513</v>
      </c>
      <c r="D2591" s="11">
        <v>42780.362511574072</v>
      </c>
      <c r="E2591" s="10" t="s">
        <v>433</v>
      </c>
    </row>
    <row r="2592" spans="1:5">
      <c r="A2592" s="11">
        <v>42780</v>
      </c>
      <c r="B2592" s="10" t="s">
        <v>5514</v>
      </c>
      <c r="C2592" s="10" t="s">
        <v>5515</v>
      </c>
      <c r="D2592" s="11">
        <v>42780.362754629627</v>
      </c>
      <c r="E2592" s="10" t="s">
        <v>433</v>
      </c>
    </row>
    <row r="2593" spans="1:5">
      <c r="A2593" s="11">
        <v>42780</v>
      </c>
      <c r="B2593" s="10" t="s">
        <v>5516</v>
      </c>
      <c r="C2593" s="10" t="s">
        <v>5517</v>
      </c>
      <c r="D2593" s="11">
        <v>42780.362974537034</v>
      </c>
      <c r="E2593" s="10" t="s">
        <v>433</v>
      </c>
    </row>
    <row r="2594" spans="1:5">
      <c r="A2594" s="11">
        <v>42780</v>
      </c>
      <c r="B2594" s="10" t="s">
        <v>5518</v>
      </c>
      <c r="C2594" s="10" t="s">
        <v>5519</v>
      </c>
      <c r="D2594" s="11">
        <v>42780.363206018519</v>
      </c>
      <c r="E2594" s="10" t="s">
        <v>433</v>
      </c>
    </row>
    <row r="2595" spans="1:5">
      <c r="A2595" s="11">
        <v>42780</v>
      </c>
      <c r="B2595" s="10" t="s">
        <v>5520</v>
      </c>
      <c r="C2595" s="10" t="s">
        <v>5521</v>
      </c>
      <c r="D2595" s="11">
        <v>42780.364907407406</v>
      </c>
      <c r="E2595" s="10" t="s">
        <v>433</v>
      </c>
    </row>
    <row r="2596" spans="1:5">
      <c r="A2596" s="11">
        <v>42780</v>
      </c>
      <c r="B2596" s="10" t="s">
        <v>5522</v>
      </c>
      <c r="C2596" s="10" t="s">
        <v>5523</v>
      </c>
      <c r="D2596" s="11">
        <v>42780.365081018521</v>
      </c>
      <c r="E2596" s="10" t="s">
        <v>433</v>
      </c>
    </row>
    <row r="2597" spans="1:5">
      <c r="A2597" s="11">
        <v>42780</v>
      </c>
      <c r="B2597" s="10" t="s">
        <v>5524</v>
      </c>
      <c r="C2597" s="10" t="s">
        <v>5525</v>
      </c>
      <c r="D2597" s="11">
        <v>42780.365266203706</v>
      </c>
      <c r="E2597" s="10" t="s">
        <v>433</v>
      </c>
    </row>
    <row r="2598" spans="1:5">
      <c r="A2598" s="11">
        <v>42780</v>
      </c>
      <c r="B2598" s="10" t="s">
        <v>5526</v>
      </c>
      <c r="C2598" s="10" t="s">
        <v>5527</v>
      </c>
      <c r="D2598" s="11">
        <v>42780.36546296296</v>
      </c>
      <c r="E2598" s="10" t="s">
        <v>433</v>
      </c>
    </row>
    <row r="2599" spans="1:5">
      <c r="A2599" s="11">
        <v>42780</v>
      </c>
      <c r="B2599" s="10" t="s">
        <v>5528</v>
      </c>
      <c r="C2599" s="10" t="s">
        <v>5529</v>
      </c>
      <c r="D2599" s="11">
        <v>42780.365636574075</v>
      </c>
      <c r="E2599" s="10" t="s">
        <v>433</v>
      </c>
    </row>
    <row r="2600" spans="1:5">
      <c r="A2600" s="11">
        <v>42780</v>
      </c>
      <c r="B2600" s="10" t="s">
        <v>5530</v>
      </c>
      <c r="C2600" s="10" t="s">
        <v>5531</v>
      </c>
      <c r="D2600" s="11">
        <v>42780.365810185183</v>
      </c>
      <c r="E2600" s="10" t="s">
        <v>433</v>
      </c>
    </row>
    <row r="2601" spans="1:5">
      <c r="A2601" s="11">
        <v>42780</v>
      </c>
      <c r="B2601" s="10" t="s">
        <v>5532</v>
      </c>
      <c r="C2601" s="10" t="s">
        <v>5533</v>
      </c>
      <c r="D2601" s="11">
        <v>42780.365995370368</v>
      </c>
      <c r="E2601" s="10" t="s">
        <v>433</v>
      </c>
    </row>
    <row r="2602" spans="1:5">
      <c r="A2602" s="11">
        <v>42780</v>
      </c>
      <c r="B2602" s="10" t="s">
        <v>5534</v>
      </c>
      <c r="C2602" s="10" t="s">
        <v>5535</v>
      </c>
      <c r="D2602" s="11">
        <v>42780.366215277776</v>
      </c>
      <c r="E2602" s="10" t="s">
        <v>433</v>
      </c>
    </row>
    <row r="2603" spans="1:5">
      <c r="A2603" s="11">
        <v>42780</v>
      </c>
      <c r="B2603" s="10" t="s">
        <v>5536</v>
      </c>
      <c r="C2603" s="10" t="s">
        <v>5537</v>
      </c>
      <c r="D2603" s="11">
        <v>42780.366388888891</v>
      </c>
      <c r="E2603" s="10" t="s">
        <v>433</v>
      </c>
    </row>
    <row r="2604" spans="1:5">
      <c r="A2604" s="11">
        <v>42780</v>
      </c>
      <c r="B2604" s="10" t="s">
        <v>5538</v>
      </c>
      <c r="C2604" s="10" t="s">
        <v>5539</v>
      </c>
      <c r="D2604" s="11">
        <v>42780.366550925923</v>
      </c>
      <c r="E2604" s="10" t="s">
        <v>433</v>
      </c>
    </row>
    <row r="2605" spans="1:5">
      <c r="A2605" s="11">
        <v>42780</v>
      </c>
      <c r="B2605" s="10" t="s">
        <v>5540</v>
      </c>
      <c r="C2605" s="10" t="s">
        <v>5541</v>
      </c>
      <c r="D2605" s="11">
        <v>42780.366759259261</v>
      </c>
      <c r="E2605" s="10" t="s">
        <v>433</v>
      </c>
    </row>
    <row r="2606" spans="1:5">
      <c r="A2606" s="11">
        <v>42780</v>
      </c>
      <c r="B2606" s="10" t="s">
        <v>5542</v>
      </c>
      <c r="C2606" s="10" t="s">
        <v>5543</v>
      </c>
      <c r="D2606" s="11">
        <v>42780.367106481484</v>
      </c>
      <c r="E2606" s="10" t="s">
        <v>433</v>
      </c>
    </row>
    <row r="2607" spans="1:5">
      <c r="A2607" s="11">
        <v>42780</v>
      </c>
      <c r="B2607" s="10" t="s">
        <v>5544</v>
      </c>
      <c r="C2607" s="10" t="s">
        <v>5545</v>
      </c>
      <c r="D2607" s="11">
        <v>42780.367685185185</v>
      </c>
      <c r="E2607" s="10" t="s">
        <v>433</v>
      </c>
    </row>
    <row r="2608" spans="1:5">
      <c r="A2608" s="11">
        <v>42780</v>
      </c>
      <c r="B2608" s="10" t="s">
        <v>5546</v>
      </c>
      <c r="C2608" s="10" t="s">
        <v>5547</v>
      </c>
      <c r="D2608" s="11">
        <v>42780.368125000001</v>
      </c>
      <c r="E2608" s="10" t="s">
        <v>433</v>
      </c>
    </row>
    <row r="2609" spans="1:5">
      <c r="A2609" s="11">
        <v>42780</v>
      </c>
      <c r="B2609" s="10" t="s">
        <v>5548</v>
      </c>
      <c r="C2609" s="10" t="s">
        <v>5549</v>
      </c>
      <c r="D2609" s="11">
        <v>42780.368587962963</v>
      </c>
      <c r="E2609" s="10" t="s">
        <v>433</v>
      </c>
    </row>
    <row r="2610" spans="1:5">
      <c r="A2610" s="11">
        <v>42780</v>
      </c>
      <c r="B2610" s="10" t="s">
        <v>5550</v>
      </c>
      <c r="C2610" s="10" t="s">
        <v>5551</v>
      </c>
      <c r="D2610" s="11">
        <v>42780.368946759256</v>
      </c>
      <c r="E2610" s="10" t="s">
        <v>99</v>
      </c>
    </row>
    <row r="2611" spans="1:5">
      <c r="A2611" s="11">
        <v>42780</v>
      </c>
      <c r="B2611" s="10" t="s">
        <v>5552</v>
      </c>
      <c r="C2611" s="10" t="s">
        <v>5553</v>
      </c>
      <c r="D2611" s="11">
        <v>42780.369155092594</v>
      </c>
      <c r="E2611" s="10" t="s">
        <v>433</v>
      </c>
    </row>
    <row r="2612" spans="1:5">
      <c r="A2612" s="11">
        <v>42780</v>
      </c>
      <c r="B2612" s="10" t="s">
        <v>5554</v>
      </c>
      <c r="C2612" s="10" t="s">
        <v>5555</v>
      </c>
      <c r="D2612" s="11">
        <v>42780.369363425925</v>
      </c>
      <c r="E2612" s="10" t="s">
        <v>433</v>
      </c>
    </row>
    <row r="2613" spans="1:5">
      <c r="A2613" s="11">
        <v>42780</v>
      </c>
      <c r="B2613" s="10" t="s">
        <v>5556</v>
      </c>
      <c r="C2613" s="10" t="s">
        <v>5557</v>
      </c>
      <c r="D2613" s="11">
        <v>42780.369571759256</v>
      </c>
      <c r="E2613" s="10" t="s">
        <v>99</v>
      </c>
    </row>
    <row r="2614" spans="1:5">
      <c r="A2614" s="11">
        <v>42780</v>
      </c>
      <c r="B2614" s="10" t="s">
        <v>5558</v>
      </c>
      <c r="C2614" s="10" t="s">
        <v>5559</v>
      </c>
      <c r="D2614" s="11">
        <v>42780.369768518518</v>
      </c>
      <c r="E2614" s="10" t="s">
        <v>433</v>
      </c>
    </row>
    <row r="2615" spans="1:5">
      <c r="A2615" s="11">
        <v>42780</v>
      </c>
      <c r="B2615" s="10" t="s">
        <v>5560</v>
      </c>
      <c r="C2615" s="10" t="s">
        <v>5561</v>
      </c>
      <c r="D2615" s="11">
        <v>42780.369930555556</v>
      </c>
      <c r="E2615" s="10" t="s">
        <v>433</v>
      </c>
    </row>
    <row r="2616" spans="1:5">
      <c r="A2616" s="11">
        <v>42780</v>
      </c>
      <c r="B2616" s="10" t="s">
        <v>5562</v>
      </c>
      <c r="C2616" s="10" t="s">
        <v>5563</v>
      </c>
      <c r="D2616" s="11">
        <v>42780.370474537034</v>
      </c>
      <c r="E2616" s="10" t="s">
        <v>433</v>
      </c>
    </row>
    <row r="2617" spans="1:5">
      <c r="A2617" s="11">
        <v>42780</v>
      </c>
      <c r="B2617" s="10" t="s">
        <v>5564</v>
      </c>
      <c r="C2617" s="10" t="s">
        <v>5565</v>
      </c>
      <c r="D2617" s="11">
        <v>42780.370717592596</v>
      </c>
      <c r="E2617" s="10" t="s">
        <v>433</v>
      </c>
    </row>
    <row r="2618" spans="1:5">
      <c r="A2618" s="11">
        <v>42780</v>
      </c>
      <c r="B2618" s="10" t="s">
        <v>5566</v>
      </c>
      <c r="C2618" s="10" t="s">
        <v>5567</v>
      </c>
      <c r="D2618" s="11">
        <v>42780.370949074073</v>
      </c>
      <c r="E2618" s="10" t="s">
        <v>433</v>
      </c>
    </row>
    <row r="2619" spans="1:5">
      <c r="A2619" s="11">
        <v>42780</v>
      </c>
      <c r="B2619" s="10" t="s">
        <v>5568</v>
      </c>
      <c r="C2619" s="10" t="s">
        <v>5569</v>
      </c>
      <c r="D2619" s="11">
        <v>42780.371168981481</v>
      </c>
      <c r="E2619" s="10" t="s">
        <v>433</v>
      </c>
    </row>
    <row r="2620" spans="1:5">
      <c r="A2620" s="11">
        <v>42780</v>
      </c>
      <c r="B2620" s="10" t="s">
        <v>5570</v>
      </c>
      <c r="C2620" s="10" t="s">
        <v>5571</v>
      </c>
      <c r="D2620" s="11">
        <v>42780.371342592596</v>
      </c>
      <c r="E2620" s="10" t="s">
        <v>433</v>
      </c>
    </row>
    <row r="2621" spans="1:5">
      <c r="A2621" s="11">
        <v>42780</v>
      </c>
      <c r="B2621" s="10" t="s">
        <v>5572</v>
      </c>
      <c r="C2621" s="10" t="s">
        <v>5573</v>
      </c>
      <c r="D2621" s="11">
        <v>42780.371516203704</v>
      </c>
      <c r="E2621" s="10" t="s">
        <v>433</v>
      </c>
    </row>
    <row r="2622" spans="1:5">
      <c r="A2622" s="11">
        <v>42780</v>
      </c>
      <c r="B2622" s="10" t="s">
        <v>5574</v>
      </c>
      <c r="C2622" s="10" t="s">
        <v>5575</v>
      </c>
      <c r="D2622" s="11">
        <v>42780.372164351851</v>
      </c>
      <c r="E2622" s="10" t="s">
        <v>433</v>
      </c>
    </row>
    <row r="2623" spans="1:5">
      <c r="A2623" s="11">
        <v>42780</v>
      </c>
      <c r="B2623" s="10" t="s">
        <v>5576</v>
      </c>
      <c r="C2623" s="10" t="s">
        <v>5577</v>
      </c>
      <c r="D2623" s="11">
        <v>42780.372511574074</v>
      </c>
      <c r="E2623" s="10" t="s">
        <v>433</v>
      </c>
    </row>
    <row r="2624" spans="1:5">
      <c r="A2624" s="11">
        <v>42780</v>
      </c>
      <c r="B2624" s="10" t="s">
        <v>5578</v>
      </c>
      <c r="C2624" s="10" t="s">
        <v>5579</v>
      </c>
      <c r="D2624" s="11">
        <v>42780.373113425929</v>
      </c>
      <c r="E2624" s="10" t="s">
        <v>433</v>
      </c>
    </row>
    <row r="2625" spans="1:5">
      <c r="A2625" s="11">
        <v>42780</v>
      </c>
      <c r="B2625" s="10" t="s">
        <v>5580</v>
      </c>
      <c r="C2625" s="10" t="s">
        <v>5581</v>
      </c>
      <c r="D2625" s="11">
        <v>42780.373298611114</v>
      </c>
      <c r="E2625" s="10" t="s">
        <v>433</v>
      </c>
    </row>
    <row r="2626" spans="1:5">
      <c r="A2626" s="11">
        <v>42780</v>
      </c>
      <c r="B2626" s="10" t="s">
        <v>5582</v>
      </c>
      <c r="C2626" s="10" t="s">
        <v>5583</v>
      </c>
      <c r="D2626" s="11">
        <v>42780.373506944445</v>
      </c>
      <c r="E2626" s="10" t="s">
        <v>433</v>
      </c>
    </row>
    <row r="2627" spans="1:5">
      <c r="A2627" s="11">
        <v>42780</v>
      </c>
      <c r="B2627" s="10" t="s">
        <v>5584</v>
      </c>
      <c r="C2627" s="10" t="s">
        <v>5585</v>
      </c>
      <c r="D2627" s="11">
        <v>42780.373680555553</v>
      </c>
      <c r="E2627" s="10" t="s">
        <v>433</v>
      </c>
    </row>
    <row r="2628" spans="1:5">
      <c r="A2628" s="11">
        <v>42780</v>
      </c>
      <c r="B2628" s="10" t="s">
        <v>5586</v>
      </c>
      <c r="C2628" s="10" t="s">
        <v>5587</v>
      </c>
      <c r="D2628" s="11">
        <v>42780.768321759257</v>
      </c>
      <c r="E2628" s="10" t="s">
        <v>4865</v>
      </c>
    </row>
    <row r="2629" spans="1:5">
      <c r="A2629" s="11">
        <v>42780</v>
      </c>
      <c r="B2629" s="10" t="s">
        <v>5588</v>
      </c>
      <c r="C2629" s="10" t="s">
        <v>5589</v>
      </c>
      <c r="D2629" s="11">
        <v>42780.373854166668</v>
      </c>
      <c r="E2629" s="10" t="s">
        <v>99</v>
      </c>
    </row>
    <row r="2630" spans="1:5">
      <c r="A2630" s="11">
        <v>42780</v>
      </c>
      <c r="B2630" s="10" t="s">
        <v>5590</v>
      </c>
      <c r="C2630" s="10" t="s">
        <v>5591</v>
      </c>
      <c r="D2630" s="11">
        <v>42780.374016203707</v>
      </c>
      <c r="E2630" s="10" t="s">
        <v>433</v>
      </c>
    </row>
    <row r="2631" spans="1:5">
      <c r="A2631" s="11">
        <v>42780</v>
      </c>
      <c r="B2631" s="10" t="s">
        <v>5592</v>
      </c>
      <c r="C2631" s="10" t="s">
        <v>5593</v>
      </c>
      <c r="D2631" s="11">
        <v>42780.375543981485</v>
      </c>
      <c r="E2631" s="10" t="s">
        <v>433</v>
      </c>
    </row>
    <row r="2632" spans="1:5">
      <c r="A2632" s="11">
        <v>42780</v>
      </c>
      <c r="B2632" s="10" t="s">
        <v>5594</v>
      </c>
      <c r="C2632" s="10" t="s">
        <v>5595</v>
      </c>
      <c r="D2632" s="11">
        <v>42780.375763888886</v>
      </c>
      <c r="E2632" s="10" t="s">
        <v>433</v>
      </c>
    </row>
    <row r="2633" spans="1:5">
      <c r="A2633" s="11">
        <v>42780</v>
      </c>
      <c r="B2633" s="10" t="s">
        <v>5596</v>
      </c>
      <c r="C2633" s="10" t="s">
        <v>5597</v>
      </c>
      <c r="D2633" s="11">
        <v>42780.375937500001</v>
      </c>
      <c r="E2633" s="10" t="s">
        <v>99</v>
      </c>
    </row>
    <row r="2634" spans="1:5">
      <c r="A2634" s="11">
        <v>42780</v>
      </c>
      <c r="B2634" s="10" t="s">
        <v>5598</v>
      </c>
      <c r="C2634" s="10" t="s">
        <v>5599</v>
      </c>
      <c r="D2634" s="11">
        <v>42780.376134259262</v>
      </c>
      <c r="E2634" s="10" t="s">
        <v>99</v>
      </c>
    </row>
    <row r="2635" spans="1:5">
      <c r="A2635" s="11">
        <v>42780</v>
      </c>
      <c r="B2635" s="10" t="s">
        <v>5600</v>
      </c>
      <c r="C2635" s="10" t="s">
        <v>5601</v>
      </c>
      <c r="D2635" s="11">
        <v>42780.376354166663</v>
      </c>
      <c r="E2635" s="10" t="s">
        <v>99</v>
      </c>
    </row>
    <row r="2636" spans="1:5">
      <c r="A2636" s="11">
        <v>42780</v>
      </c>
      <c r="B2636" s="10" t="s">
        <v>5602</v>
      </c>
      <c r="C2636" s="10" t="s">
        <v>5603</v>
      </c>
      <c r="D2636" s="11">
        <v>42780.376631944448</v>
      </c>
      <c r="E2636" s="10" t="s">
        <v>433</v>
      </c>
    </row>
    <row r="2637" spans="1:5">
      <c r="A2637" s="11">
        <v>42780</v>
      </c>
      <c r="B2637" s="10" t="s">
        <v>5604</v>
      </c>
      <c r="C2637" s="10" t="s">
        <v>5605</v>
      </c>
      <c r="D2637" s="11">
        <v>42780.378101851849</v>
      </c>
      <c r="E2637" s="10" t="s">
        <v>433</v>
      </c>
    </row>
    <row r="2638" spans="1:5">
      <c r="A2638" s="11">
        <v>42780</v>
      </c>
      <c r="B2638" s="10" t="s">
        <v>5606</v>
      </c>
      <c r="C2638" s="10" t="s">
        <v>5607</v>
      </c>
      <c r="D2638" s="11">
        <v>42782.642592592594</v>
      </c>
      <c r="E2638" s="10" t="s">
        <v>108</v>
      </c>
    </row>
    <row r="2639" spans="1:5">
      <c r="A2639" s="11">
        <v>42780</v>
      </c>
      <c r="B2639" s="10" t="s">
        <v>5608</v>
      </c>
      <c r="C2639" s="10" t="s">
        <v>5609</v>
      </c>
      <c r="D2639" s="11">
        <v>42782.356620370374</v>
      </c>
      <c r="E2639" s="10" t="s">
        <v>215</v>
      </c>
    </row>
    <row r="2640" spans="1:5" ht="21.6">
      <c r="A2640" s="11">
        <v>42780</v>
      </c>
      <c r="B2640" s="10" t="s">
        <v>5610</v>
      </c>
      <c r="C2640" s="10" t="s">
        <v>5611</v>
      </c>
      <c r="D2640" s="11">
        <v>42780.383935185186</v>
      </c>
      <c r="E2640" s="10" t="s">
        <v>5406</v>
      </c>
    </row>
    <row r="2641" spans="1:5">
      <c r="A2641" s="11">
        <v>42780</v>
      </c>
      <c r="B2641" s="10" t="s">
        <v>5612</v>
      </c>
      <c r="C2641" s="10" t="s">
        <v>5613</v>
      </c>
      <c r="D2641" s="11">
        <v>42780.902974537035</v>
      </c>
      <c r="E2641" s="10" t="s">
        <v>380</v>
      </c>
    </row>
    <row r="2642" spans="1:5">
      <c r="A2642" s="11">
        <v>42780</v>
      </c>
      <c r="B2642" s="10" t="s">
        <v>5614</v>
      </c>
      <c r="C2642" s="10" t="s">
        <v>5615</v>
      </c>
      <c r="D2642" s="11">
        <v>42780.386770833335</v>
      </c>
      <c r="E2642" s="10" t="s">
        <v>237</v>
      </c>
    </row>
    <row r="2643" spans="1:5">
      <c r="A2643" s="11">
        <v>42780</v>
      </c>
      <c r="B2643" s="10" t="s">
        <v>5616</v>
      </c>
      <c r="C2643" s="10" t="s">
        <v>5617</v>
      </c>
      <c r="D2643" s="11">
        <v>42780.390914351854</v>
      </c>
      <c r="E2643" s="10" t="s">
        <v>966</v>
      </c>
    </row>
    <row r="2644" spans="1:5">
      <c r="A2644" s="11">
        <v>42780</v>
      </c>
      <c r="B2644" s="10" t="s">
        <v>5618</v>
      </c>
      <c r="C2644" s="10" t="s">
        <v>5619</v>
      </c>
      <c r="D2644" s="11">
        <v>42780.393009259256</v>
      </c>
      <c r="E2644" s="10" t="s">
        <v>2538</v>
      </c>
    </row>
    <row r="2645" spans="1:5">
      <c r="A2645" s="11">
        <v>42780</v>
      </c>
      <c r="B2645" s="10" t="s">
        <v>5620</v>
      </c>
      <c r="C2645" s="10" t="s">
        <v>5621</v>
      </c>
      <c r="D2645" s="11">
        <v>42780.393043981479</v>
      </c>
      <c r="E2645" s="10" t="s">
        <v>373</v>
      </c>
    </row>
    <row r="2646" spans="1:5">
      <c r="A2646" s="11">
        <v>42780</v>
      </c>
      <c r="B2646" s="10" t="s">
        <v>5622</v>
      </c>
      <c r="C2646" s="10" t="s">
        <v>5623</v>
      </c>
      <c r="D2646" s="11">
        <v>42780.394143518519</v>
      </c>
      <c r="E2646" s="10" t="s">
        <v>2201</v>
      </c>
    </row>
    <row r="2647" spans="1:5" ht="21.6">
      <c r="A2647" s="11">
        <v>42780</v>
      </c>
      <c r="B2647" s="10" t="s">
        <v>5624</v>
      </c>
      <c r="C2647" s="10" t="s">
        <v>5625</v>
      </c>
      <c r="D2647" s="11">
        <v>42781.750520833331</v>
      </c>
      <c r="E2647" s="10" t="s">
        <v>1316</v>
      </c>
    </row>
    <row r="2648" spans="1:5">
      <c r="A2648" s="11">
        <v>42780</v>
      </c>
      <c r="B2648" s="10" t="s">
        <v>5626</v>
      </c>
      <c r="C2648" s="10" t="s">
        <v>5627</v>
      </c>
      <c r="D2648" s="11">
        <v>42780.398356481484</v>
      </c>
      <c r="E2648" s="10" t="s">
        <v>482</v>
      </c>
    </row>
    <row r="2649" spans="1:5">
      <c r="A2649" s="11">
        <v>42780</v>
      </c>
      <c r="B2649" s="10" t="s">
        <v>5628</v>
      </c>
      <c r="C2649" s="10" t="s">
        <v>5629</v>
      </c>
      <c r="D2649" s="11">
        <v>42782.581643518519</v>
      </c>
      <c r="E2649" s="10" t="s">
        <v>433</v>
      </c>
    </row>
    <row r="2650" spans="1:5">
      <c r="A2650" s="11">
        <v>42780</v>
      </c>
      <c r="B2650" s="10" t="s">
        <v>5630</v>
      </c>
      <c r="C2650" s="10" t="s">
        <v>5631</v>
      </c>
      <c r="D2650" s="11">
        <v>42780.401087962964</v>
      </c>
      <c r="E2650" s="10" t="s">
        <v>240</v>
      </c>
    </row>
    <row r="2651" spans="1:5">
      <c r="A2651" s="11">
        <v>42780</v>
      </c>
      <c r="B2651" s="10" t="s">
        <v>5632</v>
      </c>
      <c r="C2651" s="10" t="s">
        <v>5633</v>
      </c>
      <c r="D2651" s="11">
        <v>42780.401122685187</v>
      </c>
      <c r="E2651" s="10" t="s">
        <v>902</v>
      </c>
    </row>
    <row r="2652" spans="1:5">
      <c r="A2652" s="11">
        <v>42780</v>
      </c>
      <c r="B2652" s="10" t="s">
        <v>5634</v>
      </c>
      <c r="C2652" s="10" t="s">
        <v>5635</v>
      </c>
      <c r="D2652" s="11">
        <v>42780.402291666665</v>
      </c>
      <c r="E2652" s="10" t="s">
        <v>152</v>
      </c>
    </row>
    <row r="2653" spans="1:5">
      <c r="A2653" s="11">
        <v>42780</v>
      </c>
      <c r="B2653" s="10" t="s">
        <v>5636</v>
      </c>
      <c r="C2653" s="10" t="s">
        <v>5637</v>
      </c>
      <c r="D2653" s="11">
        <v>42780.406967592593</v>
      </c>
      <c r="E2653" s="10" t="s">
        <v>433</v>
      </c>
    </row>
    <row r="2654" spans="1:5">
      <c r="A2654" s="11">
        <v>42780</v>
      </c>
      <c r="B2654" s="10" t="s">
        <v>5638</v>
      </c>
      <c r="C2654" s="10" t="s">
        <v>5639</v>
      </c>
      <c r="D2654" s="11">
        <v>42780.407743055555</v>
      </c>
      <c r="E2654" s="10" t="s">
        <v>218</v>
      </c>
    </row>
    <row r="2655" spans="1:5">
      <c r="A2655" s="11">
        <v>42780</v>
      </c>
      <c r="B2655" s="10" t="s">
        <v>5640</v>
      </c>
      <c r="C2655" s="10" t="s">
        <v>5641</v>
      </c>
      <c r="D2655" s="11">
        <v>42780.408252314817</v>
      </c>
      <c r="E2655" s="10" t="s">
        <v>433</v>
      </c>
    </row>
    <row r="2656" spans="1:5">
      <c r="A2656" s="11">
        <v>42780</v>
      </c>
      <c r="B2656" s="10" t="s">
        <v>5642</v>
      </c>
      <c r="C2656" s="10" t="s">
        <v>5643</v>
      </c>
      <c r="D2656" s="11">
        <v>42782.661979166667</v>
      </c>
      <c r="E2656" s="10" t="s">
        <v>2201</v>
      </c>
    </row>
    <row r="2657" spans="1:5">
      <c r="A2657" s="11">
        <v>42780</v>
      </c>
      <c r="B2657" s="10" t="s">
        <v>5644</v>
      </c>
      <c r="C2657" s="10" t="s">
        <v>5645</v>
      </c>
      <c r="D2657" s="11">
        <v>42780.412453703706</v>
      </c>
      <c r="E2657" s="10" t="s">
        <v>683</v>
      </c>
    </row>
    <row r="2658" spans="1:5">
      <c r="A2658" s="11">
        <v>42780</v>
      </c>
      <c r="B2658" s="10" t="s">
        <v>5646</v>
      </c>
      <c r="C2658" s="10" t="s">
        <v>5647</v>
      </c>
      <c r="D2658" s="11">
        <v>42780.414942129632</v>
      </c>
      <c r="E2658" s="10" t="s">
        <v>373</v>
      </c>
    </row>
    <row r="2659" spans="1:5">
      <c r="A2659" s="11">
        <v>42780</v>
      </c>
      <c r="B2659" s="10" t="s">
        <v>5648</v>
      </c>
      <c r="C2659" s="10" t="s">
        <v>5649</v>
      </c>
      <c r="D2659" s="11">
        <v>42782.676631944443</v>
      </c>
      <c r="E2659" s="10" t="s">
        <v>5650</v>
      </c>
    </row>
    <row r="2660" spans="1:5">
      <c r="A2660" s="11">
        <v>42780</v>
      </c>
      <c r="B2660" s="10" t="s">
        <v>5651</v>
      </c>
      <c r="C2660" s="10" t="s">
        <v>5652</v>
      </c>
      <c r="D2660" s="11">
        <v>42780.422083333331</v>
      </c>
      <c r="E2660" s="10" t="s">
        <v>193</v>
      </c>
    </row>
    <row r="2661" spans="1:5">
      <c r="A2661" s="11">
        <v>42780</v>
      </c>
      <c r="B2661" s="10" t="s">
        <v>5653</v>
      </c>
      <c r="C2661" s="10" t="s">
        <v>5654</v>
      </c>
      <c r="D2661" s="11">
        <v>42780.422384259262</v>
      </c>
      <c r="E2661" s="10" t="s">
        <v>656</v>
      </c>
    </row>
    <row r="2662" spans="1:5">
      <c r="A2662" s="11">
        <v>42780</v>
      </c>
      <c r="B2662" s="10" t="s">
        <v>5655</v>
      </c>
      <c r="C2662" s="10" t="s">
        <v>5656</v>
      </c>
      <c r="D2662" s="11">
        <v>42780.423333333332</v>
      </c>
      <c r="E2662" s="10" t="s">
        <v>240</v>
      </c>
    </row>
    <row r="2663" spans="1:5">
      <c r="A2663" s="11">
        <v>42780</v>
      </c>
      <c r="B2663" s="10" t="s">
        <v>5657</v>
      </c>
      <c r="C2663" s="10" t="s">
        <v>5658</v>
      </c>
      <c r="D2663" s="11">
        <v>42782.432245370372</v>
      </c>
      <c r="E2663" s="10" t="s">
        <v>433</v>
      </c>
    </row>
    <row r="2664" spans="1:5">
      <c r="A2664" s="11">
        <v>42780</v>
      </c>
      <c r="B2664" s="10" t="s">
        <v>5659</v>
      </c>
      <c r="C2664" s="10" t="s">
        <v>5660</v>
      </c>
      <c r="D2664" s="11">
        <v>42780.431342592594</v>
      </c>
      <c r="E2664" s="10" t="s">
        <v>966</v>
      </c>
    </row>
    <row r="2665" spans="1:5">
      <c r="A2665" s="11">
        <v>42780</v>
      </c>
      <c r="B2665" s="10" t="s">
        <v>5661</v>
      </c>
      <c r="C2665" s="10" t="s">
        <v>5662</v>
      </c>
      <c r="D2665" s="11">
        <v>42781.856562499997</v>
      </c>
      <c r="E2665" s="10" t="s">
        <v>122</v>
      </c>
    </row>
    <row r="2666" spans="1:5">
      <c r="A2666" s="11">
        <v>42780</v>
      </c>
      <c r="B2666" s="10" t="s">
        <v>5663</v>
      </c>
      <c r="C2666" s="10" t="s">
        <v>5664</v>
      </c>
      <c r="D2666" s="11">
        <v>42780.436516203707</v>
      </c>
      <c r="E2666" s="10" t="s">
        <v>240</v>
      </c>
    </row>
    <row r="2667" spans="1:5">
      <c r="A2667" s="11">
        <v>42780</v>
      </c>
      <c r="B2667" s="10" t="s">
        <v>5665</v>
      </c>
      <c r="C2667" s="10" t="s">
        <v>5666</v>
      </c>
      <c r="D2667" s="11">
        <v>42782.560046296298</v>
      </c>
      <c r="E2667" s="10" t="s">
        <v>2180</v>
      </c>
    </row>
    <row r="2668" spans="1:5">
      <c r="A2668" s="11">
        <v>42780</v>
      </c>
      <c r="B2668" s="10" t="s">
        <v>5667</v>
      </c>
      <c r="C2668" s="10" t="s">
        <v>5668</v>
      </c>
      <c r="D2668" s="11">
        <v>42780.43917824074</v>
      </c>
      <c r="E2668" s="10" t="s">
        <v>4865</v>
      </c>
    </row>
    <row r="2669" spans="1:5">
      <c r="A2669" s="11">
        <v>42780</v>
      </c>
      <c r="B2669" s="10" t="s">
        <v>5669</v>
      </c>
      <c r="C2669" s="10" t="s">
        <v>5670</v>
      </c>
      <c r="D2669" s="11">
        <v>42782.522453703707</v>
      </c>
      <c r="E2669" s="10" t="s">
        <v>2180</v>
      </c>
    </row>
    <row r="2670" spans="1:5">
      <c r="A2670" s="11">
        <v>42780</v>
      </c>
      <c r="B2670" s="10" t="s">
        <v>5671</v>
      </c>
      <c r="C2670" s="10" t="s">
        <v>5672</v>
      </c>
      <c r="D2670" s="11">
        <v>42782.514432870368</v>
      </c>
      <c r="E2670" s="10" t="s">
        <v>308</v>
      </c>
    </row>
    <row r="2671" spans="1:5">
      <c r="A2671" s="11">
        <v>42780</v>
      </c>
      <c r="B2671" s="10" t="s">
        <v>5673</v>
      </c>
      <c r="C2671" s="10" t="s">
        <v>5674</v>
      </c>
      <c r="D2671" s="11">
        <v>42780.440983796296</v>
      </c>
      <c r="E2671" s="10" t="s">
        <v>122</v>
      </c>
    </row>
    <row r="2672" spans="1:5">
      <c r="A2672" s="11">
        <v>42780</v>
      </c>
      <c r="B2672" s="10" t="s">
        <v>5675</v>
      </c>
      <c r="C2672" s="10" t="s">
        <v>5676</v>
      </c>
      <c r="D2672" s="11">
        <v>42780.441458333335</v>
      </c>
      <c r="E2672" s="10" t="s">
        <v>193</v>
      </c>
    </row>
    <row r="2673" spans="1:5">
      <c r="A2673" s="11">
        <v>42780</v>
      </c>
      <c r="B2673" s="10" t="s">
        <v>5677</v>
      </c>
      <c r="C2673" s="10" t="s">
        <v>5678</v>
      </c>
      <c r="D2673" s="11">
        <v>42780.441574074073</v>
      </c>
      <c r="E2673" s="10" t="s">
        <v>320</v>
      </c>
    </row>
    <row r="2674" spans="1:5">
      <c r="A2674" s="11">
        <v>42780</v>
      </c>
      <c r="B2674" s="10" t="s">
        <v>5679</v>
      </c>
      <c r="C2674" s="10" t="s">
        <v>5680</v>
      </c>
      <c r="D2674" s="11">
        <v>42781.656226851854</v>
      </c>
      <c r="E2674" s="10" t="s">
        <v>305</v>
      </c>
    </row>
    <row r="2675" spans="1:5">
      <c r="A2675" s="11">
        <v>42780</v>
      </c>
      <c r="B2675" s="10" t="s">
        <v>5681</v>
      </c>
      <c r="C2675" s="10" t="s">
        <v>5682</v>
      </c>
      <c r="D2675" s="11">
        <v>42780.442499999997</v>
      </c>
      <c r="E2675" s="10" t="s">
        <v>320</v>
      </c>
    </row>
    <row r="2676" spans="1:5">
      <c r="A2676" s="11">
        <v>42780</v>
      </c>
      <c r="B2676" s="10" t="s">
        <v>5683</v>
      </c>
      <c r="C2676" s="10" t="s">
        <v>5684</v>
      </c>
      <c r="D2676" s="11">
        <v>42780.443738425929</v>
      </c>
      <c r="E2676" s="10" t="s">
        <v>380</v>
      </c>
    </row>
    <row r="2677" spans="1:5">
      <c r="A2677" s="11">
        <v>42780</v>
      </c>
      <c r="B2677" s="10" t="s">
        <v>5685</v>
      </c>
      <c r="C2677" s="10" t="s">
        <v>5686</v>
      </c>
      <c r="D2677" s="11">
        <v>42782.565324074072</v>
      </c>
      <c r="E2677" s="10" t="s">
        <v>1103</v>
      </c>
    </row>
    <row r="2678" spans="1:5">
      <c r="A2678" s="11">
        <v>42780</v>
      </c>
      <c r="B2678" s="10" t="s">
        <v>5687</v>
      </c>
      <c r="C2678" s="10" t="s">
        <v>5688</v>
      </c>
      <c r="D2678" s="11">
        <v>42780.445833333331</v>
      </c>
      <c r="E2678" s="10" t="s">
        <v>237</v>
      </c>
    </row>
    <row r="2679" spans="1:5">
      <c r="A2679" s="11">
        <v>42780</v>
      </c>
      <c r="B2679" s="10" t="s">
        <v>5689</v>
      </c>
      <c r="C2679" s="10" t="s">
        <v>5690</v>
      </c>
      <c r="D2679" s="11">
        <v>42780.449976851851</v>
      </c>
      <c r="E2679" s="10" t="s">
        <v>707</v>
      </c>
    </row>
    <row r="2680" spans="1:5">
      <c r="A2680" s="11">
        <v>42780</v>
      </c>
      <c r="B2680" s="10" t="s">
        <v>5691</v>
      </c>
      <c r="C2680" s="10" t="s">
        <v>5692</v>
      </c>
      <c r="D2680" s="11">
        <v>42780.450509259259</v>
      </c>
      <c r="E2680" s="10" t="s">
        <v>373</v>
      </c>
    </row>
    <row r="2681" spans="1:5">
      <c r="A2681" s="11">
        <v>42780</v>
      </c>
      <c r="B2681" s="10" t="s">
        <v>5693</v>
      </c>
      <c r="C2681" s="10" t="s">
        <v>5694</v>
      </c>
      <c r="D2681" s="11">
        <v>42780.451435185183</v>
      </c>
      <c r="E2681" s="10" t="s">
        <v>433</v>
      </c>
    </row>
    <row r="2682" spans="1:5">
      <c r="A2682" s="11">
        <v>42780</v>
      </c>
      <c r="B2682" s="10" t="s">
        <v>5695</v>
      </c>
      <c r="C2682" s="10" t="s">
        <v>5696</v>
      </c>
      <c r="D2682" s="11">
        <v>42780.451678240737</v>
      </c>
      <c r="E2682" s="10" t="s">
        <v>433</v>
      </c>
    </row>
    <row r="2683" spans="1:5">
      <c r="A2683" s="11">
        <v>42780</v>
      </c>
      <c r="B2683" s="10" t="s">
        <v>5697</v>
      </c>
      <c r="C2683" s="10" t="s">
        <v>5698</v>
      </c>
      <c r="D2683" s="11">
        <v>42780.451817129629</v>
      </c>
      <c r="E2683" s="10" t="s">
        <v>433</v>
      </c>
    </row>
    <row r="2684" spans="1:5">
      <c r="A2684" s="11">
        <v>42780</v>
      </c>
      <c r="B2684" s="10" t="s">
        <v>5699</v>
      </c>
      <c r="C2684" s="10" t="s">
        <v>5700</v>
      </c>
      <c r="D2684" s="11">
        <v>42780.4528587963</v>
      </c>
      <c r="E2684" s="10" t="s">
        <v>240</v>
      </c>
    </row>
    <row r="2685" spans="1:5">
      <c r="A2685" s="11">
        <v>42780</v>
      </c>
      <c r="B2685" s="10" t="s">
        <v>5701</v>
      </c>
      <c r="C2685" s="10" t="s">
        <v>5702</v>
      </c>
      <c r="D2685" s="11">
        <v>42780.453703703701</v>
      </c>
      <c r="E2685" s="10" t="s">
        <v>433</v>
      </c>
    </row>
    <row r="2686" spans="1:5">
      <c r="A2686" s="11">
        <v>42780</v>
      </c>
      <c r="B2686" s="10" t="s">
        <v>5703</v>
      </c>
      <c r="C2686" s="10" t="s">
        <v>5704</v>
      </c>
      <c r="D2686" s="11">
        <v>42780.454479166663</v>
      </c>
      <c r="E2686" s="10" t="s">
        <v>859</v>
      </c>
    </row>
    <row r="2687" spans="1:5">
      <c r="A2687" s="11">
        <v>42780</v>
      </c>
      <c r="B2687" s="10" t="s">
        <v>5705</v>
      </c>
      <c r="C2687" s="10" t="s">
        <v>5706</v>
      </c>
      <c r="D2687" s="11">
        <v>42780.454733796294</v>
      </c>
      <c r="E2687" s="10" t="s">
        <v>433</v>
      </c>
    </row>
    <row r="2688" spans="1:5" ht="21.6">
      <c r="A2688" s="11">
        <v>42780</v>
      </c>
      <c r="B2688" s="10" t="s">
        <v>5707</v>
      </c>
      <c r="C2688" s="10" t="s">
        <v>5708</v>
      </c>
      <c r="D2688" s="11">
        <v>42780.455208333333</v>
      </c>
      <c r="E2688" s="10" t="s">
        <v>1316</v>
      </c>
    </row>
    <row r="2689" spans="1:5">
      <c r="A2689" s="11">
        <v>42780</v>
      </c>
      <c r="B2689" s="10" t="s">
        <v>5709</v>
      </c>
      <c r="C2689" s="10" t="s">
        <v>5710</v>
      </c>
      <c r="D2689" s="11">
        <v>42780.456030092595</v>
      </c>
      <c r="E2689" s="10" t="s">
        <v>707</v>
      </c>
    </row>
    <row r="2690" spans="1:5">
      <c r="A2690" s="11">
        <v>42780</v>
      </c>
      <c r="B2690" s="10" t="s">
        <v>5711</v>
      </c>
      <c r="C2690" s="10" t="s">
        <v>5712</v>
      </c>
      <c r="D2690" s="11">
        <v>42781.796249999999</v>
      </c>
      <c r="E2690" s="10" t="s">
        <v>479</v>
      </c>
    </row>
    <row r="2691" spans="1:5">
      <c r="A2691" s="11">
        <v>42780</v>
      </c>
      <c r="B2691" s="10" t="s">
        <v>5713</v>
      </c>
      <c r="C2691" s="10" t="s">
        <v>5714</v>
      </c>
      <c r="D2691" s="11">
        <v>42782.569780092592</v>
      </c>
      <c r="E2691" s="10" t="s">
        <v>2180</v>
      </c>
    </row>
    <row r="2692" spans="1:5">
      <c r="A2692" s="11">
        <v>42780</v>
      </c>
      <c r="B2692" s="10" t="s">
        <v>5715</v>
      </c>
      <c r="C2692" s="10" t="s">
        <v>5716</v>
      </c>
      <c r="D2692" s="11">
        <v>42780.458310185182</v>
      </c>
      <c r="E2692" s="10" t="s">
        <v>237</v>
      </c>
    </row>
    <row r="2693" spans="1:5">
      <c r="A2693" s="11">
        <v>42780</v>
      </c>
      <c r="B2693" s="10" t="s">
        <v>5717</v>
      </c>
      <c r="C2693" s="10" t="s">
        <v>5718</v>
      </c>
      <c r="D2693" s="11">
        <v>42780.458935185183</v>
      </c>
      <c r="E2693" s="10" t="s">
        <v>237</v>
      </c>
    </row>
    <row r="2694" spans="1:5">
      <c r="A2694" s="11">
        <v>42780</v>
      </c>
      <c r="B2694" s="10" t="s">
        <v>5719</v>
      </c>
      <c r="C2694" s="10" t="s">
        <v>5720</v>
      </c>
      <c r="D2694" s="11">
        <v>42780.861979166664</v>
      </c>
      <c r="E2694" s="10" t="s">
        <v>902</v>
      </c>
    </row>
    <row r="2695" spans="1:5">
      <c r="A2695" s="11">
        <v>42780</v>
      </c>
      <c r="B2695" s="10" t="s">
        <v>5721</v>
      </c>
      <c r="C2695" s="10" t="s">
        <v>5722</v>
      </c>
      <c r="D2695" s="11">
        <v>42780.463229166664</v>
      </c>
      <c r="E2695" s="10" t="s">
        <v>218</v>
      </c>
    </row>
    <row r="2696" spans="1:5">
      <c r="A2696" s="11">
        <v>42780</v>
      </c>
      <c r="B2696" s="10" t="s">
        <v>5723</v>
      </c>
      <c r="C2696" s="10" t="s">
        <v>5724</v>
      </c>
      <c r="D2696" s="11">
        <v>42780.463587962964</v>
      </c>
      <c r="E2696" s="10" t="s">
        <v>433</v>
      </c>
    </row>
    <row r="2697" spans="1:5">
      <c r="A2697" s="11">
        <v>42780</v>
      </c>
      <c r="B2697" s="10" t="s">
        <v>5725</v>
      </c>
      <c r="C2697" s="10" t="s">
        <v>5726</v>
      </c>
      <c r="D2697" s="11">
        <v>42780.464861111112</v>
      </c>
      <c r="E2697" s="10" t="s">
        <v>218</v>
      </c>
    </row>
    <row r="2698" spans="1:5">
      <c r="A2698" s="11">
        <v>42780</v>
      </c>
      <c r="B2698" s="10" t="s">
        <v>5727</v>
      </c>
      <c r="C2698" s="10" t="s">
        <v>5728</v>
      </c>
      <c r="D2698" s="11">
        <v>42780.464872685188</v>
      </c>
      <c r="E2698" s="10" t="s">
        <v>422</v>
      </c>
    </row>
    <row r="2699" spans="1:5">
      <c r="A2699" s="11">
        <v>42780</v>
      </c>
      <c r="B2699" s="10" t="s">
        <v>5729</v>
      </c>
      <c r="C2699" s="10" t="s">
        <v>5730</v>
      </c>
      <c r="D2699" s="11">
        <v>42780.465428240743</v>
      </c>
      <c r="E2699" s="10" t="s">
        <v>2538</v>
      </c>
    </row>
    <row r="2700" spans="1:5">
      <c r="A2700" s="11">
        <v>42780</v>
      </c>
      <c r="B2700" s="10" t="s">
        <v>5731</v>
      </c>
      <c r="C2700" s="10" t="s">
        <v>5732</v>
      </c>
      <c r="D2700" s="11">
        <v>42780.466550925928</v>
      </c>
      <c r="E2700" s="10" t="s">
        <v>1103</v>
      </c>
    </row>
    <row r="2701" spans="1:5">
      <c r="A2701" s="11">
        <v>42780</v>
      </c>
      <c r="B2701" s="10" t="s">
        <v>5733</v>
      </c>
      <c r="C2701" s="10" t="s">
        <v>5734</v>
      </c>
      <c r="D2701" s="11">
        <v>42780.466840277775</v>
      </c>
      <c r="E2701" s="10" t="s">
        <v>1103</v>
      </c>
    </row>
    <row r="2702" spans="1:5">
      <c r="A2702" s="11">
        <v>42780</v>
      </c>
      <c r="B2702" s="10" t="s">
        <v>5735</v>
      </c>
      <c r="C2702" s="10" t="s">
        <v>5736</v>
      </c>
      <c r="D2702" s="11">
        <v>42780.466886574075</v>
      </c>
      <c r="E2702" s="10" t="s">
        <v>215</v>
      </c>
    </row>
    <row r="2703" spans="1:5">
      <c r="A2703" s="11">
        <v>42780</v>
      </c>
      <c r="B2703" s="10" t="s">
        <v>5737</v>
      </c>
      <c r="C2703" s="10" t="s">
        <v>5738</v>
      </c>
      <c r="D2703" s="11">
        <v>42780.467627314814</v>
      </c>
      <c r="E2703" s="10" t="s">
        <v>1103</v>
      </c>
    </row>
    <row r="2704" spans="1:5">
      <c r="A2704" s="11">
        <v>42780</v>
      </c>
      <c r="B2704" s="10" t="s">
        <v>5739</v>
      </c>
      <c r="C2704" s="10" t="s">
        <v>5740</v>
      </c>
      <c r="D2704" s="11">
        <v>42780.467858796299</v>
      </c>
      <c r="E2704" s="10" t="s">
        <v>433</v>
      </c>
    </row>
    <row r="2705" spans="1:5">
      <c r="A2705" s="11">
        <v>42780</v>
      </c>
      <c r="B2705" s="10" t="s">
        <v>5741</v>
      </c>
      <c r="C2705" s="10" t="s">
        <v>5742</v>
      </c>
      <c r="D2705" s="11">
        <v>42780.467962962961</v>
      </c>
      <c r="E2705" s="10" t="s">
        <v>1103</v>
      </c>
    </row>
    <row r="2706" spans="1:5">
      <c r="A2706" s="11">
        <v>42780</v>
      </c>
      <c r="B2706" s="10" t="s">
        <v>5743</v>
      </c>
      <c r="C2706" s="10" t="s">
        <v>5744</v>
      </c>
      <c r="D2706" s="11">
        <v>42780.470231481479</v>
      </c>
      <c r="E2706" s="10" t="s">
        <v>433</v>
      </c>
    </row>
    <row r="2707" spans="1:5">
      <c r="A2707" s="11">
        <v>42780</v>
      </c>
      <c r="B2707" s="10" t="s">
        <v>5745</v>
      </c>
      <c r="C2707" s="10" t="s">
        <v>5746</v>
      </c>
      <c r="D2707" s="11">
        <v>42782.701226851852</v>
      </c>
      <c r="E2707" s="10" t="s">
        <v>152</v>
      </c>
    </row>
    <row r="2708" spans="1:5">
      <c r="A2708" s="11">
        <v>42780</v>
      </c>
      <c r="B2708" s="10" t="s">
        <v>5747</v>
      </c>
      <c r="C2708" s="10" t="s">
        <v>5748</v>
      </c>
      <c r="D2708" s="11">
        <v>42780.472187500003</v>
      </c>
      <c r="E2708" s="10" t="s">
        <v>2515</v>
      </c>
    </row>
    <row r="2709" spans="1:5">
      <c r="A2709" s="11">
        <v>42780</v>
      </c>
      <c r="B2709" s="10" t="s">
        <v>5749</v>
      </c>
      <c r="C2709" s="10" t="s">
        <v>5750</v>
      </c>
      <c r="D2709" s="11">
        <v>42780.474166666667</v>
      </c>
      <c r="E2709" s="10" t="s">
        <v>240</v>
      </c>
    </row>
    <row r="2710" spans="1:5">
      <c r="A2710" s="11">
        <v>42780</v>
      </c>
      <c r="B2710" s="10" t="s">
        <v>5751</v>
      </c>
      <c r="C2710" s="10" t="s">
        <v>5752</v>
      </c>
      <c r="D2710" s="11">
        <v>42780.476365740738</v>
      </c>
      <c r="E2710" s="10" t="s">
        <v>707</v>
      </c>
    </row>
    <row r="2711" spans="1:5">
      <c r="A2711" s="11">
        <v>42780</v>
      </c>
      <c r="B2711" s="10" t="s">
        <v>5753</v>
      </c>
      <c r="C2711" s="10" t="s">
        <v>5754</v>
      </c>
      <c r="D2711" s="11">
        <v>42780.478310185186</v>
      </c>
      <c r="E2711" s="10" t="s">
        <v>433</v>
      </c>
    </row>
    <row r="2712" spans="1:5">
      <c r="A2712" s="11">
        <v>42780</v>
      </c>
      <c r="B2712" s="10" t="s">
        <v>5755</v>
      </c>
      <c r="C2712" s="10" t="s">
        <v>5756</v>
      </c>
      <c r="D2712" s="11">
        <v>42780.481909722221</v>
      </c>
      <c r="E2712" s="10" t="s">
        <v>433</v>
      </c>
    </row>
    <row r="2713" spans="1:5">
      <c r="A2713" s="11">
        <v>42780</v>
      </c>
      <c r="B2713" s="10" t="s">
        <v>5757</v>
      </c>
      <c r="C2713" s="10" t="s">
        <v>5758</v>
      </c>
      <c r="D2713" s="11">
        <v>42780.711805555555</v>
      </c>
      <c r="E2713" s="10" t="s">
        <v>902</v>
      </c>
    </row>
    <row r="2714" spans="1:5">
      <c r="A2714" s="11">
        <v>42780</v>
      </c>
      <c r="B2714" s="10" t="s">
        <v>5759</v>
      </c>
      <c r="C2714" s="10" t="s">
        <v>5760</v>
      </c>
      <c r="D2714" s="11">
        <v>42780.487118055556</v>
      </c>
      <c r="E2714" s="10" t="s">
        <v>373</v>
      </c>
    </row>
    <row r="2715" spans="1:5">
      <c r="A2715" s="11">
        <v>42780</v>
      </c>
      <c r="B2715" s="10" t="s">
        <v>5761</v>
      </c>
      <c r="C2715" s="10" t="s">
        <v>5762</v>
      </c>
      <c r="D2715" s="11">
        <v>42780.488842592589</v>
      </c>
      <c r="E2715" s="10" t="s">
        <v>2995</v>
      </c>
    </row>
    <row r="2716" spans="1:5">
      <c r="A2716" s="11">
        <v>42780</v>
      </c>
      <c r="B2716" s="10" t="s">
        <v>5763</v>
      </c>
      <c r="C2716" s="10" t="s">
        <v>5764</v>
      </c>
      <c r="D2716" s="11">
        <v>42780.488900462966</v>
      </c>
      <c r="E2716" s="10" t="s">
        <v>2515</v>
      </c>
    </row>
    <row r="2717" spans="1:5">
      <c r="A2717" s="11">
        <v>42780</v>
      </c>
      <c r="B2717" s="10" t="s">
        <v>5765</v>
      </c>
      <c r="C2717" s="10" t="s">
        <v>5766</v>
      </c>
      <c r="D2717" s="11">
        <v>42780.489039351851</v>
      </c>
      <c r="E2717" s="10" t="s">
        <v>108</v>
      </c>
    </row>
    <row r="2718" spans="1:5">
      <c r="A2718" s="11">
        <v>42780</v>
      </c>
      <c r="B2718" s="10" t="s">
        <v>5767</v>
      </c>
      <c r="C2718" s="10" t="s">
        <v>5768</v>
      </c>
      <c r="D2718" s="11">
        <v>42782.599826388891</v>
      </c>
      <c r="E2718" s="10" t="s">
        <v>5769</v>
      </c>
    </row>
    <row r="2719" spans="1:5">
      <c r="A2719" s="11">
        <v>42780</v>
      </c>
      <c r="B2719" s="10" t="s">
        <v>5770</v>
      </c>
      <c r="C2719" s="10" t="s">
        <v>5771</v>
      </c>
      <c r="D2719" s="11">
        <v>42780.492777777778</v>
      </c>
      <c r="E2719" s="10" t="s">
        <v>353</v>
      </c>
    </row>
    <row r="2720" spans="1:5">
      <c r="A2720" s="11">
        <v>42780</v>
      </c>
      <c r="B2720" s="10" t="s">
        <v>5772</v>
      </c>
      <c r="C2720" s="10" t="s">
        <v>5773</v>
      </c>
      <c r="D2720" s="11">
        <v>42780.494409722225</v>
      </c>
      <c r="E2720" s="10" t="s">
        <v>373</v>
      </c>
    </row>
    <row r="2721" spans="1:5">
      <c r="A2721" s="11">
        <v>42780</v>
      </c>
      <c r="B2721" s="10" t="s">
        <v>5774</v>
      </c>
      <c r="C2721" s="10" t="s">
        <v>5775</v>
      </c>
      <c r="D2721" s="11">
        <v>42780.49796296296</v>
      </c>
      <c r="E2721" s="10" t="s">
        <v>5776</v>
      </c>
    </row>
    <row r="2722" spans="1:5">
      <c r="A2722" s="11">
        <v>42780</v>
      </c>
      <c r="B2722" s="10" t="s">
        <v>5777</v>
      </c>
      <c r="C2722" s="10" t="s">
        <v>5778</v>
      </c>
      <c r="D2722" s="11">
        <v>42782.413506944446</v>
      </c>
      <c r="E2722" s="10" t="s">
        <v>433</v>
      </c>
    </row>
    <row r="2723" spans="1:5">
      <c r="A2723" s="11">
        <v>42780</v>
      </c>
      <c r="B2723" s="10" t="s">
        <v>5779</v>
      </c>
      <c r="C2723" s="10" t="s">
        <v>5780</v>
      </c>
      <c r="D2723" s="11">
        <v>42780.504293981481</v>
      </c>
      <c r="E2723" s="10" t="s">
        <v>373</v>
      </c>
    </row>
    <row r="2724" spans="1:5">
      <c r="A2724" s="11">
        <v>42780</v>
      </c>
      <c r="B2724" s="10" t="s">
        <v>5781</v>
      </c>
      <c r="C2724" s="10" t="s">
        <v>5782</v>
      </c>
      <c r="D2724" s="11">
        <v>42780.505127314813</v>
      </c>
      <c r="E2724" s="10" t="s">
        <v>2180</v>
      </c>
    </row>
    <row r="2725" spans="1:5">
      <c r="A2725" s="11">
        <v>42780</v>
      </c>
      <c r="B2725" s="10" t="s">
        <v>5783</v>
      </c>
      <c r="C2725" s="10" t="s">
        <v>5784</v>
      </c>
      <c r="D2725" s="11">
        <v>42782.500196759262</v>
      </c>
      <c r="E2725" s="10" t="s">
        <v>414</v>
      </c>
    </row>
    <row r="2726" spans="1:5">
      <c r="A2726" s="11">
        <v>42780</v>
      </c>
      <c r="B2726" s="10" t="s">
        <v>5785</v>
      </c>
      <c r="C2726" s="10" t="s">
        <v>5786</v>
      </c>
      <c r="D2726" s="11">
        <v>42780.506099537037</v>
      </c>
      <c r="E2726" s="10" t="s">
        <v>373</v>
      </c>
    </row>
    <row r="2727" spans="1:5">
      <c r="A2727" s="11">
        <v>42780</v>
      </c>
      <c r="B2727" s="10" t="s">
        <v>5787</v>
      </c>
      <c r="C2727" s="10" t="s">
        <v>5788</v>
      </c>
      <c r="D2727" s="11">
        <v>42780.506712962961</v>
      </c>
      <c r="E2727" s="10" t="s">
        <v>209</v>
      </c>
    </row>
    <row r="2728" spans="1:5">
      <c r="A2728" s="11">
        <v>42780</v>
      </c>
      <c r="B2728" s="10" t="s">
        <v>5789</v>
      </c>
      <c r="C2728" s="10" t="s">
        <v>5790</v>
      </c>
      <c r="D2728" s="11">
        <v>42780.5078587963</v>
      </c>
      <c r="E2728" s="10" t="s">
        <v>240</v>
      </c>
    </row>
    <row r="2729" spans="1:5">
      <c r="A2729" s="11">
        <v>42780</v>
      </c>
      <c r="B2729" s="10" t="s">
        <v>5791</v>
      </c>
      <c r="C2729" s="10" t="s">
        <v>5792</v>
      </c>
      <c r="D2729" s="11">
        <v>42780.508356481485</v>
      </c>
      <c r="E2729" s="10" t="s">
        <v>433</v>
      </c>
    </row>
    <row r="2730" spans="1:5">
      <c r="A2730" s="11">
        <v>42780</v>
      </c>
      <c r="B2730" s="10" t="s">
        <v>5793</v>
      </c>
      <c r="C2730" s="10" t="s">
        <v>5794</v>
      </c>
      <c r="D2730" s="11">
        <v>42780.508715277778</v>
      </c>
      <c r="E2730" s="10" t="s">
        <v>320</v>
      </c>
    </row>
    <row r="2731" spans="1:5">
      <c r="A2731" s="11">
        <v>42780</v>
      </c>
      <c r="B2731" s="10" t="s">
        <v>5795</v>
      </c>
      <c r="C2731" s="10" t="s">
        <v>5796</v>
      </c>
      <c r="D2731" s="11">
        <v>42780.536319444444</v>
      </c>
      <c r="E2731" s="10" t="s">
        <v>479</v>
      </c>
    </row>
    <row r="2732" spans="1:5">
      <c r="A2732" s="11">
        <v>42780</v>
      </c>
      <c r="B2732" s="10" t="s">
        <v>5797</v>
      </c>
      <c r="C2732" s="10" t="s">
        <v>5798</v>
      </c>
      <c r="D2732" s="11">
        <v>42781.701828703706</v>
      </c>
      <c r="E2732" s="10" t="s">
        <v>122</v>
      </c>
    </row>
    <row r="2733" spans="1:5">
      <c r="A2733" s="11">
        <v>42780</v>
      </c>
      <c r="B2733" s="10" t="s">
        <v>5799</v>
      </c>
      <c r="C2733" s="10" t="s">
        <v>5800</v>
      </c>
      <c r="D2733" s="11">
        <v>42780.711215277777</v>
      </c>
      <c r="E2733" s="10" t="s">
        <v>2234</v>
      </c>
    </row>
    <row r="2734" spans="1:5">
      <c r="A2734" s="11">
        <v>42780</v>
      </c>
      <c r="B2734" s="10" t="s">
        <v>5801</v>
      </c>
      <c r="C2734" s="10" t="s">
        <v>5802</v>
      </c>
      <c r="D2734" s="11">
        <v>42780.513912037037</v>
      </c>
      <c r="E2734" s="10" t="s">
        <v>5803</v>
      </c>
    </row>
    <row r="2735" spans="1:5">
      <c r="A2735" s="11">
        <v>42780</v>
      </c>
      <c r="B2735" s="10" t="s">
        <v>5804</v>
      </c>
      <c r="C2735" s="10" t="s">
        <v>5805</v>
      </c>
      <c r="D2735" s="11">
        <v>42780.515115740738</v>
      </c>
      <c r="E2735" s="10" t="s">
        <v>977</v>
      </c>
    </row>
    <row r="2736" spans="1:5">
      <c r="A2736" s="11">
        <v>42780</v>
      </c>
      <c r="B2736" s="10" t="s">
        <v>5806</v>
      </c>
      <c r="C2736" s="10" t="s">
        <v>5807</v>
      </c>
      <c r="D2736" s="11">
        <v>42780.515277777777</v>
      </c>
      <c r="E2736" s="10" t="s">
        <v>433</v>
      </c>
    </row>
    <row r="2737" spans="1:5">
      <c r="A2737" s="11">
        <v>42780</v>
      </c>
      <c r="B2737" s="10" t="s">
        <v>5808</v>
      </c>
      <c r="C2737" s="10" t="s">
        <v>5809</v>
      </c>
      <c r="D2737" s="11">
        <v>42780.517442129632</v>
      </c>
      <c r="E2737" s="10" t="s">
        <v>373</v>
      </c>
    </row>
    <row r="2738" spans="1:5">
      <c r="A2738" s="11">
        <v>42780</v>
      </c>
      <c r="B2738" s="10" t="s">
        <v>5810</v>
      </c>
      <c r="C2738" s="10" t="s">
        <v>5811</v>
      </c>
      <c r="D2738" s="11">
        <v>42780.518819444442</v>
      </c>
      <c r="E2738" s="10" t="s">
        <v>373</v>
      </c>
    </row>
    <row r="2739" spans="1:5">
      <c r="A2739" s="11">
        <v>42780</v>
      </c>
      <c r="B2739" s="10" t="s">
        <v>5812</v>
      </c>
      <c r="C2739" s="10" t="s">
        <v>5813</v>
      </c>
      <c r="D2739" s="11">
        <v>42780.518923611111</v>
      </c>
      <c r="E2739" s="10" t="s">
        <v>3550</v>
      </c>
    </row>
    <row r="2740" spans="1:5" ht="21.6">
      <c r="A2740" s="11">
        <v>42780</v>
      </c>
      <c r="B2740" s="10" t="s">
        <v>5814</v>
      </c>
      <c r="C2740" s="10" t="s">
        <v>5815</v>
      </c>
      <c r="D2740" s="11">
        <v>42780.520358796297</v>
      </c>
      <c r="E2740" s="10" t="s">
        <v>146</v>
      </c>
    </row>
    <row r="2741" spans="1:5">
      <c r="A2741" s="11">
        <v>42780</v>
      </c>
      <c r="B2741" s="10" t="s">
        <v>5816</v>
      </c>
      <c r="C2741" s="10" t="s">
        <v>5817</v>
      </c>
      <c r="D2741" s="11">
        <v>42782.585868055554</v>
      </c>
      <c r="E2741" s="10" t="s">
        <v>2515</v>
      </c>
    </row>
    <row r="2742" spans="1:5">
      <c r="A2742" s="11">
        <v>42780</v>
      </c>
      <c r="B2742" s="10" t="s">
        <v>5818</v>
      </c>
      <c r="C2742" s="10" t="s">
        <v>5819</v>
      </c>
      <c r="D2742" s="11">
        <v>42780.521122685182</v>
      </c>
      <c r="E2742" s="10" t="s">
        <v>218</v>
      </c>
    </row>
    <row r="2743" spans="1:5">
      <c r="A2743" s="11">
        <v>42780</v>
      </c>
      <c r="B2743" s="10" t="s">
        <v>5820</v>
      </c>
      <c r="C2743" s="10" t="s">
        <v>5821</v>
      </c>
      <c r="D2743" s="11">
        <v>42780.521192129629</v>
      </c>
      <c r="E2743" s="10" t="s">
        <v>683</v>
      </c>
    </row>
    <row r="2744" spans="1:5">
      <c r="A2744" s="11">
        <v>42780</v>
      </c>
      <c r="B2744" s="10" t="s">
        <v>5822</v>
      </c>
      <c r="C2744" s="10" t="s">
        <v>5823</v>
      </c>
      <c r="D2744" s="11">
        <v>42780.524537037039</v>
      </c>
      <c r="E2744" s="10" t="s">
        <v>237</v>
      </c>
    </row>
    <row r="2745" spans="1:5">
      <c r="A2745" s="11">
        <v>42780</v>
      </c>
      <c r="B2745" s="10" t="s">
        <v>5824</v>
      </c>
      <c r="C2745" s="10" t="s">
        <v>5825</v>
      </c>
      <c r="D2745" s="11">
        <v>42780.525000000001</v>
      </c>
      <c r="E2745" s="10" t="s">
        <v>237</v>
      </c>
    </row>
    <row r="2746" spans="1:5">
      <c r="A2746" s="11">
        <v>42780</v>
      </c>
      <c r="B2746" s="10" t="s">
        <v>5826</v>
      </c>
      <c r="C2746" s="10" t="s">
        <v>5827</v>
      </c>
      <c r="D2746" s="11">
        <v>42780.535162037035</v>
      </c>
      <c r="E2746" s="10" t="s">
        <v>433</v>
      </c>
    </row>
    <row r="2747" spans="1:5">
      <c r="A2747" s="11">
        <v>42780</v>
      </c>
      <c r="B2747" s="10" t="s">
        <v>5828</v>
      </c>
      <c r="C2747" s="10" t="s">
        <v>5829</v>
      </c>
      <c r="D2747" s="11">
        <v>42780.536643518521</v>
      </c>
      <c r="E2747" s="10" t="s">
        <v>215</v>
      </c>
    </row>
    <row r="2748" spans="1:5">
      <c r="A2748" s="11">
        <v>42780</v>
      </c>
      <c r="B2748" s="10" t="s">
        <v>5830</v>
      </c>
      <c r="C2748" s="10" t="s">
        <v>5831</v>
      </c>
      <c r="D2748" s="11">
        <v>42781.709016203706</v>
      </c>
      <c r="E2748" s="10" t="s">
        <v>2201</v>
      </c>
    </row>
    <row r="2749" spans="1:5">
      <c r="A2749" s="11">
        <v>42780</v>
      </c>
      <c r="B2749" s="10" t="s">
        <v>5832</v>
      </c>
      <c r="C2749" s="10" t="s">
        <v>5833</v>
      </c>
      <c r="D2749" s="11">
        <v>42780.540821759256</v>
      </c>
      <c r="E2749" s="10" t="s">
        <v>218</v>
      </c>
    </row>
    <row r="2750" spans="1:5">
      <c r="A2750" s="11">
        <v>42780</v>
      </c>
      <c r="B2750" s="10" t="s">
        <v>5834</v>
      </c>
      <c r="C2750" s="10" t="s">
        <v>5835</v>
      </c>
      <c r="D2750" s="11">
        <v>42780.541192129633</v>
      </c>
      <c r="E2750" s="10" t="s">
        <v>373</v>
      </c>
    </row>
    <row r="2751" spans="1:5">
      <c r="A2751" s="11">
        <v>42780</v>
      </c>
      <c r="B2751" s="10" t="s">
        <v>5836</v>
      </c>
      <c r="C2751" s="10" t="s">
        <v>5837</v>
      </c>
      <c r="D2751" s="11">
        <v>42780.541273148148</v>
      </c>
      <c r="E2751" s="10" t="s">
        <v>218</v>
      </c>
    </row>
    <row r="2752" spans="1:5">
      <c r="A2752" s="11">
        <v>42780</v>
      </c>
      <c r="B2752" s="10" t="s">
        <v>5838</v>
      </c>
      <c r="C2752" s="10" t="s">
        <v>5839</v>
      </c>
      <c r="D2752" s="11">
        <v>42780.541481481479</v>
      </c>
      <c r="E2752" s="10" t="s">
        <v>218</v>
      </c>
    </row>
    <row r="2753" spans="1:5">
      <c r="A2753" s="11">
        <v>42780</v>
      </c>
      <c r="B2753" s="10" t="s">
        <v>5840</v>
      </c>
      <c r="C2753" s="10" t="s">
        <v>5841</v>
      </c>
      <c r="D2753" s="11">
        <v>42780.541678240741</v>
      </c>
      <c r="E2753" s="10" t="s">
        <v>218</v>
      </c>
    </row>
    <row r="2754" spans="1:5">
      <c r="A2754" s="11">
        <v>42780</v>
      </c>
      <c r="B2754" s="10" t="s">
        <v>5842</v>
      </c>
      <c r="C2754" s="10" t="s">
        <v>5843</v>
      </c>
      <c r="D2754" s="11">
        <v>42780.541967592595</v>
      </c>
      <c r="E2754" s="10" t="s">
        <v>218</v>
      </c>
    </row>
    <row r="2755" spans="1:5">
      <c r="A2755" s="11">
        <v>42780</v>
      </c>
      <c r="B2755" s="10" t="s">
        <v>5844</v>
      </c>
      <c r="C2755" s="10" t="s">
        <v>5845</v>
      </c>
      <c r="D2755" s="11">
        <v>42782.670138888891</v>
      </c>
      <c r="E2755" s="10" t="s">
        <v>433</v>
      </c>
    </row>
    <row r="2756" spans="1:5">
      <c r="A2756" s="11">
        <v>42780</v>
      </c>
      <c r="B2756" s="10" t="s">
        <v>5846</v>
      </c>
      <c r="C2756" s="10" t="s">
        <v>5847</v>
      </c>
      <c r="D2756" s="11">
        <v>42782.679016203707</v>
      </c>
      <c r="E2756" s="10" t="s">
        <v>433</v>
      </c>
    </row>
    <row r="2757" spans="1:5">
      <c r="A2757" s="11">
        <v>42780</v>
      </c>
      <c r="B2757" s="10" t="s">
        <v>5848</v>
      </c>
      <c r="C2757" s="10" t="s">
        <v>5849</v>
      </c>
      <c r="D2757" s="11">
        <v>42782.591157407405</v>
      </c>
      <c r="E2757" s="10" t="s">
        <v>683</v>
      </c>
    </row>
    <row r="2758" spans="1:5">
      <c r="A2758" s="11">
        <v>42780</v>
      </c>
      <c r="B2758" s="10" t="s">
        <v>5850</v>
      </c>
      <c r="C2758" s="10" t="s">
        <v>5851</v>
      </c>
      <c r="D2758" s="11">
        <v>42780.54351851852</v>
      </c>
      <c r="E2758" s="10" t="s">
        <v>433</v>
      </c>
    </row>
    <row r="2759" spans="1:5">
      <c r="A2759" s="11">
        <v>42780</v>
      </c>
      <c r="B2759" s="10" t="s">
        <v>5852</v>
      </c>
      <c r="C2759" s="10" t="s">
        <v>5853</v>
      </c>
      <c r="D2759" s="11">
        <v>42780.547812500001</v>
      </c>
      <c r="E2759" s="10" t="s">
        <v>320</v>
      </c>
    </row>
    <row r="2760" spans="1:5">
      <c r="A2760" s="11">
        <v>42780</v>
      </c>
      <c r="B2760" s="10" t="s">
        <v>5854</v>
      </c>
      <c r="C2760" s="10" t="s">
        <v>5855</v>
      </c>
      <c r="D2760" s="11">
        <v>42780.550104166665</v>
      </c>
      <c r="E2760" s="10" t="s">
        <v>240</v>
      </c>
    </row>
    <row r="2761" spans="1:5">
      <c r="A2761" s="11">
        <v>42780</v>
      </c>
      <c r="B2761" s="10" t="s">
        <v>5856</v>
      </c>
      <c r="C2761" s="10" t="s">
        <v>5857</v>
      </c>
      <c r="D2761" s="11">
        <v>42780.552569444444</v>
      </c>
      <c r="E2761" s="10" t="s">
        <v>2442</v>
      </c>
    </row>
    <row r="2762" spans="1:5">
      <c r="A2762" s="11">
        <v>42780</v>
      </c>
      <c r="B2762" s="10" t="s">
        <v>5858</v>
      </c>
      <c r="C2762" s="10" t="s">
        <v>5859</v>
      </c>
      <c r="D2762" s="11">
        <v>42780.555335648147</v>
      </c>
      <c r="E2762" s="10" t="s">
        <v>237</v>
      </c>
    </row>
    <row r="2763" spans="1:5">
      <c r="A2763" s="11">
        <v>42780</v>
      </c>
      <c r="B2763" s="10" t="s">
        <v>5860</v>
      </c>
      <c r="C2763" s="10" t="s">
        <v>5861</v>
      </c>
      <c r="D2763" s="11">
        <v>42780.557893518519</v>
      </c>
      <c r="E2763" s="10" t="s">
        <v>3577</v>
      </c>
    </row>
    <row r="2764" spans="1:5">
      <c r="A2764" s="11">
        <v>42780</v>
      </c>
      <c r="B2764" s="10" t="s">
        <v>5862</v>
      </c>
      <c r="C2764" s="10" t="s">
        <v>5863</v>
      </c>
      <c r="D2764" s="11">
        <v>42780.559074074074</v>
      </c>
      <c r="E2764" s="10" t="s">
        <v>613</v>
      </c>
    </row>
    <row r="2765" spans="1:5">
      <c r="A2765" s="11">
        <v>42780</v>
      </c>
      <c r="B2765" s="10" t="s">
        <v>5864</v>
      </c>
      <c r="C2765" s="10" t="s">
        <v>5865</v>
      </c>
      <c r="D2765" s="11">
        <v>42780.560046296298</v>
      </c>
      <c r="E2765" s="10" t="s">
        <v>218</v>
      </c>
    </row>
    <row r="2766" spans="1:5">
      <c r="A2766" s="11">
        <v>42780</v>
      </c>
      <c r="B2766" s="10" t="s">
        <v>5866</v>
      </c>
      <c r="C2766" s="10" t="s">
        <v>5867</v>
      </c>
      <c r="D2766" s="11">
        <v>42780.561736111114</v>
      </c>
      <c r="E2766" s="10" t="s">
        <v>108</v>
      </c>
    </row>
    <row r="2767" spans="1:5">
      <c r="A2767" s="11">
        <v>42780</v>
      </c>
      <c r="B2767" s="10" t="s">
        <v>5868</v>
      </c>
      <c r="C2767" s="10" t="s">
        <v>5869</v>
      </c>
      <c r="D2767" s="11">
        <v>42780.564641203702</v>
      </c>
      <c r="E2767" s="10" t="s">
        <v>122</v>
      </c>
    </row>
    <row r="2768" spans="1:5">
      <c r="A2768" s="11">
        <v>42780</v>
      </c>
      <c r="B2768" s="10" t="s">
        <v>5870</v>
      </c>
      <c r="C2768" s="10" t="s">
        <v>5871</v>
      </c>
      <c r="D2768" s="11">
        <v>42780.565046296295</v>
      </c>
      <c r="E2768" s="10" t="s">
        <v>2442</v>
      </c>
    </row>
    <row r="2769" spans="1:5">
      <c r="A2769" s="11">
        <v>42780</v>
      </c>
      <c r="B2769" s="10" t="s">
        <v>5872</v>
      </c>
      <c r="C2769" s="10" t="s">
        <v>5873</v>
      </c>
      <c r="D2769" s="11">
        <v>42780.565891203703</v>
      </c>
      <c r="E2769" s="10" t="s">
        <v>3434</v>
      </c>
    </row>
    <row r="2770" spans="1:5">
      <c r="A2770" s="11">
        <v>42780</v>
      </c>
      <c r="B2770" s="10" t="s">
        <v>5874</v>
      </c>
      <c r="C2770" s="10" t="s">
        <v>5875</v>
      </c>
      <c r="D2770" s="11">
        <v>42780.567129629628</v>
      </c>
      <c r="E2770" s="10" t="s">
        <v>433</v>
      </c>
    </row>
    <row r="2771" spans="1:5">
      <c r="A2771" s="11">
        <v>42780</v>
      </c>
      <c r="B2771" s="10" t="s">
        <v>5876</v>
      </c>
      <c r="C2771" s="10" t="s">
        <v>5877</v>
      </c>
      <c r="D2771" s="11">
        <v>42781.454363425924</v>
      </c>
      <c r="E2771" s="10" t="s">
        <v>2180</v>
      </c>
    </row>
    <row r="2772" spans="1:5">
      <c r="A2772" s="11">
        <v>42780</v>
      </c>
      <c r="B2772" s="10" t="s">
        <v>5878</v>
      </c>
      <c r="C2772" s="10" t="s">
        <v>5879</v>
      </c>
      <c r="D2772" s="11">
        <v>42780.569386574076</v>
      </c>
      <c r="E2772" s="10" t="s">
        <v>237</v>
      </c>
    </row>
    <row r="2773" spans="1:5">
      <c r="A2773" s="11">
        <v>42780</v>
      </c>
      <c r="B2773" s="10" t="s">
        <v>5880</v>
      </c>
      <c r="C2773" s="10" t="s">
        <v>5881</v>
      </c>
      <c r="D2773" s="11">
        <v>42781.674293981479</v>
      </c>
      <c r="E2773" s="10" t="s">
        <v>122</v>
      </c>
    </row>
    <row r="2774" spans="1:5">
      <c r="A2774" s="11">
        <v>42780</v>
      </c>
      <c r="B2774" s="10" t="s">
        <v>5882</v>
      </c>
      <c r="C2774" s="10" t="s">
        <v>5883</v>
      </c>
      <c r="D2774" s="11">
        <v>42780.572187500002</v>
      </c>
      <c r="E2774" s="10" t="s">
        <v>5884</v>
      </c>
    </row>
    <row r="2775" spans="1:5">
      <c r="A2775" s="11">
        <v>42780</v>
      </c>
      <c r="B2775" s="10" t="s">
        <v>5885</v>
      </c>
      <c r="C2775" s="10" t="s">
        <v>5886</v>
      </c>
      <c r="D2775" s="11">
        <v>42780.572418981479</v>
      </c>
      <c r="E2775" s="10" t="s">
        <v>122</v>
      </c>
    </row>
    <row r="2776" spans="1:5">
      <c r="A2776" s="11">
        <v>42780</v>
      </c>
      <c r="B2776" s="10" t="s">
        <v>5887</v>
      </c>
      <c r="C2776" s="10" t="s">
        <v>5888</v>
      </c>
      <c r="D2776" s="11">
        <v>42780.57539351852</v>
      </c>
      <c r="E2776" s="10" t="s">
        <v>240</v>
      </c>
    </row>
    <row r="2777" spans="1:5">
      <c r="A2777" s="11">
        <v>42780</v>
      </c>
      <c r="B2777" s="10" t="s">
        <v>5889</v>
      </c>
      <c r="C2777" s="10" t="s">
        <v>5890</v>
      </c>
      <c r="D2777" s="11">
        <v>42782.517557870371</v>
      </c>
      <c r="E2777" s="10" t="s">
        <v>433</v>
      </c>
    </row>
    <row r="2778" spans="1:5">
      <c r="A2778" s="11">
        <v>42780</v>
      </c>
      <c r="B2778" s="10" t="s">
        <v>5891</v>
      </c>
      <c r="C2778" s="10" t="s">
        <v>5892</v>
      </c>
      <c r="D2778" s="11">
        <v>42780.580335648148</v>
      </c>
      <c r="E2778" s="10" t="s">
        <v>433</v>
      </c>
    </row>
    <row r="2779" spans="1:5">
      <c r="A2779" s="11">
        <v>42780</v>
      </c>
      <c r="B2779" s="10" t="s">
        <v>5893</v>
      </c>
      <c r="C2779" s="10" t="s">
        <v>5894</v>
      </c>
      <c r="D2779" s="11">
        <v>42780.580439814818</v>
      </c>
      <c r="E2779" s="10" t="s">
        <v>433</v>
      </c>
    </row>
    <row r="2780" spans="1:5">
      <c r="A2780" s="11">
        <v>42780</v>
      </c>
      <c r="B2780" s="10" t="s">
        <v>5895</v>
      </c>
      <c r="C2780" s="10" t="s">
        <v>5896</v>
      </c>
      <c r="D2780" s="11">
        <v>42780.580555555556</v>
      </c>
      <c r="E2780" s="10" t="s">
        <v>373</v>
      </c>
    </row>
    <row r="2781" spans="1:5">
      <c r="A2781" s="11">
        <v>42780</v>
      </c>
      <c r="B2781" s="10" t="s">
        <v>5897</v>
      </c>
      <c r="C2781" s="10" t="s">
        <v>5898</v>
      </c>
      <c r="D2781" s="11">
        <v>42780.583414351851</v>
      </c>
      <c r="E2781" s="10" t="s">
        <v>1190</v>
      </c>
    </row>
    <row r="2782" spans="1:5">
      <c r="A2782" s="11">
        <v>42780</v>
      </c>
      <c r="B2782" s="10" t="s">
        <v>5899</v>
      </c>
      <c r="C2782" s="10" t="s">
        <v>5900</v>
      </c>
      <c r="D2782" s="11">
        <v>42780.642048611109</v>
      </c>
      <c r="E2782" s="10" t="s">
        <v>2186</v>
      </c>
    </row>
    <row r="2783" spans="1:5">
      <c r="A2783" s="11">
        <v>42780</v>
      </c>
      <c r="B2783" s="10" t="s">
        <v>5901</v>
      </c>
      <c r="C2783" s="10" t="s">
        <v>5902</v>
      </c>
      <c r="D2783" s="11">
        <v>42782.479456018518</v>
      </c>
      <c r="E2783" s="10" t="s">
        <v>122</v>
      </c>
    </row>
    <row r="2784" spans="1:5">
      <c r="A2784" s="11">
        <v>42780</v>
      </c>
      <c r="B2784" s="10" t="s">
        <v>5903</v>
      </c>
      <c r="C2784" s="10" t="s">
        <v>5904</v>
      </c>
      <c r="D2784" s="11">
        <v>42780.587488425925</v>
      </c>
      <c r="E2784" s="10" t="s">
        <v>1103</v>
      </c>
    </row>
    <row r="2785" spans="1:5">
      <c r="A2785" s="11">
        <v>42780</v>
      </c>
      <c r="B2785" s="10" t="s">
        <v>5905</v>
      </c>
      <c r="C2785" s="10" t="s">
        <v>5906</v>
      </c>
      <c r="D2785" s="11">
        <v>42782.51054398148</v>
      </c>
      <c r="E2785" s="10" t="s">
        <v>209</v>
      </c>
    </row>
    <row r="2786" spans="1:5">
      <c r="A2786" s="11">
        <v>42780</v>
      </c>
      <c r="B2786" s="10" t="s">
        <v>5907</v>
      </c>
      <c r="C2786" s="10" t="s">
        <v>5908</v>
      </c>
      <c r="D2786" s="11">
        <v>42780.591585648152</v>
      </c>
      <c r="E2786" s="10" t="s">
        <v>433</v>
      </c>
    </row>
    <row r="2787" spans="1:5">
      <c r="A2787" s="11">
        <v>42780</v>
      </c>
      <c r="B2787" s="10" t="s">
        <v>5909</v>
      </c>
      <c r="C2787" s="10" t="s">
        <v>5910</v>
      </c>
      <c r="D2787" s="11">
        <v>42780.59302083333</v>
      </c>
      <c r="E2787" s="10" t="s">
        <v>433</v>
      </c>
    </row>
    <row r="2788" spans="1:5">
      <c r="A2788" s="11">
        <v>42780</v>
      </c>
      <c r="B2788" s="10" t="s">
        <v>5911</v>
      </c>
      <c r="C2788" s="10" t="s">
        <v>5912</v>
      </c>
      <c r="D2788" s="11">
        <v>42780.595763888887</v>
      </c>
      <c r="E2788" s="10" t="s">
        <v>373</v>
      </c>
    </row>
    <row r="2789" spans="1:5">
      <c r="A2789" s="11">
        <v>42780</v>
      </c>
      <c r="B2789" s="10" t="s">
        <v>5913</v>
      </c>
      <c r="C2789" s="10" t="s">
        <v>5914</v>
      </c>
      <c r="D2789" s="11">
        <v>42780.597384259258</v>
      </c>
      <c r="E2789" s="10" t="s">
        <v>656</v>
      </c>
    </row>
    <row r="2790" spans="1:5">
      <c r="A2790" s="11">
        <v>42780</v>
      </c>
      <c r="B2790" s="10" t="s">
        <v>5915</v>
      </c>
      <c r="C2790" s="10" t="s">
        <v>5916</v>
      </c>
      <c r="D2790" s="11">
        <v>42782.682025462964</v>
      </c>
      <c r="E2790" s="10" t="s">
        <v>414</v>
      </c>
    </row>
    <row r="2791" spans="1:5">
      <c r="A2791" s="11">
        <v>42780</v>
      </c>
      <c r="B2791" s="10" t="s">
        <v>5917</v>
      </c>
      <c r="C2791" s="10" t="s">
        <v>5918</v>
      </c>
      <c r="D2791" s="11">
        <v>42780.598634259259</v>
      </c>
      <c r="E2791" s="10" t="s">
        <v>335</v>
      </c>
    </row>
    <row r="2792" spans="1:5">
      <c r="A2792" s="11">
        <v>42780</v>
      </c>
      <c r="B2792" s="10" t="s">
        <v>5919</v>
      </c>
      <c r="C2792" s="10" t="s">
        <v>5920</v>
      </c>
      <c r="D2792" s="11">
        <v>42780.604050925926</v>
      </c>
      <c r="E2792" s="10" t="s">
        <v>482</v>
      </c>
    </row>
    <row r="2793" spans="1:5">
      <c r="A2793" s="11">
        <v>42780</v>
      </c>
      <c r="B2793" s="10" t="s">
        <v>5921</v>
      </c>
      <c r="C2793" s="10" t="s">
        <v>5922</v>
      </c>
      <c r="D2793" s="11">
        <v>42780.846226851849</v>
      </c>
      <c r="E2793" s="10" t="s">
        <v>212</v>
      </c>
    </row>
    <row r="2794" spans="1:5">
      <c r="A2794" s="11">
        <v>42780</v>
      </c>
      <c r="B2794" s="10" t="s">
        <v>5923</v>
      </c>
      <c r="C2794" s="10" t="s">
        <v>5924</v>
      </c>
      <c r="D2794" s="11">
        <v>42780.606620370374</v>
      </c>
      <c r="E2794" s="10" t="s">
        <v>2515</v>
      </c>
    </row>
    <row r="2795" spans="1:5">
      <c r="A2795" s="11">
        <v>42780</v>
      </c>
      <c r="B2795" s="10" t="s">
        <v>5925</v>
      </c>
      <c r="C2795" s="10" t="s">
        <v>5926</v>
      </c>
      <c r="D2795" s="11">
        <v>42780.614120370374</v>
      </c>
      <c r="E2795" s="10" t="s">
        <v>218</v>
      </c>
    </row>
    <row r="2796" spans="1:5">
      <c r="A2796" s="11">
        <v>42780</v>
      </c>
      <c r="B2796" s="10" t="s">
        <v>5927</v>
      </c>
      <c r="C2796" s="10" t="s">
        <v>5928</v>
      </c>
      <c r="D2796" s="11">
        <v>42780.614953703705</v>
      </c>
      <c r="E2796" s="10" t="s">
        <v>108</v>
      </c>
    </row>
    <row r="2797" spans="1:5">
      <c r="A2797" s="11">
        <v>42780</v>
      </c>
      <c r="B2797" s="10" t="s">
        <v>5929</v>
      </c>
      <c r="C2797" s="10" t="s">
        <v>5930</v>
      </c>
      <c r="D2797" s="11">
        <v>42780.620775462965</v>
      </c>
      <c r="E2797" s="10" t="s">
        <v>237</v>
      </c>
    </row>
    <row r="2798" spans="1:5">
      <c r="A2798" s="11">
        <v>42780</v>
      </c>
      <c r="B2798" s="10" t="s">
        <v>5931</v>
      </c>
      <c r="C2798" s="10" t="s">
        <v>5932</v>
      </c>
      <c r="D2798" s="11">
        <v>42780.628622685188</v>
      </c>
      <c r="E2798" s="10" t="s">
        <v>240</v>
      </c>
    </row>
    <row r="2799" spans="1:5">
      <c r="A2799" s="11">
        <v>42780</v>
      </c>
      <c r="B2799" s="10" t="s">
        <v>5933</v>
      </c>
      <c r="C2799" s="10" t="s">
        <v>5934</v>
      </c>
      <c r="D2799" s="11">
        <v>42780.641967592594</v>
      </c>
      <c r="E2799" s="10" t="s">
        <v>237</v>
      </c>
    </row>
    <row r="2800" spans="1:5">
      <c r="A2800" s="11">
        <v>42780</v>
      </c>
      <c r="B2800" s="10" t="s">
        <v>5935</v>
      </c>
      <c r="C2800" s="10" t="s">
        <v>5936</v>
      </c>
      <c r="D2800" s="11">
        <v>42780.633900462963</v>
      </c>
      <c r="E2800" s="10" t="s">
        <v>267</v>
      </c>
    </row>
    <row r="2801" spans="1:5">
      <c r="A2801" s="11">
        <v>42780</v>
      </c>
      <c r="B2801" s="10" t="s">
        <v>5937</v>
      </c>
      <c r="C2801" s="10" t="s">
        <v>5938</v>
      </c>
      <c r="D2801" s="11">
        <v>42780.636631944442</v>
      </c>
      <c r="E2801" s="10" t="s">
        <v>433</v>
      </c>
    </row>
    <row r="2802" spans="1:5">
      <c r="A2802" s="11">
        <v>42780</v>
      </c>
      <c r="B2802" s="10" t="s">
        <v>5939</v>
      </c>
      <c r="C2802" s="10" t="s">
        <v>5940</v>
      </c>
      <c r="D2802" s="11">
        <v>42780.637129629627</v>
      </c>
      <c r="E2802" s="10" t="s">
        <v>373</v>
      </c>
    </row>
    <row r="2803" spans="1:5" ht="21.6">
      <c r="A2803" s="11">
        <v>42780</v>
      </c>
      <c r="B2803" s="10" t="s">
        <v>5941</v>
      </c>
      <c r="C2803" s="10" t="s">
        <v>5942</v>
      </c>
      <c r="D2803" s="11">
        <v>42780.638599537036</v>
      </c>
      <c r="E2803" s="10" t="s">
        <v>1022</v>
      </c>
    </row>
    <row r="2804" spans="1:5">
      <c r="A2804" s="11">
        <v>42780</v>
      </c>
      <c r="B2804" s="10" t="s">
        <v>5943</v>
      </c>
      <c r="C2804" s="10" t="s">
        <v>5944</v>
      </c>
      <c r="D2804" s="11">
        <v>42780.638958333337</v>
      </c>
      <c r="E2804" s="10" t="s">
        <v>2124</v>
      </c>
    </row>
    <row r="2805" spans="1:5">
      <c r="A2805" s="11">
        <v>42780</v>
      </c>
      <c r="B2805" s="10" t="s">
        <v>5945</v>
      </c>
      <c r="C2805" s="10" t="s">
        <v>5946</v>
      </c>
      <c r="D2805" s="11">
        <v>42782.621249999997</v>
      </c>
      <c r="E2805" s="10" t="s">
        <v>193</v>
      </c>
    </row>
    <row r="2806" spans="1:5">
      <c r="A2806" s="11">
        <v>42780</v>
      </c>
      <c r="B2806" s="10" t="s">
        <v>5947</v>
      </c>
      <c r="C2806" s="10" t="s">
        <v>5948</v>
      </c>
      <c r="D2806" s="11">
        <v>42781.70621527778</v>
      </c>
      <c r="E2806" s="10" t="s">
        <v>122</v>
      </c>
    </row>
    <row r="2807" spans="1:5">
      <c r="A2807" s="11">
        <v>42780</v>
      </c>
      <c r="B2807" s="10" t="s">
        <v>5949</v>
      </c>
      <c r="C2807" s="10" t="s">
        <v>5950</v>
      </c>
      <c r="D2807" s="11">
        <v>42782.611967592595</v>
      </c>
      <c r="E2807" s="10" t="s">
        <v>2201</v>
      </c>
    </row>
    <row r="2808" spans="1:5">
      <c r="A2808" s="11">
        <v>42780</v>
      </c>
      <c r="B2808" s="10" t="s">
        <v>5951</v>
      </c>
      <c r="C2808" s="10" t="s">
        <v>5952</v>
      </c>
      <c r="D2808" s="11">
        <v>42780.644571759258</v>
      </c>
      <c r="E2808" s="10" t="s">
        <v>373</v>
      </c>
    </row>
    <row r="2809" spans="1:5">
      <c r="A2809" s="11">
        <v>42780</v>
      </c>
      <c r="B2809" s="10" t="s">
        <v>5953</v>
      </c>
      <c r="C2809" s="10" t="s">
        <v>5954</v>
      </c>
      <c r="D2809" s="11">
        <v>42780.645578703705</v>
      </c>
      <c r="E2809" s="10" t="s">
        <v>433</v>
      </c>
    </row>
    <row r="2810" spans="1:5">
      <c r="A2810" s="11">
        <v>42780</v>
      </c>
      <c r="B2810" s="10" t="s">
        <v>5955</v>
      </c>
      <c r="C2810" s="10" t="s">
        <v>5956</v>
      </c>
      <c r="D2810" s="11">
        <v>42780.646249999998</v>
      </c>
      <c r="E2810" s="10" t="s">
        <v>433</v>
      </c>
    </row>
    <row r="2811" spans="1:5">
      <c r="A2811" s="11">
        <v>42780</v>
      </c>
      <c r="B2811" s="10" t="s">
        <v>5957</v>
      </c>
      <c r="C2811" s="10" t="s">
        <v>5958</v>
      </c>
      <c r="D2811" s="11">
        <v>42780.648784722223</v>
      </c>
      <c r="E2811" s="10" t="s">
        <v>237</v>
      </c>
    </row>
    <row r="2812" spans="1:5">
      <c r="A2812" s="11">
        <v>42780</v>
      </c>
      <c r="B2812" s="10" t="s">
        <v>5959</v>
      </c>
      <c r="C2812" s="10" t="s">
        <v>5960</v>
      </c>
      <c r="D2812" s="11">
        <v>42782.625833333332</v>
      </c>
      <c r="E2812" s="10" t="s">
        <v>178</v>
      </c>
    </row>
    <row r="2813" spans="1:5">
      <c r="A2813" s="11">
        <v>42780</v>
      </c>
      <c r="B2813" s="10" t="s">
        <v>5961</v>
      </c>
      <c r="C2813" s="10" t="s">
        <v>5962</v>
      </c>
      <c r="D2813" s="11">
        <v>42781.75377314815</v>
      </c>
      <c r="E2813" s="10" t="s">
        <v>215</v>
      </c>
    </row>
    <row r="2814" spans="1:5">
      <c r="A2814" s="11">
        <v>42780</v>
      </c>
      <c r="B2814" s="10" t="s">
        <v>5963</v>
      </c>
      <c r="C2814" s="10" t="s">
        <v>5964</v>
      </c>
      <c r="D2814" s="11">
        <v>42782.414236111108</v>
      </c>
      <c r="E2814" s="10" t="s">
        <v>465</v>
      </c>
    </row>
    <row r="2815" spans="1:5">
      <c r="A2815" s="11">
        <v>42780</v>
      </c>
      <c r="B2815" s="10" t="s">
        <v>5965</v>
      </c>
      <c r="C2815" s="10" t="s">
        <v>5966</v>
      </c>
      <c r="D2815" s="11">
        <v>42780.657847222225</v>
      </c>
      <c r="E2815" s="10" t="s">
        <v>218</v>
      </c>
    </row>
    <row r="2816" spans="1:5">
      <c r="A2816" s="11">
        <v>42780</v>
      </c>
      <c r="B2816" s="10" t="s">
        <v>5967</v>
      </c>
      <c r="C2816" s="10" t="s">
        <v>5968</v>
      </c>
      <c r="D2816" s="11">
        <v>42780.659537037034</v>
      </c>
      <c r="E2816" s="10" t="s">
        <v>240</v>
      </c>
    </row>
    <row r="2817" spans="1:5">
      <c r="A2817" s="11">
        <v>42780</v>
      </c>
      <c r="B2817" s="10" t="s">
        <v>5969</v>
      </c>
      <c r="C2817" s="10" t="s">
        <v>5970</v>
      </c>
      <c r="D2817" s="11">
        <v>42780.661030092589</v>
      </c>
      <c r="E2817" s="10" t="s">
        <v>373</v>
      </c>
    </row>
    <row r="2818" spans="1:5">
      <c r="A2818" s="11">
        <v>42780</v>
      </c>
      <c r="B2818" s="10" t="s">
        <v>5971</v>
      </c>
      <c r="C2818" s="10" t="s">
        <v>5972</v>
      </c>
      <c r="D2818" s="11">
        <v>42780.662893518522</v>
      </c>
      <c r="E2818" s="10" t="s">
        <v>465</v>
      </c>
    </row>
    <row r="2819" spans="1:5">
      <c r="A2819" s="11">
        <v>42780</v>
      </c>
      <c r="B2819" s="10" t="s">
        <v>5973</v>
      </c>
      <c r="C2819" s="10" t="s">
        <v>5974</v>
      </c>
      <c r="D2819" s="11">
        <v>42780.662928240738</v>
      </c>
      <c r="E2819" s="10" t="s">
        <v>373</v>
      </c>
    </row>
    <row r="2820" spans="1:5">
      <c r="A2820" s="11">
        <v>42780</v>
      </c>
      <c r="B2820" s="10" t="s">
        <v>5975</v>
      </c>
      <c r="C2820" s="10" t="s">
        <v>5976</v>
      </c>
      <c r="D2820" s="11">
        <v>42780.664074074077</v>
      </c>
      <c r="E2820" s="10" t="s">
        <v>2124</v>
      </c>
    </row>
    <row r="2821" spans="1:5">
      <c r="A2821" s="11">
        <v>42780</v>
      </c>
      <c r="B2821" s="10" t="s">
        <v>5977</v>
      </c>
      <c r="C2821" s="10" t="s">
        <v>5978</v>
      </c>
      <c r="D2821" s="11">
        <v>42780.66574074074</v>
      </c>
      <c r="E2821" s="10" t="s">
        <v>433</v>
      </c>
    </row>
    <row r="2822" spans="1:5">
      <c r="A2822" s="11">
        <v>42780</v>
      </c>
      <c r="B2822" s="10" t="s">
        <v>5979</v>
      </c>
      <c r="C2822" s="10" t="s">
        <v>5980</v>
      </c>
      <c r="D2822" s="11">
        <v>42780.665798611109</v>
      </c>
      <c r="E2822" s="10" t="s">
        <v>240</v>
      </c>
    </row>
    <row r="2823" spans="1:5">
      <c r="A2823" s="11">
        <v>42780</v>
      </c>
      <c r="B2823" s="10" t="s">
        <v>5981</v>
      </c>
      <c r="C2823" s="10" t="s">
        <v>5982</v>
      </c>
      <c r="D2823" s="11">
        <v>42780.667372685188</v>
      </c>
      <c r="E2823" s="10" t="s">
        <v>5983</v>
      </c>
    </row>
    <row r="2824" spans="1:5">
      <c r="A2824" s="11">
        <v>42780</v>
      </c>
      <c r="B2824" s="10" t="s">
        <v>5984</v>
      </c>
      <c r="C2824" s="10" t="s">
        <v>5985</v>
      </c>
      <c r="D2824" s="11">
        <v>42780.668877314813</v>
      </c>
      <c r="E2824" s="10" t="s">
        <v>433</v>
      </c>
    </row>
    <row r="2825" spans="1:5">
      <c r="A2825" s="11">
        <v>42780</v>
      </c>
      <c r="B2825" s="10" t="s">
        <v>5986</v>
      </c>
      <c r="C2825" s="10" t="s">
        <v>5987</v>
      </c>
      <c r="D2825" s="11">
        <v>42781.618136574078</v>
      </c>
      <c r="E2825" s="10" t="s">
        <v>2186</v>
      </c>
    </row>
    <row r="2826" spans="1:5">
      <c r="A2826" s="11">
        <v>42780</v>
      </c>
      <c r="B2826" s="10" t="s">
        <v>5988</v>
      </c>
      <c r="C2826" s="10" t="s">
        <v>5989</v>
      </c>
      <c r="D2826" s="11">
        <v>42780.66946759259</v>
      </c>
      <c r="E2826" s="10" t="s">
        <v>130</v>
      </c>
    </row>
    <row r="2827" spans="1:5">
      <c r="A2827" s="11">
        <v>42780</v>
      </c>
      <c r="B2827" s="10" t="s">
        <v>5990</v>
      </c>
      <c r="C2827" s="10" t="s">
        <v>5991</v>
      </c>
      <c r="D2827" s="11">
        <v>42780.767372685186</v>
      </c>
      <c r="E2827" s="10" t="s">
        <v>237</v>
      </c>
    </row>
    <row r="2828" spans="1:5">
      <c r="A2828" s="11">
        <v>42780</v>
      </c>
      <c r="B2828" s="10" t="s">
        <v>5992</v>
      </c>
      <c r="C2828" s="10" t="s">
        <v>5993</v>
      </c>
      <c r="D2828" s="11">
        <v>42782.660983796297</v>
      </c>
      <c r="E2828" s="10" t="s">
        <v>380</v>
      </c>
    </row>
    <row r="2829" spans="1:5">
      <c r="A2829" s="11">
        <v>42780</v>
      </c>
      <c r="B2829" s="10" t="s">
        <v>5994</v>
      </c>
      <c r="C2829" s="10" t="s">
        <v>5995</v>
      </c>
      <c r="D2829" s="11">
        <v>42780.677928240744</v>
      </c>
      <c r="E2829" s="10" t="s">
        <v>966</v>
      </c>
    </row>
    <row r="2830" spans="1:5">
      <c r="A2830" s="11">
        <v>42780</v>
      </c>
      <c r="B2830" s="10" t="s">
        <v>5996</v>
      </c>
      <c r="C2830" s="10" t="s">
        <v>5997</v>
      </c>
      <c r="D2830" s="11">
        <v>42780.678923611114</v>
      </c>
      <c r="E2830" s="10" t="s">
        <v>237</v>
      </c>
    </row>
    <row r="2831" spans="1:5">
      <c r="A2831" s="11">
        <v>42780</v>
      </c>
      <c r="B2831" s="10" t="s">
        <v>5998</v>
      </c>
      <c r="C2831" s="10" t="s">
        <v>5999</v>
      </c>
      <c r="D2831" s="11">
        <v>42782.353750000002</v>
      </c>
      <c r="E2831" s="10" t="s">
        <v>308</v>
      </c>
    </row>
    <row r="2832" spans="1:5">
      <c r="A2832" s="11">
        <v>42780</v>
      </c>
      <c r="B2832" s="10" t="s">
        <v>6000</v>
      </c>
      <c r="C2832" s="10" t="s">
        <v>6001</v>
      </c>
      <c r="D2832" s="11">
        <v>42782.454375000001</v>
      </c>
      <c r="E2832" s="10" t="s">
        <v>6002</v>
      </c>
    </row>
    <row r="2833" spans="1:5" ht="21.6">
      <c r="A2833" s="11">
        <v>42780</v>
      </c>
      <c r="B2833" s="10" t="s">
        <v>6003</v>
      </c>
      <c r="C2833" s="10" t="s">
        <v>6004</v>
      </c>
      <c r="D2833" s="11">
        <v>42780.680914351855</v>
      </c>
      <c r="E2833" s="10" t="s">
        <v>146</v>
      </c>
    </row>
    <row r="2834" spans="1:5">
      <c r="A2834" s="11">
        <v>42780</v>
      </c>
      <c r="B2834" s="10" t="s">
        <v>6005</v>
      </c>
      <c r="C2834" s="10" t="s">
        <v>6006</v>
      </c>
      <c r="D2834" s="11">
        <v>42780.682303240741</v>
      </c>
      <c r="E2834" s="10" t="s">
        <v>433</v>
      </c>
    </row>
    <row r="2835" spans="1:5">
      <c r="A2835" s="11">
        <v>42780</v>
      </c>
      <c r="B2835" s="10" t="s">
        <v>6007</v>
      </c>
      <c r="C2835" s="10" t="s">
        <v>6008</v>
      </c>
      <c r="D2835" s="11">
        <v>42782.586655092593</v>
      </c>
      <c r="E2835" s="10" t="s">
        <v>902</v>
      </c>
    </row>
    <row r="2836" spans="1:5">
      <c r="A2836" s="11">
        <v>42780</v>
      </c>
      <c r="B2836" s="10" t="s">
        <v>6009</v>
      </c>
      <c r="C2836" s="10" t="s">
        <v>6010</v>
      </c>
      <c r="D2836" s="11">
        <v>42780.686122685183</v>
      </c>
      <c r="E2836" s="10" t="s">
        <v>1103</v>
      </c>
    </row>
    <row r="2837" spans="1:5">
      <c r="A2837" s="11">
        <v>42780</v>
      </c>
      <c r="B2837" s="10" t="s">
        <v>6011</v>
      </c>
      <c r="C2837" s="10" t="s">
        <v>6012</v>
      </c>
      <c r="D2837" s="11">
        <v>42780.687094907407</v>
      </c>
      <c r="E2837" s="10" t="s">
        <v>433</v>
      </c>
    </row>
    <row r="2838" spans="1:5">
      <c r="A2838" s="11">
        <v>42780</v>
      </c>
      <c r="B2838" s="10" t="s">
        <v>6013</v>
      </c>
      <c r="C2838" s="10" t="s">
        <v>6014</v>
      </c>
      <c r="D2838" s="11">
        <v>42780.688101851854</v>
      </c>
      <c r="E2838" s="10" t="s">
        <v>5803</v>
      </c>
    </row>
    <row r="2839" spans="1:5">
      <c r="A2839" s="11">
        <v>42780</v>
      </c>
      <c r="B2839" s="10" t="s">
        <v>6015</v>
      </c>
      <c r="C2839" s="10" t="s">
        <v>6016</v>
      </c>
      <c r="D2839" s="11">
        <v>42782.621192129627</v>
      </c>
      <c r="E2839" s="10" t="s">
        <v>122</v>
      </c>
    </row>
    <row r="2840" spans="1:5">
      <c r="A2840" s="11">
        <v>42780</v>
      </c>
      <c r="B2840" s="10" t="s">
        <v>6017</v>
      </c>
      <c r="C2840" s="10" t="s">
        <v>6018</v>
      </c>
      <c r="D2840" s="11">
        <v>42782.378761574073</v>
      </c>
      <c r="E2840" s="10" t="s">
        <v>240</v>
      </c>
    </row>
    <row r="2841" spans="1:5">
      <c r="A2841" s="11">
        <v>42780</v>
      </c>
      <c r="B2841" s="10" t="s">
        <v>6019</v>
      </c>
      <c r="C2841" s="10" t="s">
        <v>6020</v>
      </c>
      <c r="D2841" s="11">
        <v>42780.694479166668</v>
      </c>
      <c r="E2841" s="10" t="s">
        <v>240</v>
      </c>
    </row>
    <row r="2842" spans="1:5">
      <c r="A2842" s="11">
        <v>42780</v>
      </c>
      <c r="B2842" s="10" t="s">
        <v>6021</v>
      </c>
      <c r="C2842" s="10" t="s">
        <v>6022</v>
      </c>
      <c r="D2842" s="11">
        <v>42780.694537037038</v>
      </c>
      <c r="E2842" s="10" t="s">
        <v>178</v>
      </c>
    </row>
    <row r="2843" spans="1:5">
      <c r="A2843" s="11">
        <v>42780</v>
      </c>
      <c r="B2843" s="10" t="s">
        <v>6023</v>
      </c>
      <c r="C2843" s="10" t="s">
        <v>6024</v>
      </c>
      <c r="D2843" s="11">
        <v>42780.696516203701</v>
      </c>
      <c r="E2843" s="10" t="s">
        <v>2538</v>
      </c>
    </row>
    <row r="2844" spans="1:5">
      <c r="A2844" s="11">
        <v>42780</v>
      </c>
      <c r="B2844" s="10" t="s">
        <v>6025</v>
      </c>
      <c r="C2844" s="10" t="s">
        <v>6026</v>
      </c>
      <c r="D2844" s="11">
        <v>42780.69667824074</v>
      </c>
      <c r="E2844" s="10" t="s">
        <v>373</v>
      </c>
    </row>
    <row r="2845" spans="1:5">
      <c r="A2845" s="11">
        <v>42780</v>
      </c>
      <c r="B2845" s="10" t="s">
        <v>6027</v>
      </c>
      <c r="C2845" s="10" t="s">
        <v>6028</v>
      </c>
      <c r="D2845" s="11">
        <v>42780.700162037036</v>
      </c>
      <c r="E2845" s="10" t="s">
        <v>2183</v>
      </c>
    </row>
    <row r="2846" spans="1:5">
      <c r="A2846" s="11">
        <v>42780</v>
      </c>
      <c r="B2846" s="10" t="s">
        <v>6029</v>
      </c>
      <c r="C2846" s="10" t="s">
        <v>6030</v>
      </c>
      <c r="D2846" s="11">
        <v>42780.700208333335</v>
      </c>
      <c r="E2846" s="10" t="s">
        <v>373</v>
      </c>
    </row>
    <row r="2847" spans="1:5">
      <c r="A2847" s="11">
        <v>42780</v>
      </c>
      <c r="B2847" s="10" t="s">
        <v>6031</v>
      </c>
      <c r="C2847" s="10" t="s">
        <v>6032</v>
      </c>
      <c r="D2847" s="11">
        <v>42780.700810185182</v>
      </c>
      <c r="E2847" s="10" t="s">
        <v>433</v>
      </c>
    </row>
    <row r="2848" spans="1:5">
      <c r="A2848" s="11">
        <v>42780</v>
      </c>
      <c r="B2848" s="10" t="s">
        <v>6033</v>
      </c>
      <c r="C2848" s="10" t="s">
        <v>6034</v>
      </c>
      <c r="D2848" s="11">
        <v>42780.70144675926</v>
      </c>
      <c r="E2848" s="10" t="s">
        <v>2515</v>
      </c>
    </row>
    <row r="2849" spans="1:5">
      <c r="A2849" s="11">
        <v>42780</v>
      </c>
      <c r="B2849" s="10" t="s">
        <v>6035</v>
      </c>
      <c r="C2849" s="10" t="s">
        <v>6036</v>
      </c>
      <c r="D2849" s="11">
        <v>42780.703206018516</v>
      </c>
      <c r="E2849" s="10" t="s">
        <v>656</v>
      </c>
    </row>
    <row r="2850" spans="1:5">
      <c r="A2850" s="11">
        <v>42780</v>
      </c>
      <c r="B2850" s="10" t="s">
        <v>6037</v>
      </c>
      <c r="C2850" s="10" t="s">
        <v>6038</v>
      </c>
      <c r="D2850" s="11">
        <v>42780.705266203702</v>
      </c>
      <c r="E2850" s="10" t="s">
        <v>152</v>
      </c>
    </row>
    <row r="2851" spans="1:5">
      <c r="A2851" s="11">
        <v>42780</v>
      </c>
      <c r="B2851" s="10" t="s">
        <v>6039</v>
      </c>
      <c r="C2851" s="10" t="s">
        <v>6040</v>
      </c>
      <c r="D2851" s="11">
        <v>42780.708692129629</v>
      </c>
      <c r="E2851" s="10" t="s">
        <v>433</v>
      </c>
    </row>
    <row r="2852" spans="1:5">
      <c r="A2852" s="11">
        <v>42780</v>
      </c>
      <c r="B2852" s="10" t="s">
        <v>6041</v>
      </c>
      <c r="C2852" s="10" t="s">
        <v>6042</v>
      </c>
      <c r="D2852" s="11">
        <v>42780.709641203706</v>
      </c>
      <c r="E2852" s="10" t="s">
        <v>320</v>
      </c>
    </row>
    <row r="2853" spans="1:5">
      <c r="A2853" s="11">
        <v>42780</v>
      </c>
      <c r="B2853" s="10" t="s">
        <v>6043</v>
      </c>
      <c r="C2853" s="10" t="s">
        <v>6044</v>
      </c>
      <c r="D2853" s="11">
        <v>42780.70989583333</v>
      </c>
      <c r="E2853" s="10" t="s">
        <v>240</v>
      </c>
    </row>
    <row r="2854" spans="1:5">
      <c r="A2854" s="11">
        <v>42780</v>
      </c>
      <c r="B2854" s="10" t="s">
        <v>6045</v>
      </c>
      <c r="C2854" s="10" t="s">
        <v>6046</v>
      </c>
      <c r="D2854" s="11">
        <v>42780.711111111108</v>
      </c>
      <c r="E2854" s="10" t="s">
        <v>96</v>
      </c>
    </row>
    <row r="2855" spans="1:5">
      <c r="A2855" s="11">
        <v>42780</v>
      </c>
      <c r="B2855" s="10" t="s">
        <v>6047</v>
      </c>
      <c r="C2855" s="10" t="s">
        <v>6048</v>
      </c>
      <c r="D2855" s="11">
        <v>42780.71261574074</v>
      </c>
      <c r="E2855" s="10" t="s">
        <v>433</v>
      </c>
    </row>
    <row r="2856" spans="1:5">
      <c r="A2856" s="11">
        <v>42780</v>
      </c>
      <c r="B2856" s="10" t="s">
        <v>6049</v>
      </c>
      <c r="C2856" s="10" t="s">
        <v>6050</v>
      </c>
      <c r="D2856" s="11">
        <v>42780.714432870373</v>
      </c>
      <c r="E2856" s="10" t="s">
        <v>656</v>
      </c>
    </row>
    <row r="2857" spans="1:5">
      <c r="A2857" s="11">
        <v>42780</v>
      </c>
      <c r="B2857" s="10" t="s">
        <v>6051</v>
      </c>
      <c r="C2857" s="10" t="s">
        <v>6052</v>
      </c>
      <c r="D2857" s="11">
        <v>42780.714733796296</v>
      </c>
      <c r="E2857" s="10" t="s">
        <v>656</v>
      </c>
    </row>
    <row r="2858" spans="1:5">
      <c r="A2858" s="11">
        <v>42780</v>
      </c>
      <c r="B2858" s="10" t="s">
        <v>6053</v>
      </c>
      <c r="C2858" s="10" t="s">
        <v>6054</v>
      </c>
      <c r="D2858" s="11">
        <v>42782.679664351854</v>
      </c>
      <c r="E2858" s="10" t="s">
        <v>335</v>
      </c>
    </row>
    <row r="2859" spans="1:5">
      <c r="A2859" s="11">
        <v>42780</v>
      </c>
      <c r="B2859" s="10" t="s">
        <v>6055</v>
      </c>
      <c r="C2859" s="10" t="s">
        <v>6056</v>
      </c>
      <c r="D2859" s="11">
        <v>42780.716805555552</v>
      </c>
      <c r="E2859" s="10" t="s">
        <v>240</v>
      </c>
    </row>
    <row r="2860" spans="1:5">
      <c r="A2860" s="11">
        <v>42780</v>
      </c>
      <c r="B2860" s="10" t="s">
        <v>6057</v>
      </c>
      <c r="C2860" s="10" t="s">
        <v>6058</v>
      </c>
      <c r="D2860" s="11">
        <v>42780.717233796298</v>
      </c>
      <c r="E2860" s="10" t="s">
        <v>2259</v>
      </c>
    </row>
    <row r="2861" spans="1:5">
      <c r="A2861" s="11">
        <v>42780</v>
      </c>
      <c r="B2861" s="10" t="s">
        <v>6059</v>
      </c>
      <c r="C2861" s="10" t="s">
        <v>6060</v>
      </c>
      <c r="D2861" s="11">
        <v>42780.717511574076</v>
      </c>
      <c r="E2861" s="10" t="s">
        <v>949</v>
      </c>
    </row>
    <row r="2862" spans="1:5">
      <c r="A2862" s="11">
        <v>42780</v>
      </c>
      <c r="B2862" s="10" t="s">
        <v>6061</v>
      </c>
      <c r="C2862" s="10" t="s">
        <v>6062</v>
      </c>
      <c r="D2862" s="11">
        <v>42780.721076388887</v>
      </c>
      <c r="E2862" s="10" t="s">
        <v>656</v>
      </c>
    </row>
    <row r="2863" spans="1:5">
      <c r="A2863" s="11">
        <v>42780</v>
      </c>
      <c r="B2863" s="10" t="s">
        <v>6063</v>
      </c>
      <c r="C2863" s="10" t="s">
        <v>6064</v>
      </c>
      <c r="D2863" s="11">
        <v>42780.72148148148</v>
      </c>
      <c r="E2863" s="10" t="s">
        <v>433</v>
      </c>
    </row>
    <row r="2864" spans="1:5">
      <c r="A2864" s="11">
        <v>42780</v>
      </c>
      <c r="B2864" s="10" t="s">
        <v>6065</v>
      </c>
      <c r="C2864" s="10" t="s">
        <v>6066</v>
      </c>
      <c r="D2864" s="11">
        <v>42780.721759259257</v>
      </c>
      <c r="E2864" s="10" t="s">
        <v>433</v>
      </c>
    </row>
    <row r="2865" spans="1:5">
      <c r="A2865" s="11">
        <v>42780</v>
      </c>
      <c r="B2865" s="10" t="s">
        <v>6067</v>
      </c>
      <c r="C2865" s="10" t="s">
        <v>6068</v>
      </c>
      <c r="D2865" s="11">
        <v>42780.721851851849</v>
      </c>
      <c r="E2865" s="10" t="s">
        <v>414</v>
      </c>
    </row>
    <row r="2866" spans="1:5">
      <c r="A2866" s="11">
        <v>42780</v>
      </c>
      <c r="B2866" s="10" t="s">
        <v>6069</v>
      </c>
      <c r="C2866" s="10" t="s">
        <v>6070</v>
      </c>
      <c r="D2866" s="11">
        <v>42780.722581018519</v>
      </c>
      <c r="E2866" s="10" t="s">
        <v>433</v>
      </c>
    </row>
    <row r="2867" spans="1:5">
      <c r="A2867" s="11">
        <v>42780</v>
      </c>
      <c r="B2867" s="10" t="s">
        <v>6071</v>
      </c>
      <c r="C2867" s="10" t="s">
        <v>6072</v>
      </c>
      <c r="D2867" s="11">
        <v>42780.72619212963</v>
      </c>
      <c r="E2867" s="10" t="s">
        <v>193</v>
      </c>
    </row>
    <row r="2868" spans="1:5">
      <c r="A2868" s="11">
        <v>42780</v>
      </c>
      <c r="B2868" s="10" t="s">
        <v>6073</v>
      </c>
      <c r="C2868" s="10" t="s">
        <v>6074</v>
      </c>
      <c r="D2868" s="11">
        <v>42780.726331018515</v>
      </c>
      <c r="E2868" s="10" t="s">
        <v>193</v>
      </c>
    </row>
    <row r="2869" spans="1:5">
      <c r="A2869" s="11">
        <v>42780</v>
      </c>
      <c r="B2869" s="10" t="s">
        <v>6075</v>
      </c>
      <c r="C2869" s="10" t="s">
        <v>6076</v>
      </c>
      <c r="D2869" s="11">
        <v>42780.783402777779</v>
      </c>
      <c r="E2869" s="10" t="s">
        <v>380</v>
      </c>
    </row>
    <row r="2870" spans="1:5">
      <c r="A2870" s="11">
        <v>42780</v>
      </c>
      <c r="B2870" s="10" t="s">
        <v>6077</v>
      </c>
      <c r="C2870" s="10" t="s">
        <v>6078</v>
      </c>
      <c r="D2870" s="11">
        <v>42780.731122685182</v>
      </c>
      <c r="E2870" s="10" t="s">
        <v>373</v>
      </c>
    </row>
    <row r="2871" spans="1:5">
      <c r="A2871" s="11">
        <v>42780</v>
      </c>
      <c r="B2871" s="10" t="s">
        <v>6079</v>
      </c>
      <c r="C2871" s="10" t="s">
        <v>6080</v>
      </c>
      <c r="D2871" s="11">
        <v>42780.731319444443</v>
      </c>
      <c r="E2871" s="10" t="s">
        <v>656</v>
      </c>
    </row>
    <row r="2872" spans="1:5" ht="21.6">
      <c r="A2872" s="11">
        <v>42780</v>
      </c>
      <c r="B2872" s="10" t="s">
        <v>6081</v>
      </c>
      <c r="C2872" s="10" t="s">
        <v>6082</v>
      </c>
      <c r="D2872" s="11">
        <v>42780.732766203706</v>
      </c>
      <c r="E2872" s="10" t="s">
        <v>133</v>
      </c>
    </row>
    <row r="2873" spans="1:5">
      <c r="A2873" s="11">
        <v>42780</v>
      </c>
      <c r="B2873" s="10" t="s">
        <v>6083</v>
      </c>
      <c r="C2873" s="10" t="s">
        <v>6084</v>
      </c>
      <c r="D2873" s="11">
        <v>42780.735833333332</v>
      </c>
      <c r="E2873" s="10" t="s">
        <v>433</v>
      </c>
    </row>
    <row r="2874" spans="1:5">
      <c r="A2874" s="11">
        <v>42780</v>
      </c>
      <c r="B2874" s="10" t="s">
        <v>6085</v>
      </c>
      <c r="C2874" s="10" t="s">
        <v>6086</v>
      </c>
      <c r="D2874" s="11">
        <v>42780.737013888887</v>
      </c>
      <c r="E2874" s="10" t="s">
        <v>240</v>
      </c>
    </row>
    <row r="2875" spans="1:5">
      <c r="A2875" s="11">
        <v>42780</v>
      </c>
      <c r="B2875" s="10" t="s">
        <v>6087</v>
      </c>
      <c r="C2875" s="10" t="s">
        <v>6088</v>
      </c>
      <c r="D2875" s="11">
        <v>42780.738622685189</v>
      </c>
      <c r="E2875" s="10" t="s">
        <v>122</v>
      </c>
    </row>
    <row r="2876" spans="1:5">
      <c r="A2876" s="11">
        <v>42780</v>
      </c>
      <c r="B2876" s="10" t="s">
        <v>6089</v>
      </c>
      <c r="C2876" s="10" t="s">
        <v>6090</v>
      </c>
      <c r="D2876" s="11">
        <v>42780.738796296297</v>
      </c>
      <c r="E2876" s="10" t="s">
        <v>373</v>
      </c>
    </row>
    <row r="2877" spans="1:5">
      <c r="A2877" s="11">
        <v>42780</v>
      </c>
      <c r="B2877" s="10" t="s">
        <v>6091</v>
      </c>
      <c r="C2877" s="10" t="s">
        <v>6092</v>
      </c>
      <c r="D2877" s="11">
        <v>42780.738842592589</v>
      </c>
      <c r="E2877" s="10" t="s">
        <v>122</v>
      </c>
    </row>
    <row r="2878" spans="1:5">
      <c r="A2878" s="11">
        <v>42780</v>
      </c>
      <c r="B2878" s="10" t="s">
        <v>6093</v>
      </c>
      <c r="C2878" s="10" t="s">
        <v>6094</v>
      </c>
      <c r="D2878" s="11">
        <v>42780.741122685184</v>
      </c>
      <c r="E2878" s="10" t="s">
        <v>320</v>
      </c>
    </row>
    <row r="2879" spans="1:5">
      <c r="A2879" s="11">
        <v>42780</v>
      </c>
      <c r="B2879" s="10" t="s">
        <v>6095</v>
      </c>
      <c r="C2879" s="10" t="s">
        <v>6096</v>
      </c>
      <c r="D2879" s="11">
        <v>42780.741550925923</v>
      </c>
      <c r="E2879" s="10" t="s">
        <v>433</v>
      </c>
    </row>
    <row r="2880" spans="1:5">
      <c r="A2880" s="11">
        <v>42780</v>
      </c>
      <c r="B2880" s="10" t="s">
        <v>6097</v>
      </c>
      <c r="C2880" s="10" t="s">
        <v>6098</v>
      </c>
      <c r="D2880" s="11">
        <v>42780.743460648147</v>
      </c>
      <c r="E2880" s="10" t="s">
        <v>320</v>
      </c>
    </row>
    <row r="2881" spans="1:5">
      <c r="A2881" s="11">
        <v>42780</v>
      </c>
      <c r="B2881" s="10" t="s">
        <v>6099</v>
      </c>
      <c r="C2881" s="10" t="s">
        <v>6100</v>
      </c>
      <c r="D2881" s="11">
        <v>42780.746736111112</v>
      </c>
      <c r="E2881" s="10" t="s">
        <v>653</v>
      </c>
    </row>
    <row r="2882" spans="1:5">
      <c r="A2882" s="11">
        <v>42780</v>
      </c>
      <c r="B2882" s="10" t="s">
        <v>6101</v>
      </c>
      <c r="C2882" s="10" t="s">
        <v>6102</v>
      </c>
      <c r="D2882" s="11">
        <v>42780.747175925928</v>
      </c>
      <c r="E2882" s="10" t="s">
        <v>373</v>
      </c>
    </row>
    <row r="2883" spans="1:5">
      <c r="A2883" s="11">
        <v>42780</v>
      </c>
      <c r="B2883" s="10" t="s">
        <v>6103</v>
      </c>
      <c r="C2883" s="10" t="s">
        <v>6104</v>
      </c>
      <c r="D2883" s="11">
        <v>42780.747256944444</v>
      </c>
      <c r="E2883" s="10" t="s">
        <v>320</v>
      </c>
    </row>
    <row r="2884" spans="1:5">
      <c r="A2884" s="11">
        <v>42780</v>
      </c>
      <c r="B2884" s="10" t="s">
        <v>6105</v>
      </c>
      <c r="C2884" s="10" t="s">
        <v>6106</v>
      </c>
      <c r="D2884" s="11">
        <v>42780.74900462963</v>
      </c>
      <c r="E2884" s="10" t="s">
        <v>3550</v>
      </c>
    </row>
    <row r="2885" spans="1:5">
      <c r="A2885" s="11">
        <v>42780</v>
      </c>
      <c r="B2885" s="10" t="s">
        <v>6107</v>
      </c>
      <c r="C2885" s="10" t="s">
        <v>6108</v>
      </c>
      <c r="D2885" s="11">
        <v>42780.751967592594</v>
      </c>
      <c r="E2885" s="10" t="s">
        <v>297</v>
      </c>
    </row>
    <row r="2886" spans="1:5">
      <c r="A2886" s="11">
        <v>42780</v>
      </c>
      <c r="B2886" s="10" t="s">
        <v>6109</v>
      </c>
      <c r="C2886" s="10" t="s">
        <v>6110</v>
      </c>
      <c r="D2886" s="11">
        <v>42780.752465277779</v>
      </c>
      <c r="E2886" s="10" t="s">
        <v>2180</v>
      </c>
    </row>
    <row r="2887" spans="1:5">
      <c r="A2887" s="11">
        <v>42780</v>
      </c>
      <c r="B2887" s="10" t="s">
        <v>6111</v>
      </c>
      <c r="C2887" s="10" t="s">
        <v>6112</v>
      </c>
      <c r="D2887" s="11">
        <v>42780.753842592596</v>
      </c>
      <c r="E2887" s="10" t="s">
        <v>433</v>
      </c>
    </row>
    <row r="2888" spans="1:5">
      <c r="A2888" s="11">
        <v>42780</v>
      </c>
      <c r="B2888" s="10" t="s">
        <v>6113</v>
      </c>
      <c r="C2888" s="10" t="s">
        <v>6114</v>
      </c>
      <c r="D2888" s="11">
        <v>42780.754861111112</v>
      </c>
      <c r="E2888" s="10" t="s">
        <v>218</v>
      </c>
    </row>
    <row r="2889" spans="1:5">
      <c r="A2889" s="11">
        <v>42780</v>
      </c>
      <c r="B2889" s="10" t="s">
        <v>6115</v>
      </c>
      <c r="C2889" s="10" t="s">
        <v>6116</v>
      </c>
      <c r="D2889" s="11">
        <v>42781.622673611113</v>
      </c>
      <c r="E2889" s="10" t="s">
        <v>3550</v>
      </c>
    </row>
    <row r="2890" spans="1:5">
      <c r="A2890" s="11">
        <v>42780</v>
      </c>
      <c r="B2890" s="10" t="s">
        <v>6117</v>
      </c>
      <c r="C2890" s="10" t="s">
        <v>6118</v>
      </c>
      <c r="D2890" s="11">
        <v>42780.76085648148</v>
      </c>
      <c r="E2890" s="10" t="s">
        <v>433</v>
      </c>
    </row>
    <row r="2891" spans="1:5">
      <c r="A2891" s="11">
        <v>42780</v>
      </c>
      <c r="B2891" s="10" t="s">
        <v>6119</v>
      </c>
      <c r="C2891" s="10" t="s">
        <v>6120</v>
      </c>
      <c r="D2891" s="11">
        <v>42780.761296296296</v>
      </c>
      <c r="E2891" s="10" t="s">
        <v>433</v>
      </c>
    </row>
    <row r="2892" spans="1:5">
      <c r="A2892" s="11">
        <v>42780</v>
      </c>
      <c r="B2892" s="10" t="s">
        <v>6121</v>
      </c>
      <c r="C2892" s="10" t="s">
        <v>6122</v>
      </c>
      <c r="D2892" s="11">
        <v>42780.761377314811</v>
      </c>
      <c r="E2892" s="10" t="s">
        <v>433</v>
      </c>
    </row>
    <row r="2893" spans="1:5">
      <c r="A2893" s="11">
        <v>42780</v>
      </c>
      <c r="B2893" s="10" t="s">
        <v>6123</v>
      </c>
      <c r="C2893" s="10" t="s">
        <v>6124</v>
      </c>
      <c r="D2893" s="11">
        <v>42780.762557870374</v>
      </c>
      <c r="E2893" s="10" t="s">
        <v>433</v>
      </c>
    </row>
    <row r="2894" spans="1:5">
      <c r="A2894" s="11">
        <v>42780</v>
      </c>
      <c r="B2894" s="10" t="s">
        <v>6125</v>
      </c>
      <c r="C2894" s="10" t="s">
        <v>6126</v>
      </c>
      <c r="D2894" s="11">
        <v>42780.763194444444</v>
      </c>
      <c r="E2894" s="10" t="s">
        <v>422</v>
      </c>
    </row>
    <row r="2895" spans="1:5">
      <c r="A2895" s="11">
        <v>42780</v>
      </c>
      <c r="B2895" s="10" t="s">
        <v>6127</v>
      </c>
      <c r="C2895" s="10" t="s">
        <v>6128</v>
      </c>
      <c r="D2895" s="11">
        <v>42780.764537037037</v>
      </c>
      <c r="E2895" s="10" t="s">
        <v>218</v>
      </c>
    </row>
    <row r="2896" spans="1:5">
      <c r="A2896" s="11">
        <v>42780</v>
      </c>
      <c r="B2896" s="10" t="s">
        <v>6129</v>
      </c>
      <c r="C2896" s="10" t="s">
        <v>6130</v>
      </c>
      <c r="D2896" s="11">
        <v>42780.766435185185</v>
      </c>
      <c r="E2896" s="10" t="s">
        <v>433</v>
      </c>
    </row>
    <row r="2897" spans="1:5">
      <c r="A2897" s="11">
        <v>42780</v>
      </c>
      <c r="B2897" s="10" t="s">
        <v>6131</v>
      </c>
      <c r="C2897" s="10" t="s">
        <v>6132</v>
      </c>
      <c r="D2897" s="11">
        <v>42781.545578703706</v>
      </c>
      <c r="E2897" s="10" t="s">
        <v>308</v>
      </c>
    </row>
    <row r="2898" spans="1:5">
      <c r="A2898" s="11">
        <v>42780</v>
      </c>
      <c r="B2898" s="10" t="s">
        <v>6133</v>
      </c>
      <c r="C2898" s="10" t="s">
        <v>6134</v>
      </c>
      <c r="D2898" s="11">
        <v>42781.708136574074</v>
      </c>
      <c r="E2898" s="10" t="s">
        <v>99</v>
      </c>
    </row>
    <row r="2899" spans="1:5">
      <c r="A2899" s="11">
        <v>42780</v>
      </c>
      <c r="B2899" s="10" t="s">
        <v>6135</v>
      </c>
      <c r="C2899" s="10" t="s">
        <v>6136</v>
      </c>
      <c r="D2899" s="11">
        <v>42782.687939814816</v>
      </c>
      <c r="E2899" s="10" t="s">
        <v>2742</v>
      </c>
    </row>
    <row r="2900" spans="1:5">
      <c r="A2900" s="11">
        <v>42780</v>
      </c>
      <c r="B2900" s="10" t="s">
        <v>6137</v>
      </c>
      <c r="C2900" s="10" t="s">
        <v>6138</v>
      </c>
      <c r="D2900" s="11">
        <v>42780.774502314816</v>
      </c>
      <c r="E2900" s="10" t="s">
        <v>433</v>
      </c>
    </row>
    <row r="2901" spans="1:5">
      <c r="A2901" s="11">
        <v>42780</v>
      </c>
      <c r="B2901" s="10" t="s">
        <v>6139</v>
      </c>
      <c r="C2901" s="10" t="s">
        <v>6140</v>
      </c>
      <c r="D2901" s="11">
        <v>42780.774629629632</v>
      </c>
      <c r="E2901" s="10" t="s">
        <v>335</v>
      </c>
    </row>
    <row r="2902" spans="1:5">
      <c r="A2902" s="11">
        <v>42780</v>
      </c>
      <c r="B2902" s="10" t="s">
        <v>6141</v>
      </c>
      <c r="C2902" s="10" t="s">
        <v>6142</v>
      </c>
      <c r="D2902" s="11">
        <v>42780.78</v>
      </c>
      <c r="E2902" s="10" t="s">
        <v>2554</v>
      </c>
    </row>
    <row r="2903" spans="1:5">
      <c r="A2903" s="11">
        <v>42780</v>
      </c>
      <c r="B2903" s="10" t="s">
        <v>6143</v>
      </c>
      <c r="C2903" s="10" t="s">
        <v>6144</v>
      </c>
      <c r="D2903" s="11">
        <v>42780.780694444446</v>
      </c>
      <c r="E2903" s="10" t="s">
        <v>218</v>
      </c>
    </row>
    <row r="2904" spans="1:5">
      <c r="A2904" s="11">
        <v>42780</v>
      </c>
      <c r="B2904" s="10" t="s">
        <v>6145</v>
      </c>
      <c r="C2904" s="10" t="s">
        <v>6146</v>
      </c>
      <c r="D2904" s="11">
        <v>42780.785497685189</v>
      </c>
      <c r="E2904" s="10" t="s">
        <v>6147</v>
      </c>
    </row>
    <row r="2905" spans="1:5">
      <c r="A2905" s="11">
        <v>42780</v>
      </c>
      <c r="B2905" s="10" t="s">
        <v>6148</v>
      </c>
      <c r="C2905" s="10" t="s">
        <v>6149</v>
      </c>
      <c r="D2905" s="11">
        <v>42782.567256944443</v>
      </c>
      <c r="E2905" s="10" t="s">
        <v>683</v>
      </c>
    </row>
    <row r="2906" spans="1:5">
      <c r="A2906" s="11">
        <v>42780</v>
      </c>
      <c r="B2906" s="10" t="s">
        <v>6150</v>
      </c>
      <c r="C2906" s="10" t="s">
        <v>6151</v>
      </c>
      <c r="D2906" s="11">
        <v>42780.787858796299</v>
      </c>
      <c r="E2906" s="10" t="s">
        <v>218</v>
      </c>
    </row>
    <row r="2907" spans="1:5">
      <c r="A2907" s="11">
        <v>42780</v>
      </c>
      <c r="B2907" s="10" t="s">
        <v>6152</v>
      </c>
      <c r="C2907" s="10" t="s">
        <v>6153</v>
      </c>
      <c r="D2907" s="11">
        <v>42780.788842592592</v>
      </c>
      <c r="E2907" s="10" t="s">
        <v>380</v>
      </c>
    </row>
    <row r="2908" spans="1:5">
      <c r="A2908" s="11">
        <v>42780</v>
      </c>
      <c r="B2908" s="10" t="s">
        <v>6154</v>
      </c>
      <c r="C2908" s="10" t="s">
        <v>6155</v>
      </c>
      <c r="D2908" s="11">
        <v>42780.791701388887</v>
      </c>
      <c r="E2908" s="10" t="s">
        <v>218</v>
      </c>
    </row>
    <row r="2909" spans="1:5" ht="21.6">
      <c r="A2909" s="11">
        <v>42780</v>
      </c>
      <c r="B2909" s="10" t="s">
        <v>6156</v>
      </c>
      <c r="C2909" s="10" t="s">
        <v>6157</v>
      </c>
      <c r="D2909" s="11">
        <v>42780.806608796294</v>
      </c>
      <c r="E2909" s="10" t="s">
        <v>257</v>
      </c>
    </row>
    <row r="2910" spans="1:5">
      <c r="A2910" s="11">
        <v>42780</v>
      </c>
      <c r="B2910" s="10" t="s">
        <v>6158</v>
      </c>
      <c r="C2910" s="10" t="s">
        <v>6159</v>
      </c>
      <c r="D2910" s="11">
        <v>42781.436296296299</v>
      </c>
      <c r="E2910" s="10" t="s">
        <v>2515</v>
      </c>
    </row>
    <row r="2911" spans="1:5">
      <c r="A2911" s="11">
        <v>42780</v>
      </c>
      <c r="B2911" s="10" t="s">
        <v>6160</v>
      </c>
      <c r="C2911" s="10" t="s">
        <v>6161</v>
      </c>
      <c r="D2911" s="11">
        <v>42780.795185185183</v>
      </c>
      <c r="E2911" s="10" t="s">
        <v>218</v>
      </c>
    </row>
    <row r="2912" spans="1:5">
      <c r="A2912" s="11">
        <v>42780</v>
      </c>
      <c r="B2912" s="10" t="s">
        <v>6162</v>
      </c>
      <c r="C2912" s="10" t="s">
        <v>6163</v>
      </c>
      <c r="D2912" s="11">
        <v>42780.796342592592</v>
      </c>
      <c r="E2912" s="10" t="s">
        <v>4862</v>
      </c>
    </row>
    <row r="2913" spans="1:5">
      <c r="A2913" s="11">
        <v>42780</v>
      </c>
      <c r="B2913" s="10" t="s">
        <v>6164</v>
      </c>
      <c r="C2913" s="10" t="s">
        <v>6165</v>
      </c>
      <c r="D2913" s="11">
        <v>42781.914212962962</v>
      </c>
      <c r="E2913" s="10" t="s">
        <v>335</v>
      </c>
    </row>
    <row r="2914" spans="1:5">
      <c r="A2914" s="11">
        <v>42780</v>
      </c>
      <c r="B2914" s="10" t="s">
        <v>6166</v>
      </c>
      <c r="C2914" s="10" t="s">
        <v>6167</v>
      </c>
      <c r="D2914" s="11">
        <v>42780.801307870373</v>
      </c>
      <c r="E2914" s="10" t="s">
        <v>335</v>
      </c>
    </row>
    <row r="2915" spans="1:5">
      <c r="A2915" s="11">
        <v>42780</v>
      </c>
      <c r="B2915" s="10" t="s">
        <v>6168</v>
      </c>
      <c r="C2915" s="10" t="s">
        <v>6169</v>
      </c>
      <c r="D2915" s="11">
        <v>42780.801828703705</v>
      </c>
      <c r="E2915" s="10" t="s">
        <v>1022</v>
      </c>
    </row>
    <row r="2916" spans="1:5">
      <c r="A2916" s="11">
        <v>42780</v>
      </c>
      <c r="B2916" s="10" t="s">
        <v>6170</v>
      </c>
      <c r="C2916" s="10" t="s">
        <v>6171</v>
      </c>
      <c r="D2916" s="11">
        <v>42780.802916666667</v>
      </c>
      <c r="E2916" s="10" t="s">
        <v>2183</v>
      </c>
    </row>
    <row r="2917" spans="1:5">
      <c r="A2917" s="11">
        <v>42780</v>
      </c>
      <c r="B2917" s="10" t="s">
        <v>6172</v>
      </c>
      <c r="C2917" s="10" t="s">
        <v>6173</v>
      </c>
      <c r="D2917" s="11">
        <v>42780.806608796294</v>
      </c>
      <c r="E2917" s="10" t="s">
        <v>152</v>
      </c>
    </row>
    <row r="2918" spans="1:5">
      <c r="A2918" s="11">
        <v>42780</v>
      </c>
      <c r="B2918" s="10" t="s">
        <v>6174</v>
      </c>
      <c r="C2918" s="10" t="s">
        <v>6175</v>
      </c>
      <c r="D2918" s="11">
        <v>42782.708032407405</v>
      </c>
      <c r="E2918" s="10" t="s">
        <v>2995</v>
      </c>
    </row>
    <row r="2919" spans="1:5">
      <c r="A2919" s="11">
        <v>42780</v>
      </c>
      <c r="B2919" s="10" t="s">
        <v>6176</v>
      </c>
      <c r="C2919" s="10" t="s">
        <v>6177</v>
      </c>
      <c r="D2919" s="11">
        <v>42780.80914351852</v>
      </c>
      <c r="E2919" s="10" t="s">
        <v>6178</v>
      </c>
    </row>
    <row r="2920" spans="1:5">
      <c r="A2920" s="11">
        <v>42780</v>
      </c>
      <c r="B2920" s="10" t="s">
        <v>6179</v>
      </c>
      <c r="C2920" s="10" t="s">
        <v>6180</v>
      </c>
      <c r="D2920" s="11">
        <v>42780.842511574076</v>
      </c>
      <c r="E2920" s="10" t="s">
        <v>422</v>
      </c>
    </row>
    <row r="2921" spans="1:5">
      <c r="A2921" s="11">
        <v>42780</v>
      </c>
      <c r="B2921" s="10" t="s">
        <v>6181</v>
      </c>
      <c r="C2921" s="10" t="s">
        <v>6182</v>
      </c>
      <c r="D2921" s="11">
        <v>42782.65966435185</v>
      </c>
      <c r="E2921" s="10" t="s">
        <v>6183</v>
      </c>
    </row>
    <row r="2922" spans="1:5">
      <c r="A2922" s="11">
        <v>42780</v>
      </c>
      <c r="B2922" s="10" t="s">
        <v>6184</v>
      </c>
      <c r="C2922" s="10" t="s">
        <v>6185</v>
      </c>
      <c r="D2922" s="11">
        <v>42780.82203703704</v>
      </c>
      <c r="E2922" s="10" t="s">
        <v>2180</v>
      </c>
    </row>
    <row r="2923" spans="1:5">
      <c r="A2923" s="11">
        <v>42780</v>
      </c>
      <c r="B2923" s="10" t="s">
        <v>6186</v>
      </c>
      <c r="C2923" s="10" t="s">
        <v>6187</v>
      </c>
      <c r="D2923" s="11">
        <v>42780.824421296296</v>
      </c>
      <c r="E2923" s="10" t="s">
        <v>373</v>
      </c>
    </row>
    <row r="2924" spans="1:5">
      <c r="A2924" s="11">
        <v>42780</v>
      </c>
      <c r="B2924" s="10" t="s">
        <v>6188</v>
      </c>
      <c r="C2924" s="10" t="s">
        <v>6189</v>
      </c>
      <c r="D2924" s="11">
        <v>42780.824432870373</v>
      </c>
      <c r="E2924" s="10" t="s">
        <v>373</v>
      </c>
    </row>
    <row r="2925" spans="1:5">
      <c r="A2925" s="11">
        <v>42780</v>
      </c>
      <c r="B2925" s="10" t="s">
        <v>6190</v>
      </c>
      <c r="C2925" s="10" t="s">
        <v>6191</v>
      </c>
      <c r="D2925" s="11">
        <v>42780.826145833336</v>
      </c>
      <c r="E2925" s="10" t="s">
        <v>152</v>
      </c>
    </row>
    <row r="2926" spans="1:5">
      <c r="A2926" s="11">
        <v>42780</v>
      </c>
      <c r="B2926" s="10" t="s">
        <v>6192</v>
      </c>
      <c r="C2926" s="10" t="s">
        <v>6193</v>
      </c>
      <c r="D2926" s="11">
        <v>42780.82849537037</v>
      </c>
      <c r="E2926" s="10" t="s">
        <v>218</v>
      </c>
    </row>
    <row r="2927" spans="1:5">
      <c r="A2927" s="11">
        <v>42780</v>
      </c>
      <c r="B2927" s="10" t="s">
        <v>6194</v>
      </c>
      <c r="C2927" s="10" t="s">
        <v>6195</v>
      </c>
      <c r="D2927" s="11">
        <v>42780.830451388887</v>
      </c>
      <c r="E2927" s="10" t="s">
        <v>433</v>
      </c>
    </row>
    <row r="2928" spans="1:5">
      <c r="A2928" s="11">
        <v>42780</v>
      </c>
      <c r="B2928" s="10" t="s">
        <v>6196</v>
      </c>
      <c r="C2928" s="10" t="s">
        <v>6197</v>
      </c>
      <c r="D2928" s="11">
        <v>42780.831134259257</v>
      </c>
      <c r="E2928" s="10" t="s">
        <v>237</v>
      </c>
    </row>
    <row r="2929" spans="1:5">
      <c r="A2929" s="11">
        <v>42780</v>
      </c>
      <c r="B2929" s="10" t="s">
        <v>6198</v>
      </c>
      <c r="C2929" s="10" t="s">
        <v>6199</v>
      </c>
      <c r="D2929" s="11">
        <v>42780.831770833334</v>
      </c>
      <c r="E2929" s="10" t="s">
        <v>3434</v>
      </c>
    </row>
    <row r="2930" spans="1:5">
      <c r="A2930" s="11">
        <v>42780</v>
      </c>
      <c r="B2930" s="10" t="s">
        <v>6200</v>
      </c>
      <c r="C2930" s="10" t="s">
        <v>6201</v>
      </c>
      <c r="D2930" s="11">
        <v>42780.837858796294</v>
      </c>
      <c r="E2930" s="10" t="s">
        <v>218</v>
      </c>
    </row>
    <row r="2931" spans="1:5">
      <c r="A2931" s="11">
        <v>42780</v>
      </c>
      <c r="B2931" s="10" t="s">
        <v>6202</v>
      </c>
      <c r="C2931" s="10" t="s">
        <v>6203</v>
      </c>
      <c r="D2931" s="11">
        <v>42780.840162037035</v>
      </c>
      <c r="E2931" s="10" t="s">
        <v>433</v>
      </c>
    </row>
    <row r="2932" spans="1:5">
      <c r="A2932" s="11">
        <v>42780</v>
      </c>
      <c r="B2932" s="10" t="s">
        <v>6204</v>
      </c>
      <c r="C2932" s="10" t="s">
        <v>6205</v>
      </c>
      <c r="D2932" s="11">
        <v>42782.695694444446</v>
      </c>
      <c r="E2932" s="10" t="s">
        <v>122</v>
      </c>
    </row>
    <row r="2933" spans="1:5">
      <c r="A2933" s="11">
        <v>42780</v>
      </c>
      <c r="B2933" s="10" t="s">
        <v>6206</v>
      </c>
      <c r="C2933" s="10" t="s">
        <v>6207</v>
      </c>
      <c r="D2933" s="11">
        <v>42780.844259259262</v>
      </c>
      <c r="E2933" s="10" t="s">
        <v>433</v>
      </c>
    </row>
    <row r="2934" spans="1:5">
      <c r="A2934" s="11">
        <v>42780</v>
      </c>
      <c r="B2934" s="10" t="s">
        <v>6208</v>
      </c>
      <c r="C2934" s="10" t="s">
        <v>6209</v>
      </c>
      <c r="D2934" s="11">
        <v>42780.851284722223</v>
      </c>
      <c r="E2934" s="10" t="s">
        <v>122</v>
      </c>
    </row>
    <row r="2935" spans="1:5">
      <c r="A2935" s="11">
        <v>42780</v>
      </c>
      <c r="B2935" s="10" t="s">
        <v>6210</v>
      </c>
      <c r="C2935" s="10" t="s">
        <v>6211</v>
      </c>
      <c r="D2935" s="11">
        <v>42780.853541666664</v>
      </c>
      <c r="E2935" s="10" t="s">
        <v>966</v>
      </c>
    </row>
    <row r="2936" spans="1:5">
      <c r="A2936" s="11">
        <v>42780</v>
      </c>
      <c r="B2936" s="10" t="s">
        <v>6212</v>
      </c>
      <c r="C2936" s="10" t="s">
        <v>6213</v>
      </c>
      <c r="D2936" s="11">
        <v>42780.85497685185</v>
      </c>
      <c r="E2936" s="10" t="s">
        <v>240</v>
      </c>
    </row>
    <row r="2937" spans="1:5">
      <c r="A2937" s="11">
        <v>42780</v>
      </c>
      <c r="B2937" s="10" t="s">
        <v>6214</v>
      </c>
      <c r="C2937" s="10" t="s">
        <v>6215</v>
      </c>
      <c r="D2937" s="11">
        <v>42780.855196759258</v>
      </c>
      <c r="E2937" s="10" t="s">
        <v>240</v>
      </c>
    </row>
    <row r="2938" spans="1:5">
      <c r="A2938" s="11">
        <v>42780</v>
      </c>
      <c r="B2938" s="10" t="s">
        <v>6216</v>
      </c>
      <c r="C2938" s="10" t="s">
        <v>6217</v>
      </c>
      <c r="D2938" s="11">
        <v>42780.857314814813</v>
      </c>
      <c r="E2938" s="10" t="s">
        <v>433</v>
      </c>
    </row>
    <row r="2939" spans="1:5">
      <c r="A2939" s="11">
        <v>42780</v>
      </c>
      <c r="B2939" s="10" t="s">
        <v>6218</v>
      </c>
      <c r="C2939" s="10" t="s">
        <v>6219</v>
      </c>
      <c r="D2939" s="11">
        <v>42780.85738425926</v>
      </c>
      <c r="E2939" s="10" t="s">
        <v>373</v>
      </c>
    </row>
    <row r="2940" spans="1:5">
      <c r="A2940" s="11">
        <v>42780</v>
      </c>
      <c r="B2940" s="10" t="s">
        <v>6220</v>
      </c>
      <c r="C2940" s="10" t="s">
        <v>6221</v>
      </c>
      <c r="D2940" s="11">
        <v>42780.86109953704</v>
      </c>
      <c r="E2940" s="10" t="s">
        <v>433</v>
      </c>
    </row>
    <row r="2941" spans="1:5">
      <c r="A2941" s="11">
        <v>42780</v>
      </c>
      <c r="B2941" s="10" t="s">
        <v>6222</v>
      </c>
      <c r="C2941" s="10" t="s">
        <v>6223</v>
      </c>
      <c r="D2941" s="11">
        <v>42780.861307870371</v>
      </c>
      <c r="E2941" s="10" t="s">
        <v>433</v>
      </c>
    </row>
    <row r="2942" spans="1:5">
      <c r="A2942" s="11">
        <v>42780</v>
      </c>
      <c r="B2942" s="10" t="s">
        <v>6224</v>
      </c>
      <c r="C2942" s="10" t="s">
        <v>6225</v>
      </c>
      <c r="D2942" s="11">
        <v>42782.666909722226</v>
      </c>
      <c r="E2942" s="10" t="s">
        <v>4862</v>
      </c>
    </row>
    <row r="2943" spans="1:5">
      <c r="A2943" s="11">
        <v>42780</v>
      </c>
      <c r="B2943" s="10" t="s">
        <v>6226</v>
      </c>
      <c r="C2943" s="10" t="s">
        <v>6227</v>
      </c>
      <c r="D2943" s="11">
        <v>42782.549826388888</v>
      </c>
      <c r="E2943" s="10" t="s">
        <v>479</v>
      </c>
    </row>
    <row r="2944" spans="1:5">
      <c r="A2944" s="11">
        <v>42780</v>
      </c>
      <c r="B2944" s="10" t="s">
        <v>6228</v>
      </c>
      <c r="C2944" s="10" t="s">
        <v>6229</v>
      </c>
      <c r="D2944" s="11">
        <v>42782.516967592594</v>
      </c>
      <c r="E2944" s="10" t="s">
        <v>292</v>
      </c>
    </row>
    <row r="2945" spans="1:5" ht="21.6">
      <c r="A2945" s="11">
        <v>42780</v>
      </c>
      <c r="B2945" s="10" t="s">
        <v>6230</v>
      </c>
      <c r="C2945" s="10" t="s">
        <v>6231</v>
      </c>
      <c r="D2945" s="11">
        <v>42780.867395833331</v>
      </c>
      <c r="E2945" s="10" t="s">
        <v>165</v>
      </c>
    </row>
    <row r="2946" spans="1:5">
      <c r="A2946" s="11">
        <v>42780</v>
      </c>
      <c r="B2946" s="10" t="s">
        <v>6232</v>
      </c>
      <c r="C2946" s="10" t="s">
        <v>6233</v>
      </c>
      <c r="D2946" s="11">
        <v>42780.937592592592</v>
      </c>
      <c r="E2946" s="10" t="s">
        <v>320</v>
      </c>
    </row>
    <row r="2947" spans="1:5">
      <c r="A2947" s="11">
        <v>42780</v>
      </c>
      <c r="B2947" s="10" t="s">
        <v>6234</v>
      </c>
      <c r="C2947" s="10" t="s">
        <v>6235</v>
      </c>
      <c r="D2947" s="11">
        <v>42780.872986111113</v>
      </c>
      <c r="E2947" s="10" t="s">
        <v>2742</v>
      </c>
    </row>
    <row r="2948" spans="1:5">
      <c r="A2948" s="11">
        <v>42780</v>
      </c>
      <c r="B2948" s="10" t="s">
        <v>6236</v>
      </c>
      <c r="C2948" s="10" t="s">
        <v>6237</v>
      </c>
      <c r="D2948" s="11">
        <v>42780.873067129629</v>
      </c>
      <c r="E2948" s="10" t="s">
        <v>138</v>
      </c>
    </row>
    <row r="2949" spans="1:5">
      <c r="A2949" s="11">
        <v>42780</v>
      </c>
      <c r="B2949" s="10" t="s">
        <v>6238</v>
      </c>
      <c r="C2949" s="10" t="s">
        <v>6239</v>
      </c>
      <c r="D2949" s="11">
        <v>42780.876122685186</v>
      </c>
      <c r="E2949" s="10" t="s">
        <v>152</v>
      </c>
    </row>
    <row r="2950" spans="1:5">
      <c r="A2950" s="11">
        <v>42780</v>
      </c>
      <c r="B2950" s="10" t="s">
        <v>6240</v>
      </c>
      <c r="C2950" s="10" t="s">
        <v>6241</v>
      </c>
      <c r="D2950" s="11">
        <v>42782.610243055555</v>
      </c>
      <c r="E2950" s="10" t="s">
        <v>433</v>
      </c>
    </row>
    <row r="2951" spans="1:5">
      <c r="A2951" s="11">
        <v>42780</v>
      </c>
      <c r="B2951" s="10" t="s">
        <v>6242</v>
      </c>
      <c r="C2951" s="10" t="s">
        <v>6243</v>
      </c>
      <c r="D2951" s="11">
        <v>42780.882685185185</v>
      </c>
      <c r="E2951" s="10" t="s">
        <v>373</v>
      </c>
    </row>
    <row r="2952" spans="1:5">
      <c r="A2952" s="11">
        <v>42780</v>
      </c>
      <c r="B2952" s="10" t="s">
        <v>6244</v>
      </c>
      <c r="C2952" s="10" t="s">
        <v>6245</v>
      </c>
      <c r="D2952" s="11">
        <v>42780.88621527778</v>
      </c>
      <c r="E2952" s="10" t="s">
        <v>122</v>
      </c>
    </row>
    <row r="2953" spans="1:5">
      <c r="A2953" s="11">
        <v>42780</v>
      </c>
      <c r="B2953" s="10" t="s">
        <v>6246</v>
      </c>
      <c r="C2953" s="10" t="s">
        <v>6247</v>
      </c>
      <c r="D2953" s="11">
        <v>42782.710520833331</v>
      </c>
      <c r="E2953" s="10" t="s">
        <v>422</v>
      </c>
    </row>
    <row r="2954" spans="1:5">
      <c r="A2954" s="11">
        <v>42780</v>
      </c>
      <c r="B2954" s="10" t="s">
        <v>6248</v>
      </c>
      <c r="C2954" s="10" t="s">
        <v>6249</v>
      </c>
      <c r="D2954" s="11">
        <v>42780.892453703702</v>
      </c>
      <c r="E2954" s="10" t="s">
        <v>373</v>
      </c>
    </row>
    <row r="2955" spans="1:5">
      <c r="A2955" s="11">
        <v>42780</v>
      </c>
      <c r="B2955" s="10" t="s">
        <v>6250</v>
      </c>
      <c r="C2955" s="10" t="s">
        <v>6251</v>
      </c>
      <c r="D2955" s="11">
        <v>42780.892835648148</v>
      </c>
      <c r="E2955" s="10" t="s">
        <v>4865</v>
      </c>
    </row>
    <row r="2956" spans="1:5">
      <c r="A2956" s="11">
        <v>42780</v>
      </c>
      <c r="B2956" s="10" t="s">
        <v>6252</v>
      </c>
      <c r="C2956" s="10" t="s">
        <v>6253</v>
      </c>
      <c r="D2956" s="11">
        <v>42782.424247685187</v>
      </c>
      <c r="E2956" s="10" t="s">
        <v>2742</v>
      </c>
    </row>
    <row r="2957" spans="1:5">
      <c r="A2957" s="11">
        <v>42780</v>
      </c>
      <c r="B2957" s="10" t="s">
        <v>6254</v>
      </c>
      <c r="C2957" s="10" t="s">
        <v>6255</v>
      </c>
      <c r="D2957" s="11">
        <v>42780.898229166669</v>
      </c>
      <c r="E2957" s="10" t="s">
        <v>193</v>
      </c>
    </row>
    <row r="2958" spans="1:5">
      <c r="A2958" s="11">
        <v>42780</v>
      </c>
      <c r="B2958" s="10" t="s">
        <v>6256</v>
      </c>
      <c r="C2958" s="10" t="s">
        <v>6257</v>
      </c>
      <c r="D2958" s="11">
        <v>42780.898275462961</v>
      </c>
      <c r="E2958" s="10" t="s">
        <v>707</v>
      </c>
    </row>
    <row r="2959" spans="1:5">
      <c r="A2959" s="11">
        <v>42780</v>
      </c>
      <c r="B2959" s="10" t="s">
        <v>6258</v>
      </c>
      <c r="C2959" s="10" t="s">
        <v>6259</v>
      </c>
      <c r="D2959" s="11">
        <v>42782.428784722222</v>
      </c>
      <c r="E2959" s="10" t="s">
        <v>380</v>
      </c>
    </row>
    <row r="2960" spans="1:5" ht="21.6">
      <c r="A2960" s="11">
        <v>42780</v>
      </c>
      <c r="B2960" s="10" t="s">
        <v>6260</v>
      </c>
      <c r="C2960" s="10" t="s">
        <v>6261</v>
      </c>
      <c r="D2960" s="11">
        <v>42780.901145833333</v>
      </c>
      <c r="E2960" s="10" t="s">
        <v>1316</v>
      </c>
    </row>
    <row r="2961" spans="1:5" ht="21.6">
      <c r="A2961" s="11">
        <v>42780</v>
      </c>
      <c r="B2961" s="10" t="s">
        <v>6262</v>
      </c>
      <c r="C2961" s="10" t="s">
        <v>6263</v>
      </c>
      <c r="D2961" s="11">
        <v>42780.903449074074</v>
      </c>
      <c r="E2961" s="10" t="s">
        <v>2554</v>
      </c>
    </row>
    <row r="2962" spans="1:5">
      <c r="A2962" s="11">
        <v>42780</v>
      </c>
      <c r="B2962" s="10" t="s">
        <v>6264</v>
      </c>
      <c r="C2962" s="10" t="s">
        <v>6265</v>
      </c>
      <c r="D2962" s="11">
        <v>42780.906215277777</v>
      </c>
      <c r="E2962" s="10" t="s">
        <v>237</v>
      </c>
    </row>
    <row r="2963" spans="1:5">
      <c r="A2963" s="11">
        <v>42780</v>
      </c>
      <c r="B2963" s="10" t="s">
        <v>6266</v>
      </c>
      <c r="C2963" s="10" t="s">
        <v>6267</v>
      </c>
      <c r="D2963" s="11">
        <v>42780.909745370373</v>
      </c>
      <c r="E2963" s="10" t="s">
        <v>479</v>
      </c>
    </row>
    <row r="2964" spans="1:5">
      <c r="A2964" s="11">
        <v>42780</v>
      </c>
      <c r="B2964" s="10" t="s">
        <v>6268</v>
      </c>
      <c r="C2964" s="10" t="s">
        <v>6269</v>
      </c>
      <c r="D2964" s="11">
        <v>42780.912222222221</v>
      </c>
      <c r="E2964" s="10" t="s">
        <v>373</v>
      </c>
    </row>
    <row r="2965" spans="1:5">
      <c r="A2965" s="11">
        <v>42780</v>
      </c>
      <c r="B2965" s="10" t="s">
        <v>6270</v>
      </c>
      <c r="C2965" s="10" t="s">
        <v>6271</v>
      </c>
      <c r="D2965" s="11">
        <v>42780.913136574076</v>
      </c>
      <c r="E2965" s="10" t="s">
        <v>240</v>
      </c>
    </row>
    <row r="2966" spans="1:5" ht="21.6">
      <c r="A2966" s="11">
        <v>42780</v>
      </c>
      <c r="B2966" s="10" t="s">
        <v>6272</v>
      </c>
      <c r="C2966" s="10" t="s">
        <v>6273</v>
      </c>
      <c r="D2966" s="11">
        <v>42780.917384259257</v>
      </c>
      <c r="E2966" s="10" t="s">
        <v>966</v>
      </c>
    </row>
    <row r="2967" spans="1:5">
      <c r="A2967" s="11">
        <v>42780</v>
      </c>
      <c r="B2967" s="10" t="s">
        <v>6274</v>
      </c>
      <c r="C2967" s="10" t="s">
        <v>6275</v>
      </c>
      <c r="D2967" s="11">
        <v>42781.633101851854</v>
      </c>
      <c r="E2967" s="10" t="s">
        <v>433</v>
      </c>
    </row>
    <row r="2968" spans="1:5">
      <c r="A2968" s="11">
        <v>42780</v>
      </c>
      <c r="B2968" s="10" t="s">
        <v>6276</v>
      </c>
      <c r="C2968" s="10" t="s">
        <v>6277</v>
      </c>
      <c r="D2968" s="11">
        <v>42780.918993055559</v>
      </c>
      <c r="E2968" s="10" t="s">
        <v>433</v>
      </c>
    </row>
    <row r="2969" spans="1:5">
      <c r="A2969" s="11">
        <v>42780</v>
      </c>
      <c r="B2969" s="10" t="s">
        <v>6278</v>
      </c>
      <c r="C2969" s="10" t="s">
        <v>6279</v>
      </c>
      <c r="D2969" s="11">
        <v>42781.839305555557</v>
      </c>
      <c r="E2969" s="10" t="s">
        <v>122</v>
      </c>
    </row>
    <row r="2970" spans="1:5">
      <c r="A2970" s="11">
        <v>42780</v>
      </c>
      <c r="B2970" s="10" t="s">
        <v>6280</v>
      </c>
      <c r="C2970" s="10" t="s">
        <v>6281</v>
      </c>
      <c r="D2970" s="11">
        <v>42780.921701388892</v>
      </c>
      <c r="E2970" s="10" t="s">
        <v>608</v>
      </c>
    </row>
    <row r="2971" spans="1:5">
      <c r="A2971" s="11">
        <v>42780</v>
      </c>
      <c r="B2971" s="10" t="s">
        <v>6282</v>
      </c>
      <c r="C2971" s="10" t="s">
        <v>6283</v>
      </c>
      <c r="D2971" s="11">
        <v>42780.925902777781</v>
      </c>
      <c r="E2971" s="10" t="s">
        <v>218</v>
      </c>
    </row>
    <row r="2972" spans="1:5">
      <c r="A2972" s="11">
        <v>42780</v>
      </c>
      <c r="B2972" s="10" t="s">
        <v>6284</v>
      </c>
      <c r="C2972" s="10" t="s">
        <v>6285</v>
      </c>
      <c r="D2972" s="11">
        <v>42780.92765046296</v>
      </c>
      <c r="E2972" s="10" t="s">
        <v>218</v>
      </c>
    </row>
    <row r="2973" spans="1:5">
      <c r="A2973" s="11">
        <v>42780</v>
      </c>
      <c r="B2973" s="10" t="s">
        <v>6286</v>
      </c>
      <c r="C2973" s="10" t="s">
        <v>6287</v>
      </c>
      <c r="D2973" s="11">
        <v>42780.935798611114</v>
      </c>
      <c r="E2973" s="10" t="s">
        <v>2180</v>
      </c>
    </row>
    <row r="2974" spans="1:5">
      <c r="A2974" s="11">
        <v>42780</v>
      </c>
      <c r="B2974" s="10" t="s">
        <v>6288</v>
      </c>
      <c r="C2974" s="10" t="s">
        <v>6289</v>
      </c>
      <c r="D2974" s="11">
        <v>42782.374178240738</v>
      </c>
      <c r="E2974" s="10" t="s">
        <v>2978</v>
      </c>
    </row>
    <row r="2975" spans="1:5">
      <c r="A2975" s="11">
        <v>42780</v>
      </c>
      <c r="B2975" s="10" t="s">
        <v>6290</v>
      </c>
      <c r="C2975" s="10" t="s">
        <v>6291</v>
      </c>
      <c r="D2975" s="11">
        <v>42780.965289351851</v>
      </c>
      <c r="E2975" s="10" t="s">
        <v>108</v>
      </c>
    </row>
    <row r="2976" spans="1:5">
      <c r="A2976" s="11">
        <v>42780</v>
      </c>
      <c r="B2976" s="10" t="s">
        <v>6292</v>
      </c>
      <c r="C2976" s="10" t="s">
        <v>6293</v>
      </c>
      <c r="D2976" s="11">
        <v>42782.583819444444</v>
      </c>
      <c r="E2976" s="10" t="s">
        <v>479</v>
      </c>
    </row>
    <row r="2977" spans="1:5">
      <c r="A2977" s="11">
        <v>42780</v>
      </c>
      <c r="B2977" s="10" t="s">
        <v>6294</v>
      </c>
      <c r="C2977" s="10" t="s">
        <v>6295</v>
      </c>
      <c r="D2977" s="11">
        <v>42780.94971064815</v>
      </c>
      <c r="E2977" s="10" t="s">
        <v>122</v>
      </c>
    </row>
    <row r="2978" spans="1:5">
      <c r="A2978" s="11">
        <v>42780</v>
      </c>
      <c r="B2978" s="10" t="s">
        <v>6296</v>
      </c>
      <c r="C2978" s="10" t="s">
        <v>6297</v>
      </c>
      <c r="D2978" s="11">
        <v>42780.95171296296</v>
      </c>
      <c r="E2978" s="10" t="s">
        <v>5387</v>
      </c>
    </row>
    <row r="2979" spans="1:5">
      <c r="A2979" s="11">
        <v>42780</v>
      </c>
      <c r="B2979" s="10" t="s">
        <v>6298</v>
      </c>
      <c r="C2979" s="10" t="s">
        <v>6299</v>
      </c>
      <c r="D2979" s="11">
        <v>42782.523726851854</v>
      </c>
      <c r="E2979" s="10" t="s">
        <v>96</v>
      </c>
    </row>
    <row r="2980" spans="1:5">
      <c r="A2980" s="11">
        <v>42780</v>
      </c>
      <c r="B2980" s="10" t="s">
        <v>6300</v>
      </c>
      <c r="C2980" s="10" t="s">
        <v>6301</v>
      </c>
      <c r="D2980" s="11">
        <v>42780.958819444444</v>
      </c>
      <c r="E2980" s="10" t="s">
        <v>218</v>
      </c>
    </row>
    <row r="2981" spans="1:5">
      <c r="A2981" s="11">
        <v>42780</v>
      </c>
      <c r="B2981" s="10" t="s">
        <v>6302</v>
      </c>
      <c r="C2981" s="10" t="s">
        <v>6303</v>
      </c>
      <c r="D2981" s="11">
        <v>42780.959999999999</v>
      </c>
      <c r="E2981" s="10" t="s">
        <v>2554</v>
      </c>
    </row>
    <row r="2982" spans="1:5">
      <c r="A2982" s="11">
        <v>42780</v>
      </c>
      <c r="B2982" s="10" t="s">
        <v>6304</v>
      </c>
      <c r="C2982" s="10" t="s">
        <v>6305</v>
      </c>
      <c r="D2982" s="11">
        <v>42780.971296296295</v>
      </c>
      <c r="E2982" s="10" t="s">
        <v>707</v>
      </c>
    </row>
    <row r="2983" spans="1:5">
      <c r="A2983" s="11">
        <v>42780</v>
      </c>
      <c r="B2983" s="10" t="s">
        <v>6306</v>
      </c>
      <c r="C2983" s="10" t="s">
        <v>6307</v>
      </c>
      <c r="D2983" s="11">
        <v>42780.972812499997</v>
      </c>
      <c r="E2983" s="10" t="s">
        <v>707</v>
      </c>
    </row>
    <row r="2984" spans="1:5">
      <c r="A2984" s="11">
        <v>42780</v>
      </c>
      <c r="B2984" s="10" t="s">
        <v>6308</v>
      </c>
      <c r="C2984" s="10" t="s">
        <v>6309</v>
      </c>
      <c r="D2984" s="11">
        <v>42780.97929398148</v>
      </c>
      <c r="E2984" s="10" t="s">
        <v>902</v>
      </c>
    </row>
    <row r="2985" spans="1:5">
      <c r="A2985" s="11">
        <v>42780</v>
      </c>
      <c r="B2985" s="10" t="s">
        <v>6310</v>
      </c>
      <c r="C2985" s="10" t="s">
        <v>6311</v>
      </c>
      <c r="D2985" s="11">
        <v>42782.522546296299</v>
      </c>
      <c r="E2985" s="10" t="s">
        <v>152</v>
      </c>
    </row>
    <row r="2986" spans="1:5">
      <c r="A2986" s="11">
        <v>42780</v>
      </c>
      <c r="B2986" s="10" t="s">
        <v>6312</v>
      </c>
      <c r="C2986" s="10" t="s">
        <v>6313</v>
      </c>
      <c r="D2986" s="11">
        <v>42782.444432870368</v>
      </c>
      <c r="E2986" s="10" t="s">
        <v>2144</v>
      </c>
    </row>
    <row r="2987" spans="1:5">
      <c r="A2987" s="11">
        <v>42780</v>
      </c>
      <c r="B2987" s="10" t="s">
        <v>6314</v>
      </c>
      <c r="C2987" s="10" t="s">
        <v>6315</v>
      </c>
      <c r="D2987" s="11">
        <v>42780.989861111113</v>
      </c>
      <c r="E2987" s="10" t="s">
        <v>902</v>
      </c>
    </row>
    <row r="2988" spans="1:5">
      <c r="A2988" s="11">
        <v>42780</v>
      </c>
      <c r="B2988" s="10" t="s">
        <v>6316</v>
      </c>
      <c r="C2988" s="10" t="s">
        <v>6317</v>
      </c>
      <c r="D2988" s="11">
        <v>42780.99428240741</v>
      </c>
      <c r="E2988" s="10" t="s">
        <v>2180</v>
      </c>
    </row>
    <row r="2989" spans="1:5">
      <c r="A2989" s="11">
        <v>42782</v>
      </c>
      <c r="B2989" s="10" t="s">
        <v>6318</v>
      </c>
      <c r="C2989" s="10" t="s">
        <v>6319</v>
      </c>
      <c r="D2989" s="11">
        <v>42782.001539351855</v>
      </c>
      <c r="E2989" s="10" t="s">
        <v>977</v>
      </c>
    </row>
    <row r="2990" spans="1:5">
      <c r="A2990" s="11">
        <v>42782</v>
      </c>
      <c r="B2990" s="10" t="s">
        <v>6320</v>
      </c>
      <c r="C2990" s="10" t="s">
        <v>6321</v>
      </c>
      <c r="D2990" s="11">
        <v>42782.632025462961</v>
      </c>
      <c r="E2990" s="10" t="s">
        <v>308</v>
      </c>
    </row>
    <row r="2991" spans="1:5">
      <c r="A2991" s="11">
        <v>42781</v>
      </c>
      <c r="B2991" s="10" t="s">
        <v>6322</v>
      </c>
      <c r="C2991" s="10" t="s">
        <v>6323</v>
      </c>
      <c r="D2991" s="11">
        <v>42781.087685185186</v>
      </c>
      <c r="E2991" s="10" t="s">
        <v>237</v>
      </c>
    </row>
    <row r="2992" spans="1:5">
      <c r="A2992" s="11">
        <v>42781</v>
      </c>
      <c r="B2992" s="10" t="s">
        <v>6324</v>
      </c>
      <c r="C2992" s="10" t="s">
        <v>6325</v>
      </c>
      <c r="D2992" s="11">
        <v>42781.084606481483</v>
      </c>
      <c r="E2992" s="10" t="s">
        <v>2554</v>
      </c>
    </row>
    <row r="2993" spans="1:5">
      <c r="A2993" s="11">
        <v>42781</v>
      </c>
      <c r="B2993" s="10" t="s">
        <v>6326</v>
      </c>
      <c r="C2993" s="10" t="s">
        <v>6327</v>
      </c>
      <c r="D2993" s="11">
        <v>42781.111157407409</v>
      </c>
      <c r="E2993" s="10" t="s">
        <v>946</v>
      </c>
    </row>
    <row r="2994" spans="1:5">
      <c r="A2994" s="11">
        <v>42781</v>
      </c>
      <c r="B2994" s="10" t="s">
        <v>6328</v>
      </c>
      <c r="C2994" s="10" t="s">
        <v>6329</v>
      </c>
      <c r="D2994" s="11">
        <v>42782.658645833333</v>
      </c>
      <c r="E2994" s="10" t="s">
        <v>152</v>
      </c>
    </row>
    <row r="2995" spans="1:5">
      <c r="A2995" s="11">
        <v>42781</v>
      </c>
      <c r="B2995" s="10" t="s">
        <v>6330</v>
      </c>
      <c r="C2995" s="10" t="s">
        <v>6331</v>
      </c>
      <c r="D2995" s="11">
        <v>42781.097060185188</v>
      </c>
      <c r="E2995" s="10" t="s">
        <v>902</v>
      </c>
    </row>
    <row r="2996" spans="1:5">
      <c r="A2996" s="11">
        <v>42781</v>
      </c>
      <c r="B2996" s="10" t="s">
        <v>6332</v>
      </c>
      <c r="C2996" s="10" t="s">
        <v>6333</v>
      </c>
      <c r="D2996" s="11">
        <v>42781.125138888892</v>
      </c>
      <c r="E2996" s="10" t="s">
        <v>122</v>
      </c>
    </row>
    <row r="2997" spans="1:5">
      <c r="A2997" s="11">
        <v>42781</v>
      </c>
      <c r="B2997" s="10" t="s">
        <v>6334</v>
      </c>
      <c r="C2997" s="10" t="s">
        <v>6335</v>
      </c>
      <c r="D2997" s="11">
        <v>42781.140474537038</v>
      </c>
      <c r="E2997" s="10" t="s">
        <v>193</v>
      </c>
    </row>
    <row r="2998" spans="1:5">
      <c r="A2998" s="11">
        <v>42781</v>
      </c>
      <c r="B2998" s="10" t="s">
        <v>6336</v>
      </c>
      <c r="C2998" s="10" t="s">
        <v>6337</v>
      </c>
      <c r="D2998" s="11">
        <v>42781.149363425924</v>
      </c>
      <c r="E2998" s="10" t="s">
        <v>683</v>
      </c>
    </row>
    <row r="2999" spans="1:5">
      <c r="A2999" s="11">
        <v>42781</v>
      </c>
      <c r="B2999" s="10" t="s">
        <v>6338</v>
      </c>
      <c r="C2999" s="10" t="s">
        <v>6339</v>
      </c>
      <c r="D2999" s="11">
        <v>42781.150092592594</v>
      </c>
      <c r="E2999" s="10" t="s">
        <v>237</v>
      </c>
    </row>
    <row r="3000" spans="1:5">
      <c r="A3000" s="11">
        <v>42781</v>
      </c>
      <c r="B3000" s="10" t="s">
        <v>6340</v>
      </c>
      <c r="C3000" s="10" t="s">
        <v>6341</v>
      </c>
      <c r="D3000" s="11">
        <v>42781.150196759256</v>
      </c>
      <c r="E3000" s="10" t="s">
        <v>237</v>
      </c>
    </row>
    <row r="3001" spans="1:5">
      <c r="A3001" s="11">
        <v>42781</v>
      </c>
      <c r="B3001" s="10" t="s">
        <v>6342</v>
      </c>
      <c r="C3001" s="10" t="s">
        <v>6343</v>
      </c>
      <c r="D3001" s="11">
        <v>42781.150335648148</v>
      </c>
      <c r="E3001" s="10" t="s">
        <v>237</v>
      </c>
    </row>
    <row r="3002" spans="1:5">
      <c r="A3002" s="11">
        <v>42781</v>
      </c>
      <c r="B3002" s="10" t="s">
        <v>6344</v>
      </c>
      <c r="C3002" s="10" t="s">
        <v>6345</v>
      </c>
      <c r="D3002" s="11">
        <v>42781.15048611111</v>
      </c>
      <c r="E3002" s="10" t="s">
        <v>237</v>
      </c>
    </row>
    <row r="3003" spans="1:5" ht="21.6">
      <c r="A3003" s="11">
        <v>42781</v>
      </c>
      <c r="B3003" s="10" t="s">
        <v>6346</v>
      </c>
      <c r="C3003" s="10" t="s">
        <v>6347</v>
      </c>
      <c r="D3003" s="11">
        <v>42781.208437499998</v>
      </c>
      <c r="E3003" s="10" t="s">
        <v>966</v>
      </c>
    </row>
    <row r="3004" spans="1:5">
      <c r="A3004" s="11">
        <v>42781</v>
      </c>
      <c r="B3004" s="10" t="s">
        <v>6348</v>
      </c>
      <c r="C3004" s="10" t="s">
        <v>6349</v>
      </c>
      <c r="D3004" s="11">
        <v>42781.235462962963</v>
      </c>
      <c r="E3004" s="10" t="s">
        <v>5026</v>
      </c>
    </row>
    <row r="3005" spans="1:5">
      <c r="A3005" s="11">
        <v>42781</v>
      </c>
      <c r="B3005" s="10" t="s">
        <v>6350</v>
      </c>
      <c r="C3005" s="10" t="s">
        <v>6351</v>
      </c>
      <c r="D3005" s="11">
        <v>42781.246099537035</v>
      </c>
      <c r="E3005" s="10" t="s">
        <v>683</v>
      </c>
    </row>
    <row r="3006" spans="1:5">
      <c r="A3006" s="11">
        <v>42781</v>
      </c>
      <c r="B3006" s="10" t="s">
        <v>6352</v>
      </c>
      <c r="C3006" s="10" t="s">
        <v>6353</v>
      </c>
      <c r="D3006" s="11">
        <v>42781.251203703701</v>
      </c>
      <c r="E3006" s="10" t="s">
        <v>122</v>
      </c>
    </row>
    <row r="3007" spans="1:5">
      <c r="A3007" s="11">
        <v>42781</v>
      </c>
      <c r="B3007" s="10" t="s">
        <v>6354</v>
      </c>
      <c r="C3007" s="10" t="s">
        <v>6355</v>
      </c>
      <c r="D3007" s="11">
        <v>42781.286412037036</v>
      </c>
      <c r="E3007" s="10" t="s">
        <v>422</v>
      </c>
    </row>
    <row r="3008" spans="1:5">
      <c r="A3008" s="11">
        <v>42781</v>
      </c>
      <c r="B3008" s="10" t="s">
        <v>6356</v>
      </c>
      <c r="C3008" s="10" t="s">
        <v>6357</v>
      </c>
      <c r="D3008" s="11">
        <v>42781.29483796296</v>
      </c>
      <c r="E3008" s="10" t="s">
        <v>1319</v>
      </c>
    </row>
    <row r="3009" spans="1:5">
      <c r="A3009" s="11">
        <v>42781</v>
      </c>
      <c r="B3009" s="10" t="s">
        <v>6358</v>
      </c>
      <c r="C3009" s="10" t="s">
        <v>6359</v>
      </c>
      <c r="D3009" s="11">
        <v>42781.295138888891</v>
      </c>
      <c r="E3009" s="10" t="s">
        <v>1319</v>
      </c>
    </row>
    <row r="3010" spans="1:5">
      <c r="A3010" s="11">
        <v>42781</v>
      </c>
      <c r="B3010" s="10" t="s">
        <v>6360</v>
      </c>
      <c r="C3010" s="10" t="s">
        <v>6361</v>
      </c>
      <c r="D3010" s="11">
        <v>42781.310254629629</v>
      </c>
      <c r="E3010" s="10" t="s">
        <v>422</v>
      </c>
    </row>
    <row r="3011" spans="1:5">
      <c r="A3011" s="11">
        <v>42781</v>
      </c>
      <c r="B3011" s="10" t="s">
        <v>6362</v>
      </c>
      <c r="C3011" s="10" t="s">
        <v>6363</v>
      </c>
      <c r="D3011" s="11">
        <v>42781.3125462963</v>
      </c>
      <c r="E3011" s="10" t="s">
        <v>193</v>
      </c>
    </row>
    <row r="3012" spans="1:5">
      <c r="A3012" s="11">
        <v>42781</v>
      </c>
      <c r="B3012" s="10" t="s">
        <v>6364</v>
      </c>
      <c r="C3012" s="10" t="s">
        <v>6365</v>
      </c>
      <c r="D3012" s="11">
        <v>42781.782777777778</v>
      </c>
      <c r="E3012" s="10" t="s">
        <v>2201</v>
      </c>
    </row>
    <row r="3013" spans="1:5">
      <c r="A3013" s="11">
        <v>42781</v>
      </c>
      <c r="B3013" s="10" t="s">
        <v>6366</v>
      </c>
      <c r="C3013" s="10" t="s">
        <v>6367</v>
      </c>
      <c r="D3013" s="11">
        <v>42781.33630787037</v>
      </c>
      <c r="E3013" s="10" t="s">
        <v>320</v>
      </c>
    </row>
    <row r="3014" spans="1:5">
      <c r="A3014" s="11">
        <v>42781</v>
      </c>
      <c r="B3014" s="10" t="s">
        <v>6368</v>
      </c>
      <c r="C3014" s="10" t="s">
        <v>6369</v>
      </c>
      <c r="D3014" s="11">
        <v>42781.874421296299</v>
      </c>
      <c r="E3014" s="10" t="s">
        <v>2742</v>
      </c>
    </row>
    <row r="3015" spans="1:5">
      <c r="A3015" s="11">
        <v>42781</v>
      </c>
      <c r="B3015" s="10" t="s">
        <v>6370</v>
      </c>
      <c r="C3015" s="10" t="s">
        <v>6371</v>
      </c>
      <c r="D3015" s="11">
        <v>42781.337800925925</v>
      </c>
      <c r="E3015" s="10" t="s">
        <v>707</v>
      </c>
    </row>
    <row r="3016" spans="1:5">
      <c r="A3016" s="11">
        <v>42781</v>
      </c>
      <c r="B3016" s="10" t="s">
        <v>6372</v>
      </c>
      <c r="C3016" s="10" t="s">
        <v>6373</v>
      </c>
      <c r="D3016" s="11">
        <v>42781.339317129627</v>
      </c>
      <c r="E3016" s="10" t="s">
        <v>320</v>
      </c>
    </row>
    <row r="3017" spans="1:5">
      <c r="A3017" s="11">
        <v>42781</v>
      </c>
      <c r="B3017" s="10" t="s">
        <v>6374</v>
      </c>
      <c r="C3017" s="10" t="s">
        <v>6375</v>
      </c>
      <c r="D3017" s="11">
        <v>42781.341446759259</v>
      </c>
      <c r="E3017" s="10" t="s">
        <v>240</v>
      </c>
    </row>
    <row r="3018" spans="1:5">
      <c r="A3018" s="11">
        <v>42781</v>
      </c>
      <c r="B3018" s="10" t="s">
        <v>6376</v>
      </c>
      <c r="C3018" s="10" t="s">
        <v>6377</v>
      </c>
      <c r="D3018" s="11">
        <v>42781.344502314816</v>
      </c>
      <c r="E3018" s="10" t="s">
        <v>108</v>
      </c>
    </row>
    <row r="3019" spans="1:5">
      <c r="A3019" s="11">
        <v>42781</v>
      </c>
      <c r="B3019" s="10" t="s">
        <v>6378</v>
      </c>
      <c r="C3019" s="10" t="s">
        <v>6379</v>
      </c>
      <c r="D3019" s="11">
        <v>42781.384120370371</v>
      </c>
      <c r="E3019" s="10" t="s">
        <v>240</v>
      </c>
    </row>
    <row r="3020" spans="1:5">
      <c r="A3020" s="11">
        <v>42781</v>
      </c>
      <c r="B3020" s="10" t="s">
        <v>6380</v>
      </c>
      <c r="C3020" s="10" t="s">
        <v>6381</v>
      </c>
      <c r="D3020" s="11">
        <v>42781.350555555553</v>
      </c>
      <c r="E3020" s="10" t="s">
        <v>240</v>
      </c>
    </row>
    <row r="3021" spans="1:5">
      <c r="A3021" s="11">
        <v>42781</v>
      </c>
      <c r="B3021" s="10" t="s">
        <v>6382</v>
      </c>
      <c r="C3021" s="10" t="s">
        <v>6383</v>
      </c>
      <c r="D3021" s="11">
        <v>42781.352986111109</v>
      </c>
      <c r="E3021" s="10" t="s">
        <v>2742</v>
      </c>
    </row>
    <row r="3022" spans="1:5">
      <c r="A3022" s="11">
        <v>42781</v>
      </c>
      <c r="B3022" s="10" t="s">
        <v>6384</v>
      </c>
      <c r="C3022" s="10" t="s">
        <v>6385</v>
      </c>
      <c r="D3022" s="11">
        <v>42782.384768518517</v>
      </c>
      <c r="E3022" s="10" t="s">
        <v>433</v>
      </c>
    </row>
    <row r="3023" spans="1:5">
      <c r="A3023" s="11">
        <v>42781</v>
      </c>
      <c r="B3023" s="10" t="s">
        <v>6386</v>
      </c>
      <c r="C3023" s="10" t="s">
        <v>6387</v>
      </c>
      <c r="D3023" s="11">
        <v>42781.3669212963</v>
      </c>
      <c r="E3023" s="10" t="s">
        <v>320</v>
      </c>
    </row>
    <row r="3024" spans="1:5">
      <c r="A3024" s="11">
        <v>42781</v>
      </c>
      <c r="B3024" s="10" t="s">
        <v>6388</v>
      </c>
      <c r="C3024" s="10" t="s">
        <v>6389</v>
      </c>
      <c r="D3024" s="11">
        <v>42782.360972222225</v>
      </c>
      <c r="E3024" s="10" t="s">
        <v>1103</v>
      </c>
    </row>
    <row r="3025" spans="1:5">
      <c r="A3025" s="11">
        <v>42781</v>
      </c>
      <c r="B3025" s="10" t="s">
        <v>6390</v>
      </c>
      <c r="C3025" s="10" t="s">
        <v>6391</v>
      </c>
      <c r="D3025" s="11">
        <v>42781.372037037036</v>
      </c>
      <c r="E3025" s="10" t="s">
        <v>215</v>
      </c>
    </row>
    <row r="3026" spans="1:5">
      <c r="A3026" s="11">
        <v>42781</v>
      </c>
      <c r="B3026" s="10" t="s">
        <v>6392</v>
      </c>
      <c r="C3026" s="10" t="s">
        <v>6393</v>
      </c>
      <c r="D3026" s="11">
        <v>42781.373703703706</v>
      </c>
      <c r="E3026" s="10" t="s">
        <v>433</v>
      </c>
    </row>
    <row r="3027" spans="1:5">
      <c r="A3027" s="11">
        <v>42781</v>
      </c>
      <c r="B3027" s="10" t="s">
        <v>6394</v>
      </c>
      <c r="C3027" s="10" t="s">
        <v>6395</v>
      </c>
      <c r="D3027" s="11">
        <v>42782.403784722221</v>
      </c>
      <c r="E3027" s="10" t="s">
        <v>193</v>
      </c>
    </row>
    <row r="3028" spans="1:5">
      <c r="A3028" s="11">
        <v>42781</v>
      </c>
      <c r="B3028" s="10" t="s">
        <v>6396</v>
      </c>
      <c r="C3028" s="10" t="s">
        <v>6397</v>
      </c>
      <c r="D3028" s="11">
        <v>42781.373842592591</v>
      </c>
      <c r="E3028" s="10" t="s">
        <v>373</v>
      </c>
    </row>
    <row r="3029" spans="1:5">
      <c r="A3029" s="11">
        <v>42781</v>
      </c>
      <c r="B3029" s="10" t="s">
        <v>6398</v>
      </c>
      <c r="C3029" s="10" t="s">
        <v>6399</v>
      </c>
      <c r="D3029" s="11">
        <v>42781.37431712963</v>
      </c>
      <c r="E3029" s="10" t="s">
        <v>373</v>
      </c>
    </row>
    <row r="3030" spans="1:5">
      <c r="A3030" s="11">
        <v>42781</v>
      </c>
      <c r="B3030" s="10" t="s">
        <v>6400</v>
      </c>
      <c r="C3030" s="10" t="s">
        <v>6401</v>
      </c>
      <c r="D3030" s="11">
        <v>42781.375081018516</v>
      </c>
      <c r="E3030" s="10" t="s">
        <v>373</v>
      </c>
    </row>
    <row r="3031" spans="1:5">
      <c r="A3031" s="11">
        <v>42781</v>
      </c>
      <c r="B3031" s="10" t="s">
        <v>6402</v>
      </c>
      <c r="C3031" s="10" t="s">
        <v>6403</v>
      </c>
      <c r="D3031" s="11">
        <v>42781.375289351854</v>
      </c>
      <c r="E3031" s="10" t="s">
        <v>308</v>
      </c>
    </row>
    <row r="3032" spans="1:5">
      <c r="A3032" s="11">
        <v>42781</v>
      </c>
      <c r="B3032" s="10" t="s">
        <v>6404</v>
      </c>
      <c r="C3032" s="10" t="s">
        <v>6405</v>
      </c>
      <c r="D3032" s="11">
        <v>42781.429224537038</v>
      </c>
      <c r="E3032" s="10" t="s">
        <v>373</v>
      </c>
    </row>
    <row r="3033" spans="1:5" ht="21.6">
      <c r="A3033" s="11">
        <v>42781</v>
      </c>
      <c r="B3033" s="10" t="s">
        <v>6406</v>
      </c>
      <c r="C3033" s="10" t="s">
        <v>6407</v>
      </c>
      <c r="D3033" s="11">
        <v>42781.38</v>
      </c>
      <c r="E3033" s="10" t="s">
        <v>966</v>
      </c>
    </row>
    <row r="3034" spans="1:5">
      <c r="A3034" s="11">
        <v>42781</v>
      </c>
      <c r="B3034" s="10" t="s">
        <v>6408</v>
      </c>
      <c r="C3034" s="10" t="s">
        <v>6409</v>
      </c>
      <c r="D3034" s="11">
        <v>42781.38045138889</v>
      </c>
      <c r="E3034" s="10" t="s">
        <v>2442</v>
      </c>
    </row>
    <row r="3035" spans="1:5">
      <c r="A3035" s="11">
        <v>42781</v>
      </c>
      <c r="B3035" s="10" t="s">
        <v>6410</v>
      </c>
      <c r="C3035" s="10" t="s">
        <v>6411</v>
      </c>
      <c r="D3035" s="11">
        <v>42781.386724537035</v>
      </c>
      <c r="E3035" s="10" t="s">
        <v>373</v>
      </c>
    </row>
    <row r="3036" spans="1:5">
      <c r="A3036" s="11">
        <v>42781</v>
      </c>
      <c r="B3036" s="10" t="s">
        <v>6412</v>
      </c>
      <c r="C3036" s="10" t="s">
        <v>6413</v>
      </c>
      <c r="D3036" s="11">
        <v>42781.386724537035</v>
      </c>
      <c r="E3036" s="10" t="s">
        <v>237</v>
      </c>
    </row>
    <row r="3037" spans="1:5">
      <c r="A3037" s="11">
        <v>42781</v>
      </c>
      <c r="B3037" s="10" t="s">
        <v>6414</v>
      </c>
      <c r="C3037" s="10" t="s">
        <v>6415</v>
      </c>
      <c r="D3037" s="11">
        <v>42781.837881944448</v>
      </c>
      <c r="E3037" s="10" t="s">
        <v>96</v>
      </c>
    </row>
    <row r="3038" spans="1:5">
      <c r="A3038" s="11">
        <v>42781</v>
      </c>
      <c r="B3038" s="10" t="s">
        <v>6416</v>
      </c>
      <c r="C3038" s="10" t="s">
        <v>6417</v>
      </c>
      <c r="D3038" s="11">
        <v>42781.388877314814</v>
      </c>
      <c r="E3038" s="10" t="s">
        <v>218</v>
      </c>
    </row>
    <row r="3039" spans="1:5">
      <c r="A3039" s="11">
        <v>42781</v>
      </c>
      <c r="B3039" s="10" t="s">
        <v>6418</v>
      </c>
      <c r="C3039" s="10" t="s">
        <v>6419</v>
      </c>
      <c r="D3039" s="11">
        <v>42781.395949074074</v>
      </c>
      <c r="E3039" s="10" t="s">
        <v>240</v>
      </c>
    </row>
    <row r="3040" spans="1:5">
      <c r="A3040" s="11">
        <v>42781</v>
      </c>
      <c r="B3040" s="10" t="s">
        <v>6420</v>
      </c>
      <c r="C3040" s="10" t="s">
        <v>6421</v>
      </c>
      <c r="D3040" s="11">
        <v>42781.396006944444</v>
      </c>
      <c r="E3040" s="10" t="s">
        <v>240</v>
      </c>
    </row>
    <row r="3041" spans="1:5">
      <c r="A3041" s="11">
        <v>42781</v>
      </c>
      <c r="B3041" s="10" t="s">
        <v>6422</v>
      </c>
      <c r="C3041" s="10" t="s">
        <v>6423</v>
      </c>
      <c r="D3041" s="11">
        <v>42781.396921296298</v>
      </c>
      <c r="E3041" s="10" t="s">
        <v>2515</v>
      </c>
    </row>
    <row r="3042" spans="1:5">
      <c r="A3042" s="11">
        <v>42781</v>
      </c>
      <c r="B3042" s="10" t="s">
        <v>6424</v>
      </c>
      <c r="C3042" s="10" t="s">
        <v>6425</v>
      </c>
      <c r="D3042" s="11">
        <v>42782.41337962963</v>
      </c>
      <c r="E3042" s="10" t="s">
        <v>320</v>
      </c>
    </row>
    <row r="3043" spans="1:5">
      <c r="A3043" s="11">
        <v>42781</v>
      </c>
      <c r="B3043" s="10" t="s">
        <v>6426</v>
      </c>
      <c r="C3043" s="10" t="s">
        <v>6427</v>
      </c>
      <c r="D3043" s="11">
        <v>42781.401898148149</v>
      </c>
      <c r="E3043" s="10" t="s">
        <v>373</v>
      </c>
    </row>
    <row r="3044" spans="1:5">
      <c r="A3044" s="11">
        <v>42781</v>
      </c>
      <c r="B3044" s="10" t="s">
        <v>6428</v>
      </c>
      <c r="C3044" s="10" t="s">
        <v>6429</v>
      </c>
      <c r="D3044" s="11">
        <v>42781.402141203704</v>
      </c>
      <c r="E3044" s="10" t="s">
        <v>218</v>
      </c>
    </row>
    <row r="3045" spans="1:5">
      <c r="A3045" s="11">
        <v>42781</v>
      </c>
      <c r="B3045" s="10" t="s">
        <v>6430</v>
      </c>
      <c r="C3045" s="10" t="s">
        <v>6431</v>
      </c>
      <c r="D3045" s="11">
        <v>42781.40215277778</v>
      </c>
      <c r="E3045" s="10" t="s">
        <v>373</v>
      </c>
    </row>
    <row r="3046" spans="1:5">
      <c r="A3046" s="11">
        <v>42781</v>
      </c>
      <c r="B3046" s="10" t="s">
        <v>6432</v>
      </c>
      <c r="C3046" s="10" t="s">
        <v>6433</v>
      </c>
      <c r="D3046" s="11">
        <v>42781.404861111114</v>
      </c>
      <c r="E3046" s="10" t="s">
        <v>656</v>
      </c>
    </row>
    <row r="3047" spans="1:5">
      <c r="A3047" s="11">
        <v>42781</v>
      </c>
      <c r="B3047" s="10" t="s">
        <v>6434</v>
      </c>
      <c r="C3047" s="10" t="s">
        <v>6435</v>
      </c>
      <c r="D3047" s="11">
        <v>42781.404988425929</v>
      </c>
      <c r="E3047" s="10" t="s">
        <v>4898</v>
      </c>
    </row>
    <row r="3048" spans="1:5">
      <c r="A3048" s="11">
        <v>42781</v>
      </c>
      <c r="B3048" s="10" t="s">
        <v>6436</v>
      </c>
      <c r="C3048" s="10" t="s">
        <v>6437</v>
      </c>
      <c r="D3048" s="11">
        <v>42781.405057870368</v>
      </c>
      <c r="E3048" s="10" t="s">
        <v>656</v>
      </c>
    </row>
    <row r="3049" spans="1:5">
      <c r="A3049" s="11">
        <v>42781</v>
      </c>
      <c r="B3049" s="10" t="s">
        <v>6438</v>
      </c>
      <c r="C3049" s="10" t="s">
        <v>6439</v>
      </c>
      <c r="D3049" s="11">
        <v>42781.494745370372</v>
      </c>
      <c r="E3049" s="10" t="s">
        <v>653</v>
      </c>
    </row>
    <row r="3050" spans="1:5">
      <c r="A3050" s="11">
        <v>42781</v>
      </c>
      <c r="B3050" s="10" t="s">
        <v>6440</v>
      </c>
      <c r="C3050" s="10" t="s">
        <v>6441</v>
      </c>
      <c r="D3050" s="11">
        <v>42781.406701388885</v>
      </c>
      <c r="E3050" s="10" t="s">
        <v>1190</v>
      </c>
    </row>
    <row r="3051" spans="1:5">
      <c r="A3051" s="11">
        <v>42781</v>
      </c>
      <c r="B3051" s="10" t="s">
        <v>6442</v>
      </c>
      <c r="C3051" s="10" t="s">
        <v>6443</v>
      </c>
      <c r="D3051" s="11">
        <v>42781.410358796296</v>
      </c>
      <c r="E3051" s="10" t="s">
        <v>433</v>
      </c>
    </row>
    <row r="3052" spans="1:5">
      <c r="A3052" s="11">
        <v>42781</v>
      </c>
      <c r="B3052" s="10" t="s">
        <v>6444</v>
      </c>
      <c r="C3052" s="10" t="s">
        <v>6445</v>
      </c>
      <c r="D3052" s="11">
        <v>42781.410810185182</v>
      </c>
      <c r="E3052" s="10" t="s">
        <v>122</v>
      </c>
    </row>
    <row r="3053" spans="1:5">
      <c r="A3053" s="11">
        <v>42781</v>
      </c>
      <c r="B3053" s="10" t="s">
        <v>6446</v>
      </c>
      <c r="C3053" s="10" t="s">
        <v>6447</v>
      </c>
      <c r="D3053" s="11">
        <v>42781.413171296299</v>
      </c>
      <c r="E3053" s="10" t="s">
        <v>240</v>
      </c>
    </row>
    <row r="3054" spans="1:5">
      <c r="A3054" s="11">
        <v>42781</v>
      </c>
      <c r="B3054" s="10" t="s">
        <v>6448</v>
      </c>
      <c r="C3054" s="10" t="s">
        <v>6449</v>
      </c>
      <c r="D3054" s="11">
        <v>42781.414849537039</v>
      </c>
      <c r="E3054" s="10" t="s">
        <v>373</v>
      </c>
    </row>
    <row r="3055" spans="1:5">
      <c r="A3055" s="11">
        <v>42781</v>
      </c>
      <c r="B3055" s="10" t="s">
        <v>6450</v>
      </c>
      <c r="C3055" s="10" t="s">
        <v>6451</v>
      </c>
      <c r="D3055" s="11">
        <v>42782.569861111115</v>
      </c>
      <c r="E3055" s="10" t="s">
        <v>292</v>
      </c>
    </row>
    <row r="3056" spans="1:5">
      <c r="A3056" s="11">
        <v>42781</v>
      </c>
      <c r="B3056" s="10" t="s">
        <v>6452</v>
      </c>
      <c r="C3056" s="10" t="s">
        <v>6453</v>
      </c>
      <c r="D3056" s="11">
        <v>42781.415266203701</v>
      </c>
      <c r="E3056" s="10" t="s">
        <v>380</v>
      </c>
    </row>
    <row r="3057" spans="1:5">
      <c r="A3057" s="11">
        <v>42781</v>
      </c>
      <c r="B3057" s="10" t="s">
        <v>6454</v>
      </c>
      <c r="C3057" s="10" t="s">
        <v>6455</v>
      </c>
      <c r="D3057" s="11">
        <v>42781.415439814817</v>
      </c>
      <c r="E3057" s="10" t="s">
        <v>178</v>
      </c>
    </row>
    <row r="3058" spans="1:5">
      <c r="A3058" s="11">
        <v>42781</v>
      </c>
      <c r="B3058" s="10" t="s">
        <v>6456</v>
      </c>
      <c r="C3058" s="10" t="s">
        <v>6457</v>
      </c>
      <c r="D3058" s="11">
        <v>42781.415682870371</v>
      </c>
      <c r="E3058" s="10" t="s">
        <v>2201</v>
      </c>
    </row>
    <row r="3059" spans="1:5">
      <c r="A3059" s="11">
        <v>42781</v>
      </c>
      <c r="B3059" s="10" t="s">
        <v>6458</v>
      </c>
      <c r="C3059" s="10" t="s">
        <v>6459</v>
      </c>
      <c r="D3059" s="11">
        <v>42781.770057870373</v>
      </c>
      <c r="E3059" s="10" t="s">
        <v>125</v>
      </c>
    </row>
    <row r="3060" spans="1:5">
      <c r="A3060" s="11">
        <v>42781</v>
      </c>
      <c r="B3060" s="10" t="s">
        <v>6460</v>
      </c>
      <c r="C3060" s="10" t="s">
        <v>6461</v>
      </c>
      <c r="D3060" s="11">
        <v>42781.422256944446</v>
      </c>
      <c r="E3060" s="10" t="s">
        <v>99</v>
      </c>
    </row>
    <row r="3061" spans="1:5">
      <c r="A3061" s="11">
        <v>42781</v>
      </c>
      <c r="B3061" s="10" t="s">
        <v>6462</v>
      </c>
      <c r="C3061" s="10" t="s">
        <v>6463</v>
      </c>
      <c r="D3061" s="11">
        <v>42781.424074074072</v>
      </c>
      <c r="E3061" s="10" t="s">
        <v>656</v>
      </c>
    </row>
    <row r="3062" spans="1:5">
      <c r="A3062" s="11">
        <v>42781</v>
      </c>
      <c r="B3062" s="10" t="s">
        <v>6464</v>
      </c>
      <c r="C3062" s="10" t="s">
        <v>6465</v>
      </c>
      <c r="D3062" s="11">
        <v>42782.662222222221</v>
      </c>
      <c r="E3062" s="10" t="s">
        <v>2169</v>
      </c>
    </row>
    <row r="3063" spans="1:5">
      <c r="A3063" s="11">
        <v>42781</v>
      </c>
      <c r="B3063" s="10" t="s">
        <v>6466</v>
      </c>
      <c r="C3063" s="10" t="s">
        <v>6467</v>
      </c>
      <c r="D3063" s="11">
        <v>42781.428078703706</v>
      </c>
      <c r="E3063" s="10" t="s">
        <v>373</v>
      </c>
    </row>
    <row r="3064" spans="1:5">
      <c r="A3064" s="11">
        <v>42781</v>
      </c>
      <c r="B3064" s="10" t="s">
        <v>6468</v>
      </c>
      <c r="C3064" s="10" t="s">
        <v>6469</v>
      </c>
      <c r="D3064" s="11">
        <v>42781.428842592592</v>
      </c>
      <c r="E3064" s="10" t="s">
        <v>683</v>
      </c>
    </row>
    <row r="3065" spans="1:5">
      <c r="A3065" s="11">
        <v>42781</v>
      </c>
      <c r="B3065" s="10" t="s">
        <v>6470</v>
      </c>
      <c r="C3065" s="10" t="s">
        <v>6471</v>
      </c>
      <c r="D3065" s="11">
        <v>42781.429259259261</v>
      </c>
      <c r="E3065" s="10" t="s">
        <v>122</v>
      </c>
    </row>
    <row r="3066" spans="1:5">
      <c r="A3066" s="11">
        <v>42781</v>
      </c>
      <c r="B3066" s="10" t="s">
        <v>6472</v>
      </c>
      <c r="C3066" s="10" t="s">
        <v>6473</v>
      </c>
      <c r="D3066" s="11">
        <v>42781.43105324074</v>
      </c>
      <c r="E3066" s="10" t="s">
        <v>122</v>
      </c>
    </row>
    <row r="3067" spans="1:5">
      <c r="A3067" s="11">
        <v>42781</v>
      </c>
      <c r="B3067" s="10" t="s">
        <v>6474</v>
      </c>
      <c r="C3067" s="10" t="s">
        <v>6475</v>
      </c>
      <c r="D3067" s="11">
        <v>42781.431516203702</v>
      </c>
      <c r="E3067" s="10" t="s">
        <v>433</v>
      </c>
    </row>
    <row r="3068" spans="1:5">
      <c r="A3068" s="11">
        <v>42781</v>
      </c>
      <c r="B3068" s="10" t="s">
        <v>6476</v>
      </c>
      <c r="C3068" s="10" t="s">
        <v>6477</v>
      </c>
      <c r="D3068" s="11">
        <v>42781.431655092594</v>
      </c>
      <c r="E3068" s="10" t="s">
        <v>656</v>
      </c>
    </row>
    <row r="3069" spans="1:5">
      <c r="A3069" s="11">
        <v>42781</v>
      </c>
      <c r="B3069" s="10" t="s">
        <v>6478</v>
      </c>
      <c r="C3069" s="10" t="s">
        <v>6479</v>
      </c>
      <c r="D3069" s="11">
        <v>42781.431770833333</v>
      </c>
      <c r="E3069" s="10" t="s">
        <v>178</v>
      </c>
    </row>
    <row r="3070" spans="1:5">
      <c r="A3070" s="11">
        <v>42781</v>
      </c>
      <c r="B3070" s="10" t="s">
        <v>6480</v>
      </c>
      <c r="C3070" s="10" t="s">
        <v>6481</v>
      </c>
      <c r="D3070" s="11">
        <v>42781.568599537037</v>
      </c>
      <c r="E3070" s="10" t="s">
        <v>2865</v>
      </c>
    </row>
    <row r="3071" spans="1:5">
      <c r="A3071" s="11">
        <v>42781</v>
      </c>
      <c r="B3071" s="10" t="s">
        <v>6482</v>
      </c>
      <c r="C3071" s="10" t="s">
        <v>6483</v>
      </c>
      <c r="D3071" s="11">
        <v>42781.43304398148</v>
      </c>
      <c r="E3071" s="10" t="s">
        <v>240</v>
      </c>
    </row>
    <row r="3072" spans="1:5">
      <c r="A3072" s="11">
        <v>42781</v>
      </c>
      <c r="B3072" s="10" t="s">
        <v>6484</v>
      </c>
      <c r="C3072" s="10" t="s">
        <v>6485</v>
      </c>
      <c r="D3072" s="11">
        <v>42781.836157407408</v>
      </c>
      <c r="E3072" s="10" t="s">
        <v>152</v>
      </c>
    </row>
    <row r="3073" spans="1:5">
      <c r="A3073" s="11">
        <v>42781</v>
      </c>
      <c r="B3073" s="10" t="s">
        <v>6486</v>
      </c>
      <c r="C3073" s="10" t="s">
        <v>6487</v>
      </c>
      <c r="D3073" s="11">
        <v>42781.436712962961</v>
      </c>
      <c r="E3073" s="10" t="s">
        <v>433</v>
      </c>
    </row>
    <row r="3074" spans="1:5">
      <c r="A3074" s="11">
        <v>42781</v>
      </c>
      <c r="B3074" s="10" t="s">
        <v>6488</v>
      </c>
      <c r="C3074" s="10" t="s">
        <v>6489</v>
      </c>
      <c r="D3074" s="11">
        <v>42781.437569444446</v>
      </c>
      <c r="E3074" s="10" t="s">
        <v>122</v>
      </c>
    </row>
    <row r="3075" spans="1:5">
      <c r="A3075" s="11">
        <v>42781</v>
      </c>
      <c r="B3075" s="10" t="s">
        <v>6490</v>
      </c>
      <c r="C3075" s="10" t="s">
        <v>6491</v>
      </c>
      <c r="D3075" s="11">
        <v>42781.438668981478</v>
      </c>
      <c r="E3075" s="10" t="s">
        <v>707</v>
      </c>
    </row>
    <row r="3076" spans="1:5">
      <c r="A3076" s="11">
        <v>42781</v>
      </c>
      <c r="B3076" s="10" t="s">
        <v>6492</v>
      </c>
      <c r="C3076" s="10" t="s">
        <v>6493</v>
      </c>
      <c r="D3076" s="11">
        <v>42781.43917824074</v>
      </c>
      <c r="E3076" s="10" t="s">
        <v>122</v>
      </c>
    </row>
    <row r="3077" spans="1:5">
      <c r="A3077" s="11">
        <v>42781</v>
      </c>
      <c r="B3077" s="10" t="s">
        <v>6494</v>
      </c>
      <c r="C3077" s="10" t="s">
        <v>6495</v>
      </c>
      <c r="D3077" s="11">
        <v>42781.440381944441</v>
      </c>
      <c r="E3077" s="10" t="s">
        <v>373</v>
      </c>
    </row>
    <row r="3078" spans="1:5">
      <c r="A3078" s="11">
        <v>42781</v>
      </c>
      <c r="B3078" s="10" t="s">
        <v>6496</v>
      </c>
      <c r="C3078" s="10" t="s">
        <v>6497</v>
      </c>
      <c r="D3078" s="11">
        <v>42781.441712962966</v>
      </c>
      <c r="E3078" s="10" t="s">
        <v>433</v>
      </c>
    </row>
    <row r="3079" spans="1:5">
      <c r="A3079" s="11">
        <v>42781</v>
      </c>
      <c r="B3079" s="10" t="s">
        <v>6498</v>
      </c>
      <c r="C3079" s="10" t="s">
        <v>6499</v>
      </c>
      <c r="D3079" s="11">
        <v>42781.679861111108</v>
      </c>
      <c r="E3079" s="10" t="s">
        <v>2180</v>
      </c>
    </row>
    <row r="3080" spans="1:5">
      <c r="A3080" s="11">
        <v>42781</v>
      </c>
      <c r="B3080" s="10" t="s">
        <v>6500</v>
      </c>
      <c r="C3080" s="10" t="s">
        <v>6501</v>
      </c>
      <c r="D3080" s="11">
        <v>42781.442881944444</v>
      </c>
      <c r="E3080" s="10" t="s">
        <v>292</v>
      </c>
    </row>
    <row r="3081" spans="1:5">
      <c r="A3081" s="11">
        <v>42781</v>
      </c>
      <c r="B3081" s="10" t="s">
        <v>6502</v>
      </c>
      <c r="C3081" s="10" t="s">
        <v>6503</v>
      </c>
      <c r="D3081" s="11">
        <v>42781.444722222222</v>
      </c>
      <c r="E3081" s="10" t="s">
        <v>218</v>
      </c>
    </row>
    <row r="3082" spans="1:5" ht="21.6">
      <c r="A3082" s="11">
        <v>42781</v>
      </c>
      <c r="B3082" s="10" t="s">
        <v>6504</v>
      </c>
      <c r="C3082" s="10" t="s">
        <v>6505</v>
      </c>
      <c r="D3082" s="11">
        <v>42781.445034722223</v>
      </c>
      <c r="E3082" s="10" t="s">
        <v>1316</v>
      </c>
    </row>
    <row r="3083" spans="1:5">
      <c r="A3083" s="11">
        <v>42781</v>
      </c>
      <c r="B3083" s="10" t="s">
        <v>6506</v>
      </c>
      <c r="C3083" s="10" t="s">
        <v>6507</v>
      </c>
      <c r="D3083" s="11">
        <v>42781.445567129631</v>
      </c>
      <c r="E3083" s="10" t="s">
        <v>373</v>
      </c>
    </row>
    <row r="3084" spans="1:5">
      <c r="A3084" s="11">
        <v>42781</v>
      </c>
      <c r="B3084" s="10" t="s">
        <v>6508</v>
      </c>
      <c r="C3084" s="10" t="s">
        <v>6509</v>
      </c>
      <c r="D3084" s="11">
        <v>42781.445613425924</v>
      </c>
      <c r="E3084" s="10" t="s">
        <v>433</v>
      </c>
    </row>
    <row r="3085" spans="1:5">
      <c r="A3085" s="11">
        <v>42781</v>
      </c>
      <c r="B3085" s="10" t="s">
        <v>6510</v>
      </c>
      <c r="C3085" s="10" t="s">
        <v>6511</v>
      </c>
      <c r="D3085" s="11">
        <v>42781.445856481485</v>
      </c>
      <c r="E3085" s="10" t="s">
        <v>902</v>
      </c>
    </row>
    <row r="3086" spans="1:5">
      <c r="A3086" s="11">
        <v>42781</v>
      </c>
      <c r="B3086" s="10" t="s">
        <v>6512</v>
      </c>
      <c r="C3086" s="10" t="s">
        <v>6513</v>
      </c>
      <c r="D3086" s="11">
        <v>42781.44599537037</v>
      </c>
      <c r="E3086" s="10" t="s">
        <v>152</v>
      </c>
    </row>
    <row r="3087" spans="1:5">
      <c r="A3087" s="11">
        <v>42781</v>
      </c>
      <c r="B3087" s="10" t="s">
        <v>6514</v>
      </c>
      <c r="C3087" s="10" t="s">
        <v>6515</v>
      </c>
      <c r="D3087" s="11">
        <v>42781.446331018517</v>
      </c>
      <c r="E3087" s="10" t="s">
        <v>373</v>
      </c>
    </row>
    <row r="3088" spans="1:5">
      <c r="A3088" s="11">
        <v>42781</v>
      </c>
      <c r="B3088" s="10" t="s">
        <v>6516</v>
      </c>
      <c r="C3088" s="10" t="s">
        <v>6517</v>
      </c>
      <c r="D3088" s="11">
        <v>42781.448125000003</v>
      </c>
      <c r="E3088" s="10" t="s">
        <v>1696</v>
      </c>
    </row>
    <row r="3089" spans="1:5">
      <c r="A3089" s="11">
        <v>42781</v>
      </c>
      <c r="B3089" s="10" t="s">
        <v>6518</v>
      </c>
      <c r="C3089" s="10" t="s">
        <v>6519</v>
      </c>
      <c r="D3089" s="11">
        <v>42781.578657407408</v>
      </c>
      <c r="E3089" s="10" t="s">
        <v>2515</v>
      </c>
    </row>
    <row r="3090" spans="1:5">
      <c r="A3090" s="11">
        <v>42781</v>
      </c>
      <c r="B3090" s="10" t="s">
        <v>6520</v>
      </c>
      <c r="C3090" s="10" t="s">
        <v>6521</v>
      </c>
      <c r="D3090" s="11">
        <v>42781.452905092592</v>
      </c>
      <c r="E3090" s="10" t="s">
        <v>373</v>
      </c>
    </row>
    <row r="3091" spans="1:5">
      <c r="A3091" s="11">
        <v>42781</v>
      </c>
      <c r="B3091" s="10" t="s">
        <v>6522</v>
      </c>
      <c r="C3091" s="10" t="s">
        <v>6523</v>
      </c>
      <c r="D3091" s="11">
        <v>42781.454004629632</v>
      </c>
      <c r="E3091" s="10" t="s">
        <v>218</v>
      </c>
    </row>
    <row r="3092" spans="1:5">
      <c r="A3092" s="11">
        <v>42781</v>
      </c>
      <c r="B3092" s="10" t="s">
        <v>6524</v>
      </c>
      <c r="C3092" s="10" t="s">
        <v>6525</v>
      </c>
      <c r="D3092" s="11">
        <v>42781.454895833333</v>
      </c>
      <c r="E3092" s="10" t="s">
        <v>122</v>
      </c>
    </row>
    <row r="3093" spans="1:5">
      <c r="A3093" s="11">
        <v>42781</v>
      </c>
      <c r="B3093" s="10" t="s">
        <v>6526</v>
      </c>
      <c r="C3093" s="10" t="s">
        <v>6527</v>
      </c>
      <c r="D3093" s="11">
        <v>42781.454930555556</v>
      </c>
      <c r="E3093" s="10" t="s">
        <v>380</v>
      </c>
    </row>
    <row r="3094" spans="1:5">
      <c r="A3094" s="11">
        <v>42781</v>
      </c>
      <c r="B3094" s="10" t="s">
        <v>6528</v>
      </c>
      <c r="C3094" s="10" t="s">
        <v>6529</v>
      </c>
      <c r="D3094" s="11">
        <v>42781.455474537041</v>
      </c>
      <c r="E3094" s="10" t="s">
        <v>240</v>
      </c>
    </row>
    <row r="3095" spans="1:5">
      <c r="A3095" s="11">
        <v>42781</v>
      </c>
      <c r="B3095" s="10" t="s">
        <v>6530</v>
      </c>
      <c r="C3095" s="10" t="s">
        <v>6531</v>
      </c>
      <c r="D3095" s="11">
        <v>42781.456041666665</v>
      </c>
      <c r="E3095" s="10" t="s">
        <v>373</v>
      </c>
    </row>
    <row r="3096" spans="1:5">
      <c r="A3096" s="11">
        <v>42781</v>
      </c>
      <c r="B3096" s="10" t="s">
        <v>6532</v>
      </c>
      <c r="C3096" s="10" t="s">
        <v>6533</v>
      </c>
      <c r="D3096" s="11">
        <v>42781.457604166666</v>
      </c>
      <c r="E3096" s="10" t="s">
        <v>433</v>
      </c>
    </row>
    <row r="3097" spans="1:5">
      <c r="A3097" s="11">
        <v>42781</v>
      </c>
      <c r="B3097" s="10" t="s">
        <v>6534</v>
      </c>
      <c r="C3097" s="10" t="s">
        <v>6535</v>
      </c>
      <c r="D3097" s="11">
        <v>42781.459201388891</v>
      </c>
      <c r="E3097" s="10" t="s">
        <v>237</v>
      </c>
    </row>
    <row r="3098" spans="1:5" ht="21.6">
      <c r="A3098" s="11">
        <v>42781</v>
      </c>
      <c r="B3098" s="10" t="s">
        <v>6536</v>
      </c>
      <c r="C3098" s="10" t="s">
        <v>6537</v>
      </c>
      <c r="D3098" s="11">
        <v>42781.459652777776</v>
      </c>
      <c r="E3098" s="10" t="s">
        <v>2299</v>
      </c>
    </row>
    <row r="3099" spans="1:5">
      <c r="A3099" s="11">
        <v>42781</v>
      </c>
      <c r="B3099" s="10" t="s">
        <v>6538</v>
      </c>
      <c r="C3099" s="10" t="s">
        <v>6539</v>
      </c>
      <c r="D3099" s="11">
        <v>42781.459861111114</v>
      </c>
      <c r="E3099" s="10" t="s">
        <v>218</v>
      </c>
    </row>
    <row r="3100" spans="1:5">
      <c r="A3100" s="11">
        <v>42781</v>
      </c>
      <c r="B3100" s="10" t="s">
        <v>6540</v>
      </c>
      <c r="C3100" s="10" t="s">
        <v>6541</v>
      </c>
      <c r="D3100" s="11">
        <v>42781.460115740738</v>
      </c>
      <c r="E3100" s="10" t="s">
        <v>240</v>
      </c>
    </row>
    <row r="3101" spans="1:5">
      <c r="A3101" s="11">
        <v>42781</v>
      </c>
      <c r="B3101" s="10" t="s">
        <v>6542</v>
      </c>
      <c r="C3101" s="10" t="s">
        <v>6543</v>
      </c>
      <c r="D3101" s="11">
        <v>42781.460347222222</v>
      </c>
      <c r="E3101" s="10" t="s">
        <v>240</v>
      </c>
    </row>
    <row r="3102" spans="1:5">
      <c r="A3102" s="11">
        <v>42781</v>
      </c>
      <c r="B3102" s="10" t="s">
        <v>6544</v>
      </c>
      <c r="C3102" s="10" t="s">
        <v>6545</v>
      </c>
      <c r="D3102" s="11">
        <v>42781.461284722223</v>
      </c>
      <c r="E3102" s="10" t="s">
        <v>433</v>
      </c>
    </row>
    <row r="3103" spans="1:5">
      <c r="A3103" s="11">
        <v>42781</v>
      </c>
      <c r="B3103" s="10" t="s">
        <v>6546</v>
      </c>
      <c r="C3103" s="10" t="s">
        <v>6547</v>
      </c>
      <c r="D3103" s="11">
        <v>42781.461400462962</v>
      </c>
      <c r="E3103" s="10" t="s">
        <v>683</v>
      </c>
    </row>
    <row r="3104" spans="1:5">
      <c r="A3104" s="11">
        <v>42781</v>
      </c>
      <c r="B3104" s="10" t="s">
        <v>6548</v>
      </c>
      <c r="C3104" s="10" t="s">
        <v>6549</v>
      </c>
      <c r="D3104" s="11">
        <v>42781.461631944447</v>
      </c>
      <c r="E3104" s="10" t="s">
        <v>433</v>
      </c>
    </row>
    <row r="3105" spans="1:5">
      <c r="A3105" s="11">
        <v>42781</v>
      </c>
      <c r="B3105" s="10" t="s">
        <v>6550</v>
      </c>
      <c r="C3105" s="10" t="s">
        <v>6551</v>
      </c>
      <c r="D3105" s="11">
        <v>42781.649351851855</v>
      </c>
      <c r="E3105" s="10" t="s">
        <v>433</v>
      </c>
    </row>
    <row r="3106" spans="1:5">
      <c r="A3106" s="11">
        <v>42781</v>
      </c>
      <c r="B3106" s="10" t="s">
        <v>6552</v>
      </c>
      <c r="C3106" s="10" t="s">
        <v>6553</v>
      </c>
      <c r="D3106" s="11">
        <v>42781.463460648149</v>
      </c>
      <c r="E3106" s="10" t="s">
        <v>1361</v>
      </c>
    </row>
    <row r="3107" spans="1:5">
      <c r="A3107" s="11">
        <v>42781</v>
      </c>
      <c r="B3107" s="10" t="s">
        <v>6554</v>
      </c>
      <c r="C3107" s="10" t="s">
        <v>6555</v>
      </c>
      <c r="D3107" s="11">
        <v>42781.465138888889</v>
      </c>
      <c r="E3107" s="10" t="s">
        <v>215</v>
      </c>
    </row>
    <row r="3108" spans="1:5">
      <c r="A3108" s="11">
        <v>42781</v>
      </c>
      <c r="B3108" s="10" t="s">
        <v>6556</v>
      </c>
      <c r="C3108" s="10" t="s">
        <v>6557</v>
      </c>
      <c r="D3108" s="11">
        <v>42781.465439814812</v>
      </c>
      <c r="E3108" s="10" t="s">
        <v>2515</v>
      </c>
    </row>
    <row r="3109" spans="1:5">
      <c r="A3109" s="11">
        <v>42781</v>
      </c>
      <c r="B3109" s="10" t="s">
        <v>6558</v>
      </c>
      <c r="C3109" s="10" t="s">
        <v>6559</v>
      </c>
      <c r="D3109" s="11">
        <v>42781.465740740743</v>
      </c>
      <c r="E3109" s="10" t="s">
        <v>2515</v>
      </c>
    </row>
    <row r="3110" spans="1:5">
      <c r="A3110" s="11">
        <v>42781</v>
      </c>
      <c r="B3110" s="10" t="s">
        <v>6560</v>
      </c>
      <c r="C3110" s="10" t="s">
        <v>6561</v>
      </c>
      <c r="D3110" s="11">
        <v>42781.466215277775</v>
      </c>
      <c r="E3110" s="10" t="s">
        <v>433</v>
      </c>
    </row>
    <row r="3111" spans="1:5">
      <c r="A3111" s="11">
        <v>42781</v>
      </c>
      <c r="B3111" s="10" t="s">
        <v>6562</v>
      </c>
      <c r="C3111" s="10" t="s">
        <v>6563</v>
      </c>
      <c r="D3111" s="11">
        <v>42781.468148148146</v>
      </c>
      <c r="E3111" s="10" t="s">
        <v>320</v>
      </c>
    </row>
    <row r="3112" spans="1:5">
      <c r="A3112" s="11">
        <v>42781</v>
      </c>
      <c r="B3112" s="10" t="s">
        <v>6564</v>
      </c>
      <c r="C3112" s="10" t="s">
        <v>6565</v>
      </c>
      <c r="D3112" s="11">
        <v>42781.468298611115</v>
      </c>
      <c r="E3112" s="10" t="s">
        <v>240</v>
      </c>
    </row>
    <row r="3113" spans="1:5">
      <c r="A3113" s="11">
        <v>42781</v>
      </c>
      <c r="B3113" s="10" t="s">
        <v>6566</v>
      </c>
      <c r="C3113" s="10" t="s">
        <v>6567</v>
      </c>
      <c r="D3113" s="11">
        <v>42781.469247685185</v>
      </c>
      <c r="E3113" s="10" t="s">
        <v>373</v>
      </c>
    </row>
    <row r="3114" spans="1:5">
      <c r="A3114" s="11">
        <v>42781</v>
      </c>
      <c r="B3114" s="10" t="s">
        <v>6568</v>
      </c>
      <c r="C3114" s="10" t="s">
        <v>6569</v>
      </c>
      <c r="D3114" s="11">
        <v>42781.469953703701</v>
      </c>
      <c r="E3114" s="10" t="s">
        <v>707</v>
      </c>
    </row>
    <row r="3115" spans="1:5">
      <c r="A3115" s="11">
        <v>42781</v>
      </c>
      <c r="B3115" s="10" t="s">
        <v>6570</v>
      </c>
      <c r="C3115" s="10" t="s">
        <v>6571</v>
      </c>
      <c r="D3115" s="11">
        <v>42781.47111111111</v>
      </c>
      <c r="E3115" s="10" t="s">
        <v>433</v>
      </c>
    </row>
    <row r="3116" spans="1:5">
      <c r="A3116" s="11">
        <v>42781</v>
      </c>
      <c r="B3116" s="10" t="s">
        <v>6572</v>
      </c>
      <c r="C3116" s="10" t="s">
        <v>6573</v>
      </c>
      <c r="D3116" s="11">
        <v>42781.473124999997</v>
      </c>
      <c r="E3116" s="10" t="s">
        <v>2183</v>
      </c>
    </row>
    <row r="3117" spans="1:5">
      <c r="A3117" s="11">
        <v>42781</v>
      </c>
      <c r="B3117" s="10" t="s">
        <v>6574</v>
      </c>
      <c r="C3117" s="10" t="s">
        <v>6575</v>
      </c>
      <c r="D3117" s="11">
        <v>42781.474594907406</v>
      </c>
      <c r="E3117" s="10" t="s">
        <v>218</v>
      </c>
    </row>
    <row r="3118" spans="1:5">
      <c r="A3118" s="11">
        <v>42781</v>
      </c>
      <c r="B3118" s="10" t="s">
        <v>6576</v>
      </c>
      <c r="C3118" s="10" t="s">
        <v>6577</v>
      </c>
      <c r="D3118" s="11">
        <v>42781.475208333337</v>
      </c>
      <c r="E3118" s="10" t="s">
        <v>656</v>
      </c>
    </row>
    <row r="3119" spans="1:5">
      <c r="A3119" s="11">
        <v>42781</v>
      </c>
      <c r="B3119" s="10" t="s">
        <v>6578</v>
      </c>
      <c r="C3119" s="10" t="s">
        <v>6579</v>
      </c>
      <c r="D3119" s="11">
        <v>42781.476122685184</v>
      </c>
      <c r="E3119" s="10" t="s">
        <v>193</v>
      </c>
    </row>
    <row r="3120" spans="1:5">
      <c r="A3120" s="11">
        <v>42781</v>
      </c>
      <c r="B3120" s="10" t="s">
        <v>6580</v>
      </c>
      <c r="C3120" s="10" t="s">
        <v>6581</v>
      </c>
      <c r="D3120" s="11">
        <v>42781.4762962963</v>
      </c>
      <c r="E3120" s="10" t="s">
        <v>653</v>
      </c>
    </row>
    <row r="3121" spans="1:5">
      <c r="A3121" s="11">
        <v>42781</v>
      </c>
      <c r="B3121" s="10" t="s">
        <v>6582</v>
      </c>
      <c r="C3121" s="10" t="s">
        <v>6583</v>
      </c>
      <c r="D3121" s="11">
        <v>42781.478043981479</v>
      </c>
      <c r="E3121" s="10" t="s">
        <v>433</v>
      </c>
    </row>
    <row r="3122" spans="1:5" ht="21.6">
      <c r="A3122" s="11">
        <v>42781</v>
      </c>
      <c r="B3122" s="10" t="s">
        <v>6584</v>
      </c>
      <c r="C3122" s="10" t="s">
        <v>6585</v>
      </c>
      <c r="D3122" s="11">
        <v>42781.478981481479</v>
      </c>
      <c r="E3122" s="10" t="s">
        <v>297</v>
      </c>
    </row>
    <row r="3123" spans="1:5">
      <c r="A3123" s="11">
        <v>42781</v>
      </c>
      <c r="B3123" s="10" t="s">
        <v>6586</v>
      </c>
      <c r="C3123" s="10" t="s">
        <v>6587</v>
      </c>
      <c r="D3123" s="11">
        <v>42781.479768518519</v>
      </c>
      <c r="E3123" s="10" t="s">
        <v>152</v>
      </c>
    </row>
    <row r="3124" spans="1:5">
      <c r="A3124" s="11">
        <v>42781</v>
      </c>
      <c r="B3124" s="10" t="s">
        <v>6588</v>
      </c>
      <c r="C3124" s="10" t="s">
        <v>6589</v>
      </c>
      <c r="D3124" s="11">
        <v>42781.480081018519</v>
      </c>
      <c r="E3124" s="10" t="s">
        <v>433</v>
      </c>
    </row>
    <row r="3125" spans="1:5">
      <c r="A3125" s="11">
        <v>42781</v>
      </c>
      <c r="B3125" s="10" t="s">
        <v>6590</v>
      </c>
      <c r="C3125" s="10" t="s">
        <v>6591</v>
      </c>
      <c r="D3125" s="11">
        <v>42781.48238425926</v>
      </c>
      <c r="E3125" s="10" t="s">
        <v>373</v>
      </c>
    </row>
    <row r="3126" spans="1:5">
      <c r="A3126" s="11">
        <v>42781</v>
      </c>
      <c r="B3126" s="10" t="s">
        <v>6592</v>
      </c>
      <c r="C3126" s="10" t="s">
        <v>6593</v>
      </c>
      <c r="D3126" s="11">
        <v>42781.483078703706</v>
      </c>
      <c r="E3126" s="10" t="s">
        <v>966</v>
      </c>
    </row>
    <row r="3127" spans="1:5">
      <c r="A3127" s="11">
        <v>42781</v>
      </c>
      <c r="B3127" s="10" t="s">
        <v>6594</v>
      </c>
      <c r="C3127" s="10" t="s">
        <v>6595</v>
      </c>
      <c r="D3127" s="11">
        <v>42781.483113425929</v>
      </c>
      <c r="E3127" s="10" t="s">
        <v>465</v>
      </c>
    </row>
    <row r="3128" spans="1:5">
      <c r="A3128" s="11">
        <v>42781</v>
      </c>
      <c r="B3128" s="10" t="s">
        <v>6596</v>
      </c>
      <c r="C3128" s="10" t="s">
        <v>6597</v>
      </c>
      <c r="D3128" s="11">
        <v>42782.527986111112</v>
      </c>
      <c r="E3128" s="10" t="s">
        <v>465</v>
      </c>
    </row>
    <row r="3129" spans="1:5">
      <c r="A3129" s="11">
        <v>42781</v>
      </c>
      <c r="B3129" s="10" t="s">
        <v>6598</v>
      </c>
      <c r="C3129" s="10" t="s">
        <v>6599</v>
      </c>
      <c r="D3129" s="11">
        <v>42781.485555555555</v>
      </c>
      <c r="E3129" s="10" t="s">
        <v>99</v>
      </c>
    </row>
    <row r="3130" spans="1:5">
      <c r="A3130" s="11">
        <v>42781</v>
      </c>
      <c r="B3130" s="10" t="s">
        <v>6600</v>
      </c>
      <c r="C3130" s="10" t="s">
        <v>6601</v>
      </c>
      <c r="D3130" s="11">
        <v>42781.486388888887</v>
      </c>
      <c r="E3130" s="10" t="s">
        <v>433</v>
      </c>
    </row>
    <row r="3131" spans="1:5">
      <c r="A3131" s="11">
        <v>42781</v>
      </c>
      <c r="B3131" s="10" t="s">
        <v>6602</v>
      </c>
      <c r="C3131" s="10" t="s">
        <v>6603</v>
      </c>
      <c r="D3131" s="11">
        <v>42781.487083333333</v>
      </c>
      <c r="E3131" s="10" t="s">
        <v>152</v>
      </c>
    </row>
    <row r="3132" spans="1:5">
      <c r="A3132" s="11">
        <v>42781</v>
      </c>
      <c r="B3132" s="10" t="s">
        <v>6604</v>
      </c>
      <c r="C3132" s="10" t="s">
        <v>6605</v>
      </c>
      <c r="D3132" s="11">
        <v>42781.48710648148</v>
      </c>
      <c r="E3132" s="10" t="s">
        <v>353</v>
      </c>
    </row>
    <row r="3133" spans="1:5">
      <c r="A3133" s="11">
        <v>42781</v>
      </c>
      <c r="B3133" s="10" t="s">
        <v>6606</v>
      </c>
      <c r="C3133" s="10" t="s">
        <v>6607</v>
      </c>
      <c r="D3133" s="11">
        <v>42781.488796296297</v>
      </c>
      <c r="E3133" s="10" t="s">
        <v>218</v>
      </c>
    </row>
    <row r="3134" spans="1:5">
      <c r="A3134" s="11">
        <v>42781</v>
      </c>
      <c r="B3134" s="10" t="s">
        <v>6608</v>
      </c>
      <c r="C3134" s="10" t="s">
        <v>6609</v>
      </c>
      <c r="D3134" s="11">
        <v>42781.488900462966</v>
      </c>
      <c r="E3134" s="10" t="s">
        <v>683</v>
      </c>
    </row>
    <row r="3135" spans="1:5">
      <c r="A3135" s="11">
        <v>42781</v>
      </c>
      <c r="B3135" s="10" t="s">
        <v>6610</v>
      </c>
      <c r="C3135" s="10" t="s">
        <v>6611</v>
      </c>
      <c r="D3135" s="11">
        <v>42781.809803240743</v>
      </c>
      <c r="E3135" s="10" t="s">
        <v>433</v>
      </c>
    </row>
    <row r="3136" spans="1:5">
      <c r="A3136" s="11">
        <v>42781</v>
      </c>
      <c r="B3136" s="10" t="s">
        <v>6612</v>
      </c>
      <c r="C3136" s="10" t="s">
        <v>6613</v>
      </c>
      <c r="D3136" s="11">
        <v>42781.489340277774</v>
      </c>
      <c r="E3136" s="10" t="s">
        <v>433</v>
      </c>
    </row>
    <row r="3137" spans="1:5">
      <c r="A3137" s="11">
        <v>42781</v>
      </c>
      <c r="B3137" s="10" t="s">
        <v>6614</v>
      </c>
      <c r="C3137" s="10" t="s">
        <v>6615</v>
      </c>
      <c r="D3137" s="11">
        <v>42781.489745370367</v>
      </c>
      <c r="E3137" s="10" t="s">
        <v>152</v>
      </c>
    </row>
    <row r="3138" spans="1:5">
      <c r="A3138" s="11">
        <v>42781</v>
      </c>
      <c r="B3138" s="10" t="s">
        <v>6616</v>
      </c>
      <c r="C3138" s="10" t="s">
        <v>6617</v>
      </c>
      <c r="D3138" s="11">
        <v>42781.490949074076</v>
      </c>
      <c r="E3138" s="10" t="s">
        <v>218</v>
      </c>
    </row>
    <row r="3139" spans="1:5">
      <c r="A3139" s="11">
        <v>42781</v>
      </c>
      <c r="B3139" s="10" t="s">
        <v>6618</v>
      </c>
      <c r="C3139" s="10" t="s">
        <v>6619</v>
      </c>
      <c r="D3139" s="11">
        <v>42781.492511574077</v>
      </c>
      <c r="E3139" s="10" t="s">
        <v>373</v>
      </c>
    </row>
    <row r="3140" spans="1:5">
      <c r="A3140" s="11">
        <v>42781</v>
      </c>
      <c r="B3140" s="10" t="s">
        <v>6620</v>
      </c>
      <c r="C3140" s="10" t="s">
        <v>6621</v>
      </c>
      <c r="D3140" s="11">
        <v>42781.49324074074</v>
      </c>
      <c r="E3140" s="10" t="s">
        <v>373</v>
      </c>
    </row>
    <row r="3141" spans="1:5" ht="21.6">
      <c r="A3141" s="11">
        <v>42781</v>
      </c>
      <c r="B3141" s="10" t="s">
        <v>6622</v>
      </c>
      <c r="C3141" s="10" t="s">
        <v>6623</v>
      </c>
      <c r="D3141" s="11">
        <v>42781.493252314816</v>
      </c>
      <c r="E3141" s="10" t="s">
        <v>2554</v>
      </c>
    </row>
    <row r="3142" spans="1:5">
      <c r="A3142" s="11">
        <v>42781</v>
      </c>
      <c r="B3142" s="10" t="s">
        <v>6624</v>
      </c>
      <c r="C3142" s="10" t="s">
        <v>6625</v>
      </c>
      <c r="D3142" s="11">
        <v>42782.401400462964</v>
      </c>
      <c r="E3142" s="10" t="s">
        <v>209</v>
      </c>
    </row>
    <row r="3143" spans="1:5">
      <c r="A3143" s="11">
        <v>42781</v>
      </c>
      <c r="B3143" s="10" t="s">
        <v>6626</v>
      </c>
      <c r="C3143" s="10" t="s">
        <v>6627</v>
      </c>
      <c r="D3143" s="11">
        <v>42781.493680555555</v>
      </c>
      <c r="E3143" s="10" t="s">
        <v>373</v>
      </c>
    </row>
    <row r="3144" spans="1:5">
      <c r="A3144" s="11">
        <v>42781</v>
      </c>
      <c r="B3144" s="10" t="s">
        <v>6628</v>
      </c>
      <c r="C3144" s="10" t="s">
        <v>6629</v>
      </c>
      <c r="D3144" s="11">
        <v>42781.494421296295</v>
      </c>
      <c r="E3144" s="10" t="s">
        <v>433</v>
      </c>
    </row>
    <row r="3145" spans="1:5">
      <c r="A3145" s="11">
        <v>42781</v>
      </c>
      <c r="B3145" s="10" t="s">
        <v>6630</v>
      </c>
      <c r="C3145" s="10" t="s">
        <v>6631</v>
      </c>
      <c r="D3145" s="11">
        <v>42781.576388888891</v>
      </c>
      <c r="E3145" s="10" t="s">
        <v>3060</v>
      </c>
    </row>
    <row r="3146" spans="1:5">
      <c r="A3146" s="11">
        <v>42781</v>
      </c>
      <c r="B3146" s="10" t="s">
        <v>6632</v>
      </c>
      <c r="C3146" s="10" t="s">
        <v>6633</v>
      </c>
      <c r="D3146" s="11">
        <v>42781.496076388888</v>
      </c>
      <c r="E3146" s="10" t="s">
        <v>218</v>
      </c>
    </row>
    <row r="3147" spans="1:5">
      <c r="A3147" s="11">
        <v>42781</v>
      </c>
      <c r="B3147" s="10" t="s">
        <v>6634</v>
      </c>
      <c r="C3147" s="10" t="s">
        <v>6635</v>
      </c>
      <c r="D3147" s="11">
        <v>42781.497499999998</v>
      </c>
      <c r="E3147" s="10" t="s">
        <v>2865</v>
      </c>
    </row>
    <row r="3148" spans="1:5">
      <c r="A3148" s="11">
        <v>42781</v>
      </c>
      <c r="B3148" s="10" t="s">
        <v>6636</v>
      </c>
      <c r="C3148" s="10" t="s">
        <v>6637</v>
      </c>
      <c r="D3148" s="11">
        <v>42781.49863425926</v>
      </c>
      <c r="E3148" s="10" t="s">
        <v>218</v>
      </c>
    </row>
    <row r="3149" spans="1:5">
      <c r="A3149" s="11">
        <v>42781</v>
      </c>
      <c r="B3149" s="10" t="s">
        <v>6638</v>
      </c>
      <c r="C3149" s="10" t="s">
        <v>6639</v>
      </c>
      <c r="D3149" s="11">
        <v>42781.499849537038</v>
      </c>
      <c r="E3149" s="10" t="s">
        <v>215</v>
      </c>
    </row>
    <row r="3150" spans="1:5">
      <c r="A3150" s="11">
        <v>42781</v>
      </c>
      <c r="B3150" s="10" t="s">
        <v>6640</v>
      </c>
      <c r="C3150" s="10" t="s">
        <v>6641</v>
      </c>
      <c r="D3150" s="11">
        <v>42781.499942129631</v>
      </c>
      <c r="E3150" s="10" t="s">
        <v>99</v>
      </c>
    </row>
    <row r="3151" spans="1:5">
      <c r="A3151" s="11">
        <v>42781</v>
      </c>
      <c r="B3151" s="10" t="s">
        <v>6642</v>
      </c>
      <c r="C3151" s="10" t="s">
        <v>6643</v>
      </c>
      <c r="D3151" s="11">
        <v>42781.501585648148</v>
      </c>
      <c r="E3151" s="10" t="s">
        <v>320</v>
      </c>
    </row>
    <row r="3152" spans="1:5">
      <c r="A3152" s="11">
        <v>42781</v>
      </c>
      <c r="B3152" s="10" t="s">
        <v>6644</v>
      </c>
      <c r="C3152" s="10" t="s">
        <v>6645</v>
      </c>
      <c r="D3152" s="11">
        <v>42781.517777777779</v>
      </c>
      <c r="E3152" s="10" t="s">
        <v>1103</v>
      </c>
    </row>
    <row r="3153" spans="1:5">
      <c r="A3153" s="11">
        <v>42781</v>
      </c>
      <c r="B3153" s="10" t="s">
        <v>6646</v>
      </c>
      <c r="C3153" s="10" t="s">
        <v>6647</v>
      </c>
      <c r="D3153" s="11">
        <v>42781.503449074073</v>
      </c>
      <c r="E3153" s="10" t="s">
        <v>1103</v>
      </c>
    </row>
    <row r="3154" spans="1:5">
      <c r="A3154" s="11">
        <v>42781</v>
      </c>
      <c r="B3154" s="10" t="s">
        <v>6648</v>
      </c>
      <c r="C3154" s="10" t="s">
        <v>6649</v>
      </c>
      <c r="D3154" s="11">
        <v>42781.504166666666</v>
      </c>
      <c r="E3154" s="10" t="s">
        <v>373</v>
      </c>
    </row>
    <row r="3155" spans="1:5">
      <c r="A3155" s="11">
        <v>42781</v>
      </c>
      <c r="B3155" s="10" t="s">
        <v>6650</v>
      </c>
      <c r="C3155" s="10" t="s">
        <v>6651</v>
      </c>
      <c r="D3155" s="11">
        <v>42781.504675925928</v>
      </c>
      <c r="E3155" s="10" t="s">
        <v>240</v>
      </c>
    </row>
    <row r="3156" spans="1:5">
      <c r="A3156" s="11">
        <v>42781</v>
      </c>
      <c r="B3156" s="10" t="s">
        <v>6652</v>
      </c>
      <c r="C3156" s="10" t="s">
        <v>6653</v>
      </c>
      <c r="D3156" s="11">
        <v>42781.505023148151</v>
      </c>
      <c r="E3156" s="10" t="s">
        <v>1103</v>
      </c>
    </row>
    <row r="3157" spans="1:5">
      <c r="A3157" s="11">
        <v>42781</v>
      </c>
      <c r="B3157" s="10" t="s">
        <v>6654</v>
      </c>
      <c r="C3157" s="10" t="s">
        <v>6655</v>
      </c>
      <c r="D3157" s="11">
        <v>42781.505995370368</v>
      </c>
      <c r="E3157" s="10" t="s">
        <v>373</v>
      </c>
    </row>
    <row r="3158" spans="1:5">
      <c r="A3158" s="11">
        <v>42781</v>
      </c>
      <c r="B3158" s="10" t="s">
        <v>6656</v>
      </c>
      <c r="C3158" s="10" t="s">
        <v>6657</v>
      </c>
      <c r="D3158" s="11">
        <v>42781.50708333333</v>
      </c>
      <c r="E3158" s="10" t="s">
        <v>373</v>
      </c>
    </row>
    <row r="3159" spans="1:5">
      <c r="A3159" s="11">
        <v>42781</v>
      </c>
      <c r="B3159" s="10" t="s">
        <v>6658</v>
      </c>
      <c r="C3159" s="10" t="s">
        <v>6659</v>
      </c>
      <c r="D3159" s="11">
        <v>42781.507557870369</v>
      </c>
      <c r="E3159" s="10" t="s">
        <v>949</v>
      </c>
    </row>
    <row r="3160" spans="1:5">
      <c r="A3160" s="11">
        <v>42781</v>
      </c>
      <c r="B3160" s="10" t="s">
        <v>6660</v>
      </c>
      <c r="C3160" s="10" t="s">
        <v>6661</v>
      </c>
      <c r="D3160" s="11">
        <v>42781.508125</v>
      </c>
      <c r="E3160" s="10" t="s">
        <v>380</v>
      </c>
    </row>
    <row r="3161" spans="1:5">
      <c r="A3161" s="11">
        <v>42781</v>
      </c>
      <c r="B3161" s="10" t="s">
        <v>6662</v>
      </c>
      <c r="C3161" s="10" t="s">
        <v>6663</v>
      </c>
      <c r="D3161" s="11">
        <v>42781.508599537039</v>
      </c>
      <c r="E3161" s="10" t="s">
        <v>433</v>
      </c>
    </row>
    <row r="3162" spans="1:5">
      <c r="A3162" s="11">
        <v>42781</v>
      </c>
      <c r="B3162" s="10" t="s">
        <v>6664</v>
      </c>
      <c r="C3162" s="10" t="s">
        <v>6665</v>
      </c>
      <c r="D3162" s="11">
        <v>42781.508784722224</v>
      </c>
      <c r="E3162" s="10" t="s">
        <v>178</v>
      </c>
    </row>
    <row r="3163" spans="1:5">
      <c r="A3163" s="11">
        <v>42781</v>
      </c>
      <c r="B3163" s="10" t="s">
        <v>6666</v>
      </c>
      <c r="C3163" s="10" t="s">
        <v>6667</v>
      </c>
      <c r="D3163" s="11">
        <v>42781.73909722222</v>
      </c>
      <c r="E3163" s="10" t="s">
        <v>2266</v>
      </c>
    </row>
    <row r="3164" spans="1:5">
      <c r="A3164" s="11">
        <v>42781</v>
      </c>
      <c r="B3164" s="10" t="s">
        <v>6668</v>
      </c>
      <c r="C3164" s="10" t="s">
        <v>6669</v>
      </c>
      <c r="D3164" s="11">
        <v>42781.510520833333</v>
      </c>
      <c r="E3164" s="10" t="s">
        <v>373</v>
      </c>
    </row>
    <row r="3165" spans="1:5">
      <c r="A3165" s="11">
        <v>42781</v>
      </c>
      <c r="B3165" s="10" t="s">
        <v>6670</v>
      </c>
      <c r="C3165" s="10" t="s">
        <v>6671</v>
      </c>
      <c r="D3165" s="11">
        <v>42781.511041666665</v>
      </c>
      <c r="E3165" s="10" t="s">
        <v>433</v>
      </c>
    </row>
    <row r="3166" spans="1:5">
      <c r="A3166" s="11">
        <v>42781</v>
      </c>
      <c r="B3166" s="10" t="s">
        <v>6672</v>
      </c>
      <c r="C3166" s="10" t="s">
        <v>6673</v>
      </c>
      <c r="D3166" s="11">
        <v>42781.511793981481</v>
      </c>
      <c r="E3166" s="10" t="s">
        <v>422</v>
      </c>
    </row>
    <row r="3167" spans="1:5">
      <c r="A3167" s="11">
        <v>42781</v>
      </c>
      <c r="B3167" s="10" t="s">
        <v>6674</v>
      </c>
      <c r="C3167" s="10" t="s">
        <v>6675</v>
      </c>
      <c r="D3167" s="11">
        <v>42781.51290509259</v>
      </c>
      <c r="E3167" s="10" t="s">
        <v>422</v>
      </c>
    </row>
    <row r="3168" spans="1:5">
      <c r="A3168" s="11">
        <v>42781</v>
      </c>
      <c r="B3168" s="10" t="s">
        <v>6676</v>
      </c>
      <c r="C3168" s="10" t="s">
        <v>6677</v>
      </c>
      <c r="D3168" s="11">
        <v>42781.513402777775</v>
      </c>
      <c r="E3168" s="10" t="s">
        <v>433</v>
      </c>
    </row>
    <row r="3169" spans="1:5">
      <c r="A3169" s="11">
        <v>42781</v>
      </c>
      <c r="B3169" s="10" t="s">
        <v>6678</v>
      </c>
      <c r="C3169" s="10" t="s">
        <v>6679</v>
      </c>
      <c r="D3169" s="11">
        <v>42781.514108796298</v>
      </c>
      <c r="E3169" s="10" t="s">
        <v>130</v>
      </c>
    </row>
    <row r="3170" spans="1:5">
      <c r="A3170" s="11">
        <v>42781</v>
      </c>
      <c r="B3170" s="10" t="s">
        <v>6680</v>
      </c>
      <c r="C3170" s="10" t="s">
        <v>6681</v>
      </c>
      <c r="D3170" s="11">
        <v>42781.514120370368</v>
      </c>
      <c r="E3170" s="10" t="s">
        <v>193</v>
      </c>
    </row>
    <row r="3171" spans="1:5">
      <c r="A3171" s="11">
        <v>42781</v>
      </c>
      <c r="B3171" s="10" t="s">
        <v>6682</v>
      </c>
      <c r="C3171" s="10" t="s">
        <v>6683</v>
      </c>
      <c r="D3171" s="11">
        <v>42781.516018518516</v>
      </c>
      <c r="E3171" s="10" t="s">
        <v>433</v>
      </c>
    </row>
    <row r="3172" spans="1:5">
      <c r="A3172" s="11">
        <v>42781</v>
      </c>
      <c r="B3172" s="10" t="s">
        <v>6684</v>
      </c>
      <c r="C3172" s="10" t="s">
        <v>6685</v>
      </c>
      <c r="D3172" s="11">
        <v>42781.51630787037</v>
      </c>
      <c r="E3172" s="10" t="s">
        <v>433</v>
      </c>
    </row>
    <row r="3173" spans="1:5">
      <c r="A3173" s="11">
        <v>42781</v>
      </c>
      <c r="B3173" s="10" t="s">
        <v>6686</v>
      </c>
      <c r="C3173" s="10" t="s">
        <v>6687</v>
      </c>
      <c r="D3173" s="11">
        <v>42781.516689814816</v>
      </c>
      <c r="E3173" s="10" t="s">
        <v>433</v>
      </c>
    </row>
    <row r="3174" spans="1:5">
      <c r="A3174" s="11">
        <v>42781</v>
      </c>
      <c r="B3174" s="10" t="s">
        <v>6688</v>
      </c>
      <c r="C3174" s="10" t="s">
        <v>6689</v>
      </c>
      <c r="D3174" s="11">
        <v>42781.516932870371</v>
      </c>
      <c r="E3174" s="10" t="s">
        <v>373</v>
      </c>
    </row>
    <row r="3175" spans="1:5">
      <c r="A3175" s="11">
        <v>42781</v>
      </c>
      <c r="B3175" s="10" t="s">
        <v>6690</v>
      </c>
      <c r="C3175" s="10" t="s">
        <v>6691</v>
      </c>
      <c r="D3175" s="11">
        <v>42781.517476851855</v>
      </c>
      <c r="E3175" s="10" t="s">
        <v>966</v>
      </c>
    </row>
    <row r="3176" spans="1:5">
      <c r="A3176" s="11">
        <v>42781</v>
      </c>
      <c r="B3176" s="10" t="s">
        <v>6692</v>
      </c>
      <c r="C3176" s="10" t="s">
        <v>6693</v>
      </c>
      <c r="D3176" s="11">
        <v>42781.517858796295</v>
      </c>
      <c r="E3176" s="10" t="s">
        <v>240</v>
      </c>
    </row>
    <row r="3177" spans="1:5">
      <c r="A3177" s="11">
        <v>42781</v>
      </c>
      <c r="B3177" s="10" t="s">
        <v>6694</v>
      </c>
      <c r="C3177" s="10" t="s">
        <v>6695</v>
      </c>
      <c r="D3177" s="11">
        <v>42782.468263888892</v>
      </c>
      <c r="E3177" s="10" t="s">
        <v>1319</v>
      </c>
    </row>
    <row r="3178" spans="1:5">
      <c r="A3178" s="11">
        <v>42781</v>
      </c>
      <c r="B3178" s="10" t="s">
        <v>6696</v>
      </c>
      <c r="C3178" s="10" t="s">
        <v>6697</v>
      </c>
      <c r="D3178" s="11">
        <v>42781.518831018519</v>
      </c>
      <c r="E3178" s="10" t="s">
        <v>99</v>
      </c>
    </row>
    <row r="3179" spans="1:5">
      <c r="A3179" s="11">
        <v>42781</v>
      </c>
      <c r="B3179" s="10" t="s">
        <v>6698</v>
      </c>
      <c r="C3179" s="10" t="s">
        <v>6699</v>
      </c>
      <c r="D3179" s="11">
        <v>42781.518865740742</v>
      </c>
      <c r="E3179" s="10" t="s">
        <v>433</v>
      </c>
    </row>
    <row r="3180" spans="1:5">
      <c r="A3180" s="11">
        <v>42781</v>
      </c>
      <c r="B3180" s="10" t="s">
        <v>6700</v>
      </c>
      <c r="C3180" s="10" t="s">
        <v>6701</v>
      </c>
      <c r="D3180" s="11">
        <v>42781.519120370373</v>
      </c>
      <c r="E3180" s="10" t="s">
        <v>4865</v>
      </c>
    </row>
    <row r="3181" spans="1:5">
      <c r="A3181" s="11">
        <v>42781</v>
      </c>
      <c r="B3181" s="10" t="s">
        <v>6702</v>
      </c>
      <c r="C3181" s="10" t="s">
        <v>6703</v>
      </c>
      <c r="D3181" s="11">
        <v>42781.519629629627</v>
      </c>
      <c r="E3181" s="10" t="s">
        <v>218</v>
      </c>
    </row>
    <row r="3182" spans="1:5">
      <c r="A3182" s="11">
        <v>42781</v>
      </c>
      <c r="B3182" s="10" t="s">
        <v>6704</v>
      </c>
      <c r="C3182" s="10" t="s">
        <v>6705</v>
      </c>
      <c r="D3182" s="11">
        <v>42781.520787037036</v>
      </c>
      <c r="E3182" s="10" t="s">
        <v>465</v>
      </c>
    </row>
    <row r="3183" spans="1:5">
      <c r="A3183" s="11">
        <v>42781</v>
      </c>
      <c r="B3183" s="10" t="s">
        <v>6706</v>
      </c>
      <c r="C3183" s="10" t="s">
        <v>6707</v>
      </c>
      <c r="D3183" s="11">
        <v>42781.521817129629</v>
      </c>
      <c r="E3183" s="10" t="s">
        <v>966</v>
      </c>
    </row>
    <row r="3184" spans="1:5">
      <c r="A3184" s="11">
        <v>42781</v>
      </c>
      <c r="B3184" s="10" t="s">
        <v>6708</v>
      </c>
      <c r="C3184" s="10" t="s">
        <v>6709</v>
      </c>
      <c r="D3184" s="11">
        <v>42781.52207175926</v>
      </c>
      <c r="E3184" s="10" t="s">
        <v>152</v>
      </c>
    </row>
    <row r="3185" spans="1:5">
      <c r="A3185" s="11">
        <v>42781</v>
      </c>
      <c r="B3185" s="10" t="s">
        <v>6710</v>
      </c>
      <c r="C3185" s="10" t="s">
        <v>6711</v>
      </c>
      <c r="D3185" s="11">
        <v>42781.522141203706</v>
      </c>
      <c r="E3185" s="10" t="s">
        <v>6712</v>
      </c>
    </row>
    <row r="3186" spans="1:5">
      <c r="A3186" s="11">
        <v>42781</v>
      </c>
      <c r="B3186" s="10" t="s">
        <v>6713</v>
      </c>
      <c r="C3186" s="10" t="s">
        <v>6714</v>
      </c>
      <c r="D3186" s="11">
        <v>42781.522418981483</v>
      </c>
      <c r="E3186" s="10" t="s">
        <v>237</v>
      </c>
    </row>
    <row r="3187" spans="1:5">
      <c r="A3187" s="11">
        <v>42781</v>
      </c>
      <c r="B3187" s="10" t="s">
        <v>6715</v>
      </c>
      <c r="C3187" s="10" t="s">
        <v>6716</v>
      </c>
      <c r="D3187" s="11">
        <v>42781.523865740739</v>
      </c>
      <c r="E3187" s="10" t="s">
        <v>683</v>
      </c>
    </row>
    <row r="3188" spans="1:5">
      <c r="A3188" s="11">
        <v>42781</v>
      </c>
      <c r="B3188" s="10" t="s">
        <v>6717</v>
      </c>
      <c r="C3188" s="10" t="s">
        <v>6718</v>
      </c>
      <c r="D3188" s="11">
        <v>42781.524155092593</v>
      </c>
      <c r="E3188" s="10" t="s">
        <v>479</v>
      </c>
    </row>
    <row r="3189" spans="1:5">
      <c r="A3189" s="11">
        <v>42781</v>
      </c>
      <c r="B3189" s="10" t="s">
        <v>6719</v>
      </c>
      <c r="C3189" s="10" t="s">
        <v>6720</v>
      </c>
      <c r="D3189" s="11">
        <v>42781.524780092594</v>
      </c>
      <c r="E3189" s="10" t="s">
        <v>2201</v>
      </c>
    </row>
    <row r="3190" spans="1:5">
      <c r="A3190" s="11">
        <v>42781</v>
      </c>
      <c r="B3190" s="10" t="s">
        <v>6721</v>
      </c>
      <c r="C3190" s="10" t="s">
        <v>6722</v>
      </c>
      <c r="D3190" s="11">
        <v>42781.525254629632</v>
      </c>
      <c r="E3190" s="10" t="s">
        <v>433</v>
      </c>
    </row>
    <row r="3191" spans="1:5">
      <c r="A3191" s="11">
        <v>42781</v>
      </c>
      <c r="B3191" s="10" t="s">
        <v>6723</v>
      </c>
      <c r="C3191" s="10" t="s">
        <v>6724</v>
      </c>
      <c r="D3191" s="11">
        <v>42781.527175925927</v>
      </c>
      <c r="E3191" s="10" t="s">
        <v>2515</v>
      </c>
    </row>
    <row r="3192" spans="1:5">
      <c r="A3192" s="11">
        <v>42781</v>
      </c>
      <c r="B3192" s="10" t="s">
        <v>6725</v>
      </c>
      <c r="C3192" s="10" t="s">
        <v>6726</v>
      </c>
      <c r="D3192" s="11">
        <v>42781.921979166669</v>
      </c>
      <c r="E3192" s="10" t="s">
        <v>6727</v>
      </c>
    </row>
    <row r="3193" spans="1:5">
      <c r="A3193" s="11">
        <v>42781</v>
      </c>
      <c r="B3193" s="10" t="s">
        <v>6728</v>
      </c>
      <c r="C3193" s="10" t="s">
        <v>6729</v>
      </c>
      <c r="D3193" s="11">
        <v>42781.52957175926</v>
      </c>
      <c r="E3193" s="10" t="s">
        <v>125</v>
      </c>
    </row>
    <row r="3194" spans="1:5">
      <c r="A3194" s="11">
        <v>42781</v>
      </c>
      <c r="B3194" s="10" t="s">
        <v>6730</v>
      </c>
      <c r="C3194" s="10" t="s">
        <v>6731</v>
      </c>
      <c r="D3194" s="11">
        <v>42781.530972222223</v>
      </c>
      <c r="E3194" s="10" t="s">
        <v>96</v>
      </c>
    </row>
    <row r="3195" spans="1:5">
      <c r="A3195" s="11">
        <v>42781</v>
      </c>
      <c r="B3195" s="10" t="s">
        <v>6732</v>
      </c>
      <c r="C3195" s="10" t="s">
        <v>6733</v>
      </c>
      <c r="D3195" s="11">
        <v>42781.534918981481</v>
      </c>
      <c r="E3195" s="10" t="s">
        <v>240</v>
      </c>
    </row>
    <row r="3196" spans="1:5">
      <c r="A3196" s="11">
        <v>42781</v>
      </c>
      <c r="B3196" s="10" t="s">
        <v>6734</v>
      </c>
      <c r="C3196" s="10" t="s">
        <v>6735</v>
      </c>
      <c r="D3196" s="11">
        <v>42781.537476851852</v>
      </c>
      <c r="E3196" s="10" t="s">
        <v>218</v>
      </c>
    </row>
    <row r="3197" spans="1:5">
      <c r="A3197" s="11">
        <v>42781</v>
      </c>
      <c r="B3197" s="10" t="s">
        <v>6736</v>
      </c>
      <c r="C3197" s="10" t="s">
        <v>6737</v>
      </c>
      <c r="D3197" s="11">
        <v>42781.538275462961</v>
      </c>
      <c r="E3197" s="10" t="s">
        <v>122</v>
      </c>
    </row>
    <row r="3198" spans="1:5">
      <c r="A3198" s="11">
        <v>42781</v>
      </c>
      <c r="B3198" s="10" t="s">
        <v>6738</v>
      </c>
      <c r="C3198" s="10" t="s">
        <v>6739</v>
      </c>
      <c r="D3198" s="11">
        <v>42781.538645833331</v>
      </c>
      <c r="E3198" s="10" t="s">
        <v>218</v>
      </c>
    </row>
    <row r="3199" spans="1:5">
      <c r="A3199" s="11">
        <v>42781</v>
      </c>
      <c r="B3199" s="10" t="s">
        <v>6740</v>
      </c>
      <c r="C3199" s="10" t="s">
        <v>6741</v>
      </c>
      <c r="D3199" s="11">
        <v>42781.540277777778</v>
      </c>
      <c r="E3199" s="10" t="s">
        <v>422</v>
      </c>
    </row>
    <row r="3200" spans="1:5">
      <c r="A3200" s="11">
        <v>42781</v>
      </c>
      <c r="B3200" s="10" t="s">
        <v>6742</v>
      </c>
      <c r="C3200" s="10" t="s">
        <v>6743</v>
      </c>
      <c r="D3200" s="11">
        <v>42781.540682870371</v>
      </c>
      <c r="E3200" s="10" t="s">
        <v>237</v>
      </c>
    </row>
    <row r="3201" spans="1:5">
      <c r="A3201" s="11">
        <v>42781</v>
      </c>
      <c r="B3201" s="10" t="s">
        <v>6744</v>
      </c>
      <c r="C3201" s="10" t="s">
        <v>6745</v>
      </c>
      <c r="D3201" s="11">
        <v>42782.684641203705</v>
      </c>
      <c r="E3201" s="10" t="s">
        <v>122</v>
      </c>
    </row>
    <row r="3202" spans="1:5">
      <c r="A3202" s="11">
        <v>42781</v>
      </c>
      <c r="B3202" s="10" t="s">
        <v>6746</v>
      </c>
      <c r="C3202" s="10" t="s">
        <v>6747</v>
      </c>
      <c r="D3202" s="11">
        <v>42781.541319444441</v>
      </c>
      <c r="E3202" s="10" t="s">
        <v>237</v>
      </c>
    </row>
    <row r="3203" spans="1:5">
      <c r="A3203" s="11">
        <v>42781</v>
      </c>
      <c r="B3203" s="10" t="s">
        <v>6748</v>
      </c>
      <c r="C3203" s="10" t="s">
        <v>6749</v>
      </c>
      <c r="D3203" s="11">
        <v>42781.541597222225</v>
      </c>
      <c r="E3203" s="10" t="s">
        <v>433</v>
      </c>
    </row>
    <row r="3204" spans="1:5">
      <c r="A3204" s="11">
        <v>42781</v>
      </c>
      <c r="B3204" s="10" t="s">
        <v>6750</v>
      </c>
      <c r="C3204" s="10" t="s">
        <v>6751</v>
      </c>
      <c r="D3204" s="11">
        <v>42781.542511574073</v>
      </c>
      <c r="E3204" s="10" t="s">
        <v>237</v>
      </c>
    </row>
    <row r="3205" spans="1:5">
      <c r="A3205" s="11">
        <v>42781</v>
      </c>
      <c r="B3205" s="10" t="s">
        <v>6752</v>
      </c>
      <c r="C3205" s="10" t="s">
        <v>6753</v>
      </c>
      <c r="D3205" s="11">
        <v>42781.543611111112</v>
      </c>
      <c r="E3205" s="10" t="s">
        <v>237</v>
      </c>
    </row>
    <row r="3206" spans="1:5">
      <c r="A3206" s="11">
        <v>42781</v>
      </c>
      <c r="B3206" s="10" t="s">
        <v>6754</v>
      </c>
      <c r="C3206" s="10" t="s">
        <v>6755</v>
      </c>
      <c r="D3206" s="11">
        <v>42781.543935185182</v>
      </c>
      <c r="E3206" s="10" t="s">
        <v>656</v>
      </c>
    </row>
    <row r="3207" spans="1:5">
      <c r="A3207" s="11">
        <v>42781</v>
      </c>
      <c r="B3207" s="10" t="s">
        <v>6756</v>
      </c>
      <c r="C3207" s="10" t="s">
        <v>6757</v>
      </c>
      <c r="D3207" s="11">
        <v>42781.544594907406</v>
      </c>
      <c r="E3207" s="10" t="s">
        <v>240</v>
      </c>
    </row>
    <row r="3208" spans="1:5">
      <c r="A3208" s="11">
        <v>42781</v>
      </c>
      <c r="B3208" s="10" t="s">
        <v>6758</v>
      </c>
      <c r="C3208" s="10" t="s">
        <v>6759</v>
      </c>
      <c r="D3208" s="11">
        <v>42781.564363425925</v>
      </c>
      <c r="E3208" s="10" t="s">
        <v>335</v>
      </c>
    </row>
    <row r="3209" spans="1:5">
      <c r="A3209" s="11">
        <v>42781</v>
      </c>
      <c r="B3209" s="10" t="s">
        <v>6760</v>
      </c>
      <c r="C3209" s="10" t="s">
        <v>6761</v>
      </c>
      <c r="D3209" s="11">
        <v>42781.54614583333</v>
      </c>
      <c r="E3209" s="10" t="s">
        <v>380</v>
      </c>
    </row>
    <row r="3210" spans="1:5">
      <c r="A3210" s="11">
        <v>42781</v>
      </c>
      <c r="B3210" s="10" t="s">
        <v>6762</v>
      </c>
      <c r="C3210" s="10" t="s">
        <v>6763</v>
      </c>
      <c r="D3210" s="11">
        <v>42781.546435185184</v>
      </c>
      <c r="E3210" s="10" t="s">
        <v>373</v>
      </c>
    </row>
    <row r="3211" spans="1:5">
      <c r="A3211" s="11">
        <v>42781</v>
      </c>
      <c r="B3211" s="10" t="s">
        <v>6764</v>
      </c>
      <c r="C3211" s="10" t="s">
        <v>6765</v>
      </c>
      <c r="D3211" s="11">
        <v>42781.546770833331</v>
      </c>
      <c r="E3211" s="10" t="s">
        <v>433</v>
      </c>
    </row>
    <row r="3212" spans="1:5">
      <c r="A3212" s="11">
        <v>42781</v>
      </c>
      <c r="B3212" s="10" t="s">
        <v>6766</v>
      </c>
      <c r="C3212" s="10" t="s">
        <v>6767</v>
      </c>
      <c r="D3212" s="11">
        <v>42781.547893518517</v>
      </c>
      <c r="E3212" s="10" t="s">
        <v>96</v>
      </c>
    </row>
    <row r="3213" spans="1:5">
      <c r="A3213" s="11">
        <v>42781</v>
      </c>
      <c r="B3213" s="10" t="s">
        <v>6768</v>
      </c>
      <c r="C3213" s="10" t="s">
        <v>6769</v>
      </c>
      <c r="D3213" s="11">
        <v>42781.548425925925</v>
      </c>
      <c r="E3213" s="10" t="s">
        <v>902</v>
      </c>
    </row>
    <row r="3214" spans="1:5">
      <c r="A3214" s="11">
        <v>42781</v>
      </c>
      <c r="B3214" s="10" t="s">
        <v>6770</v>
      </c>
      <c r="C3214" s="10" t="s">
        <v>6771</v>
      </c>
      <c r="D3214" s="11">
        <v>42781.549340277779</v>
      </c>
      <c r="E3214" s="10" t="s">
        <v>178</v>
      </c>
    </row>
    <row r="3215" spans="1:5">
      <c r="A3215" s="11">
        <v>42781</v>
      </c>
      <c r="B3215" s="10" t="s">
        <v>6772</v>
      </c>
      <c r="C3215" s="10" t="s">
        <v>6773</v>
      </c>
      <c r="D3215" s="11">
        <v>42781.549664351849</v>
      </c>
      <c r="E3215" s="10" t="s">
        <v>96</v>
      </c>
    </row>
    <row r="3216" spans="1:5">
      <c r="A3216" s="11">
        <v>42781</v>
      </c>
      <c r="B3216" s="10" t="s">
        <v>6774</v>
      </c>
      <c r="C3216" s="10" t="s">
        <v>6775</v>
      </c>
      <c r="D3216" s="11">
        <v>42781.55060185185</v>
      </c>
      <c r="E3216" s="10" t="s">
        <v>380</v>
      </c>
    </row>
    <row r="3217" spans="1:5">
      <c r="A3217" s="11">
        <v>42781</v>
      </c>
      <c r="B3217" s="10" t="s">
        <v>6776</v>
      </c>
      <c r="C3217" s="10" t="s">
        <v>6777</v>
      </c>
      <c r="D3217" s="11">
        <v>42781.553449074076</v>
      </c>
      <c r="E3217" s="10" t="s">
        <v>3550</v>
      </c>
    </row>
    <row r="3218" spans="1:5" ht="21.6">
      <c r="A3218" s="11">
        <v>42781</v>
      </c>
      <c r="B3218" s="10" t="s">
        <v>6778</v>
      </c>
      <c r="C3218" s="10" t="s">
        <v>6779</v>
      </c>
      <c r="D3218" s="11">
        <v>42781.555219907408</v>
      </c>
      <c r="E3218" s="10" t="s">
        <v>2442</v>
      </c>
    </row>
    <row r="3219" spans="1:5">
      <c r="A3219" s="11">
        <v>42781</v>
      </c>
      <c r="B3219" s="10" t="s">
        <v>6780</v>
      </c>
      <c r="C3219" s="10" t="s">
        <v>6781</v>
      </c>
      <c r="D3219" s="11">
        <v>42781.555879629632</v>
      </c>
      <c r="E3219" s="10" t="s">
        <v>6002</v>
      </c>
    </row>
    <row r="3220" spans="1:5">
      <c r="A3220" s="11">
        <v>42781</v>
      </c>
      <c r="B3220" s="10" t="s">
        <v>6782</v>
      </c>
      <c r="C3220" s="10" t="s">
        <v>6783</v>
      </c>
      <c r="D3220" s="11">
        <v>42781.556180555555</v>
      </c>
      <c r="E3220" s="10" t="s">
        <v>218</v>
      </c>
    </row>
    <row r="3221" spans="1:5">
      <c r="A3221" s="11">
        <v>42781</v>
      </c>
      <c r="B3221" s="10" t="s">
        <v>6784</v>
      </c>
      <c r="C3221" s="10" t="s">
        <v>6785</v>
      </c>
      <c r="D3221" s="11">
        <v>42781.556631944448</v>
      </c>
      <c r="E3221" s="10" t="s">
        <v>240</v>
      </c>
    </row>
    <row r="3222" spans="1:5">
      <c r="A3222" s="11">
        <v>42781</v>
      </c>
      <c r="B3222" s="10" t="s">
        <v>6786</v>
      </c>
      <c r="C3222" s="10" t="s">
        <v>6787</v>
      </c>
      <c r="D3222" s="11">
        <v>42781.557696759257</v>
      </c>
      <c r="E3222" s="10" t="s">
        <v>433</v>
      </c>
    </row>
    <row r="3223" spans="1:5">
      <c r="A3223" s="11">
        <v>42781</v>
      </c>
      <c r="B3223" s="10" t="s">
        <v>6788</v>
      </c>
      <c r="C3223" s="10" t="s">
        <v>6789</v>
      </c>
      <c r="D3223" s="11">
        <v>42781.557743055557</v>
      </c>
      <c r="E3223" s="10" t="s">
        <v>373</v>
      </c>
    </row>
    <row r="3224" spans="1:5">
      <c r="A3224" s="11">
        <v>42781</v>
      </c>
      <c r="B3224" s="10" t="s">
        <v>6790</v>
      </c>
      <c r="C3224" s="10" t="s">
        <v>6791</v>
      </c>
      <c r="D3224" s="11">
        <v>42781.557800925926</v>
      </c>
      <c r="E3224" s="10" t="s">
        <v>433</v>
      </c>
    </row>
    <row r="3225" spans="1:5">
      <c r="A3225" s="11">
        <v>42781</v>
      </c>
      <c r="B3225" s="10" t="s">
        <v>6792</v>
      </c>
      <c r="C3225" s="10" t="s">
        <v>6793</v>
      </c>
      <c r="D3225" s="11">
        <v>42781.557905092595</v>
      </c>
      <c r="E3225" s="10" t="s">
        <v>433</v>
      </c>
    </row>
    <row r="3226" spans="1:5">
      <c r="A3226" s="11">
        <v>42781</v>
      </c>
      <c r="B3226" s="10" t="s">
        <v>6794</v>
      </c>
      <c r="C3226" s="10" t="s">
        <v>6795</v>
      </c>
      <c r="D3226" s="11">
        <v>42781.558703703704</v>
      </c>
      <c r="E3226" s="10" t="s">
        <v>373</v>
      </c>
    </row>
    <row r="3227" spans="1:5">
      <c r="A3227" s="11">
        <v>42781</v>
      </c>
      <c r="B3227" s="10" t="s">
        <v>6796</v>
      </c>
      <c r="C3227" s="10" t="s">
        <v>6797</v>
      </c>
      <c r="D3227" s="11">
        <v>42781.560856481483</v>
      </c>
      <c r="E3227" s="10" t="s">
        <v>433</v>
      </c>
    </row>
    <row r="3228" spans="1:5" ht="21.6">
      <c r="A3228" s="11">
        <v>42781</v>
      </c>
      <c r="B3228" s="10" t="s">
        <v>6798</v>
      </c>
      <c r="C3228" s="10" t="s">
        <v>6799</v>
      </c>
      <c r="D3228" s="11">
        <v>42781.562002314815</v>
      </c>
      <c r="E3228" s="10" t="s">
        <v>597</v>
      </c>
    </row>
    <row r="3229" spans="1:5">
      <c r="A3229" s="11">
        <v>42781</v>
      </c>
      <c r="B3229" s="10" t="s">
        <v>6800</v>
      </c>
      <c r="C3229" s="10" t="s">
        <v>6801</v>
      </c>
      <c r="D3229" s="11">
        <v>42781.562164351853</v>
      </c>
      <c r="E3229" s="10" t="s">
        <v>2995</v>
      </c>
    </row>
    <row r="3230" spans="1:5">
      <c r="A3230" s="11">
        <v>42781</v>
      </c>
      <c r="B3230" s="10" t="s">
        <v>6802</v>
      </c>
      <c r="C3230" s="10" t="s">
        <v>6803</v>
      </c>
      <c r="D3230" s="11">
        <v>42781.562754629631</v>
      </c>
      <c r="E3230" s="10" t="s">
        <v>218</v>
      </c>
    </row>
    <row r="3231" spans="1:5">
      <c r="A3231" s="11">
        <v>42781</v>
      </c>
      <c r="B3231" s="10" t="s">
        <v>6804</v>
      </c>
      <c r="C3231" s="10" t="s">
        <v>6805</v>
      </c>
      <c r="D3231" s="11">
        <v>42781.665694444448</v>
      </c>
      <c r="E3231" s="10" t="s">
        <v>380</v>
      </c>
    </row>
    <row r="3232" spans="1:5">
      <c r="A3232" s="11">
        <v>42781</v>
      </c>
      <c r="B3232" s="10" t="s">
        <v>6806</v>
      </c>
      <c r="C3232" s="10" t="s">
        <v>6807</v>
      </c>
      <c r="D3232" s="11">
        <v>42781.566527777781</v>
      </c>
      <c r="E3232" s="10" t="s">
        <v>2124</v>
      </c>
    </row>
    <row r="3233" spans="1:5">
      <c r="A3233" s="11">
        <v>42781</v>
      </c>
      <c r="B3233" s="10" t="s">
        <v>6808</v>
      </c>
      <c r="C3233" s="10" t="s">
        <v>6809</v>
      </c>
      <c r="D3233" s="11">
        <v>42781.566631944443</v>
      </c>
      <c r="E3233" s="10" t="s">
        <v>218</v>
      </c>
    </row>
    <row r="3234" spans="1:5">
      <c r="A3234" s="11">
        <v>42781</v>
      </c>
      <c r="B3234" s="10" t="s">
        <v>6810</v>
      </c>
      <c r="C3234" s="10" t="s">
        <v>6811</v>
      </c>
      <c r="D3234" s="11">
        <v>42781.567812499998</v>
      </c>
      <c r="E3234" s="10" t="s">
        <v>152</v>
      </c>
    </row>
    <row r="3235" spans="1:5">
      <c r="A3235" s="11">
        <v>42781</v>
      </c>
      <c r="B3235" s="10" t="s">
        <v>6812</v>
      </c>
      <c r="C3235" s="10" t="s">
        <v>6813</v>
      </c>
      <c r="D3235" s="11">
        <v>42781.568483796298</v>
      </c>
      <c r="E3235" s="10" t="s">
        <v>433</v>
      </c>
    </row>
    <row r="3236" spans="1:5">
      <c r="A3236" s="11">
        <v>42781</v>
      </c>
      <c r="B3236" s="10" t="s">
        <v>6814</v>
      </c>
      <c r="C3236" s="10" t="s">
        <v>6815</v>
      </c>
      <c r="D3236" s="11">
        <v>42781.569409722222</v>
      </c>
      <c r="E3236" s="10" t="s">
        <v>2442</v>
      </c>
    </row>
    <row r="3237" spans="1:5">
      <c r="A3237" s="11">
        <v>42781</v>
      </c>
      <c r="B3237" s="10" t="s">
        <v>6816</v>
      </c>
      <c r="C3237" s="10" t="s">
        <v>6817</v>
      </c>
      <c r="D3237" s="11">
        <v>42781.569664351853</v>
      </c>
      <c r="E3237" s="10" t="s">
        <v>3550</v>
      </c>
    </row>
    <row r="3238" spans="1:5">
      <c r="A3238" s="11">
        <v>42781</v>
      </c>
      <c r="B3238" s="10" t="s">
        <v>6818</v>
      </c>
      <c r="C3238" s="10" t="s">
        <v>6819</v>
      </c>
      <c r="D3238" s="11">
        <v>42781.570393518516</v>
      </c>
      <c r="E3238" s="10" t="s">
        <v>859</v>
      </c>
    </row>
    <row r="3239" spans="1:5">
      <c r="A3239" s="11">
        <v>42781</v>
      </c>
      <c r="B3239" s="10" t="s">
        <v>6820</v>
      </c>
      <c r="C3239" s="10" t="s">
        <v>6821</v>
      </c>
      <c r="D3239" s="11">
        <v>42781.571608796294</v>
      </c>
      <c r="E3239" s="10" t="s">
        <v>4865</v>
      </c>
    </row>
    <row r="3240" spans="1:5">
      <c r="A3240" s="11">
        <v>42781</v>
      </c>
      <c r="B3240" s="10" t="s">
        <v>6822</v>
      </c>
      <c r="C3240" s="10" t="s">
        <v>6823</v>
      </c>
      <c r="D3240" s="11">
        <v>42782.620995370373</v>
      </c>
      <c r="E3240" s="10" t="s">
        <v>122</v>
      </c>
    </row>
    <row r="3241" spans="1:5">
      <c r="A3241" s="11">
        <v>42781</v>
      </c>
      <c r="B3241" s="10" t="s">
        <v>6824</v>
      </c>
      <c r="C3241" s="10" t="s">
        <v>6825</v>
      </c>
      <c r="D3241" s="11">
        <v>42781.573414351849</v>
      </c>
      <c r="E3241" s="10" t="s">
        <v>608</v>
      </c>
    </row>
    <row r="3242" spans="1:5">
      <c r="A3242" s="11">
        <v>42781</v>
      </c>
      <c r="B3242" s="10" t="s">
        <v>6826</v>
      </c>
      <c r="C3242" s="10" t="s">
        <v>6827</v>
      </c>
      <c r="D3242" s="11">
        <v>42781.575023148151</v>
      </c>
      <c r="E3242" s="10" t="s">
        <v>2515</v>
      </c>
    </row>
    <row r="3243" spans="1:5">
      <c r="A3243" s="11">
        <v>42781</v>
      </c>
      <c r="B3243" s="10" t="s">
        <v>6828</v>
      </c>
      <c r="C3243" s="10" t="s">
        <v>6829</v>
      </c>
      <c r="D3243" s="11">
        <v>42781.575057870374</v>
      </c>
      <c r="E3243" s="10" t="s">
        <v>433</v>
      </c>
    </row>
    <row r="3244" spans="1:5" ht="21.6">
      <c r="A3244" s="11">
        <v>42781</v>
      </c>
      <c r="B3244" s="10" t="s">
        <v>6830</v>
      </c>
      <c r="C3244" s="10" t="s">
        <v>6831</v>
      </c>
      <c r="D3244" s="11">
        <v>42781.57739583333</v>
      </c>
      <c r="E3244" s="10" t="s">
        <v>3027</v>
      </c>
    </row>
    <row r="3245" spans="1:5">
      <c r="A3245" s="11">
        <v>42781</v>
      </c>
      <c r="B3245" s="10" t="s">
        <v>6832</v>
      </c>
      <c r="C3245" s="10" t="s">
        <v>6833</v>
      </c>
      <c r="D3245" s="11">
        <v>42781.577627314815</v>
      </c>
      <c r="E3245" s="10" t="s">
        <v>433</v>
      </c>
    </row>
    <row r="3246" spans="1:5" ht="21.6">
      <c r="A3246" s="11">
        <v>42781</v>
      </c>
      <c r="B3246" s="10" t="s">
        <v>6834</v>
      </c>
      <c r="C3246" s="10" t="s">
        <v>6835</v>
      </c>
      <c r="D3246" s="11">
        <v>42781.577916666669</v>
      </c>
      <c r="E3246" s="10" t="s">
        <v>966</v>
      </c>
    </row>
    <row r="3247" spans="1:5">
      <c r="A3247" s="11">
        <v>42781</v>
      </c>
      <c r="B3247" s="10" t="s">
        <v>6836</v>
      </c>
      <c r="C3247" s="10" t="s">
        <v>6837</v>
      </c>
      <c r="D3247" s="11">
        <v>42781.578067129631</v>
      </c>
      <c r="E3247" s="10" t="s">
        <v>433</v>
      </c>
    </row>
    <row r="3248" spans="1:5">
      <c r="A3248" s="11">
        <v>42781</v>
      </c>
      <c r="B3248" s="10" t="s">
        <v>6838</v>
      </c>
      <c r="C3248" s="10" t="s">
        <v>6839</v>
      </c>
      <c r="D3248" s="11">
        <v>42781.578206018516</v>
      </c>
      <c r="E3248" s="10" t="s">
        <v>240</v>
      </c>
    </row>
    <row r="3249" spans="1:5">
      <c r="A3249" s="11">
        <v>42781</v>
      </c>
      <c r="B3249" s="10" t="s">
        <v>6840</v>
      </c>
      <c r="C3249" s="10" t="s">
        <v>6841</v>
      </c>
      <c r="D3249" s="11">
        <v>42781.579791666663</v>
      </c>
      <c r="E3249" s="10" t="s">
        <v>308</v>
      </c>
    </row>
    <row r="3250" spans="1:5">
      <c r="A3250" s="11">
        <v>42781</v>
      </c>
      <c r="B3250" s="10" t="s">
        <v>6842</v>
      </c>
      <c r="C3250" s="10" t="s">
        <v>6843</v>
      </c>
      <c r="D3250" s="11">
        <v>42781.580960648149</v>
      </c>
      <c r="E3250" s="10" t="s">
        <v>433</v>
      </c>
    </row>
    <row r="3251" spans="1:5">
      <c r="A3251" s="11">
        <v>42781</v>
      </c>
      <c r="B3251" s="10" t="s">
        <v>6844</v>
      </c>
      <c r="C3251" s="10" t="s">
        <v>6845</v>
      </c>
      <c r="D3251" s="11">
        <v>42781.582256944443</v>
      </c>
      <c r="E3251" s="10" t="s">
        <v>373</v>
      </c>
    </row>
    <row r="3252" spans="1:5">
      <c r="A3252" s="11">
        <v>42781</v>
      </c>
      <c r="B3252" s="10" t="s">
        <v>6846</v>
      </c>
      <c r="C3252" s="10" t="s">
        <v>6847</v>
      </c>
      <c r="D3252" s="11">
        <v>42781.582766203705</v>
      </c>
      <c r="E3252" s="10" t="s">
        <v>305</v>
      </c>
    </row>
    <row r="3253" spans="1:5">
      <c r="A3253" s="11">
        <v>42781</v>
      </c>
      <c r="B3253" s="10" t="s">
        <v>6848</v>
      </c>
      <c r="C3253" s="10" t="s">
        <v>6849</v>
      </c>
      <c r="D3253" s="11">
        <v>42781.585266203707</v>
      </c>
      <c r="E3253" s="10" t="s">
        <v>2515</v>
      </c>
    </row>
    <row r="3254" spans="1:5">
      <c r="A3254" s="11">
        <v>42781</v>
      </c>
      <c r="B3254" s="10" t="s">
        <v>6850</v>
      </c>
      <c r="C3254" s="10" t="s">
        <v>6851</v>
      </c>
      <c r="D3254" s="11">
        <v>42781.586354166669</v>
      </c>
      <c r="E3254" s="10" t="s">
        <v>373</v>
      </c>
    </row>
    <row r="3255" spans="1:5">
      <c r="A3255" s="11">
        <v>42781</v>
      </c>
      <c r="B3255" s="10" t="s">
        <v>6852</v>
      </c>
      <c r="C3255" s="10" t="s">
        <v>6853</v>
      </c>
      <c r="D3255" s="11">
        <v>42781.588159722225</v>
      </c>
      <c r="E3255" s="10" t="s">
        <v>656</v>
      </c>
    </row>
    <row r="3256" spans="1:5">
      <c r="A3256" s="11">
        <v>42781</v>
      </c>
      <c r="B3256" s="10" t="s">
        <v>6854</v>
      </c>
      <c r="C3256" s="10" t="s">
        <v>6855</v>
      </c>
      <c r="D3256" s="11">
        <v>42781.588958333334</v>
      </c>
      <c r="E3256" s="10" t="s">
        <v>433</v>
      </c>
    </row>
    <row r="3257" spans="1:5">
      <c r="A3257" s="11">
        <v>42781</v>
      </c>
      <c r="B3257" s="10" t="s">
        <v>6856</v>
      </c>
      <c r="C3257" s="10" t="s">
        <v>6857</v>
      </c>
      <c r="D3257" s="11">
        <v>42782.608124999999</v>
      </c>
      <c r="E3257" s="10" t="s">
        <v>2186</v>
      </c>
    </row>
    <row r="3258" spans="1:5" ht="21.6">
      <c r="A3258" s="11">
        <v>42781</v>
      </c>
      <c r="B3258" s="10" t="s">
        <v>6858</v>
      </c>
      <c r="C3258" s="10" t="s">
        <v>6859</v>
      </c>
      <c r="D3258" s="11">
        <v>42782.436678240738</v>
      </c>
      <c r="E3258" s="10" t="s">
        <v>133</v>
      </c>
    </row>
    <row r="3259" spans="1:5">
      <c r="A3259" s="11">
        <v>42781</v>
      </c>
      <c r="B3259" s="10" t="s">
        <v>6860</v>
      </c>
      <c r="C3259" s="10" t="s">
        <v>6861</v>
      </c>
      <c r="D3259" s="11">
        <v>42781.888032407405</v>
      </c>
      <c r="E3259" s="10" t="s">
        <v>320</v>
      </c>
    </row>
    <row r="3260" spans="1:5">
      <c r="A3260" s="11">
        <v>42781</v>
      </c>
      <c r="B3260" s="10" t="s">
        <v>6862</v>
      </c>
      <c r="C3260" s="10" t="s">
        <v>6863</v>
      </c>
      <c r="D3260" s="11">
        <v>42781.592905092592</v>
      </c>
      <c r="E3260" s="10" t="s">
        <v>373</v>
      </c>
    </row>
    <row r="3261" spans="1:5">
      <c r="A3261" s="11">
        <v>42781</v>
      </c>
      <c r="B3261" s="10" t="s">
        <v>6864</v>
      </c>
      <c r="C3261" s="10" t="s">
        <v>6865</v>
      </c>
      <c r="D3261" s="11">
        <v>42781.623483796298</v>
      </c>
      <c r="E3261" s="10" t="s">
        <v>433</v>
      </c>
    </row>
    <row r="3262" spans="1:5">
      <c r="A3262" s="11">
        <v>42781</v>
      </c>
      <c r="B3262" s="10" t="s">
        <v>6866</v>
      </c>
      <c r="C3262" s="10" t="s">
        <v>6867</v>
      </c>
      <c r="D3262" s="11">
        <v>42781.593668981484</v>
      </c>
      <c r="E3262" s="10" t="s">
        <v>373</v>
      </c>
    </row>
    <row r="3263" spans="1:5">
      <c r="A3263" s="11">
        <v>42781</v>
      </c>
      <c r="B3263" s="10" t="s">
        <v>6868</v>
      </c>
      <c r="C3263" s="10" t="s">
        <v>6869</v>
      </c>
      <c r="D3263" s="11">
        <v>42781.594236111108</v>
      </c>
      <c r="E3263" s="10" t="s">
        <v>5449</v>
      </c>
    </row>
    <row r="3264" spans="1:5">
      <c r="A3264" s="11">
        <v>42781</v>
      </c>
      <c r="B3264" s="10" t="s">
        <v>6870</v>
      </c>
      <c r="C3264" s="10" t="s">
        <v>6871</v>
      </c>
      <c r="D3264" s="11">
        <v>42781.59511574074</v>
      </c>
      <c r="E3264" s="10" t="s">
        <v>1103</v>
      </c>
    </row>
    <row r="3265" spans="1:5">
      <c r="A3265" s="11">
        <v>42781</v>
      </c>
      <c r="B3265" s="10" t="s">
        <v>6872</v>
      </c>
      <c r="C3265" s="10" t="s">
        <v>6873</v>
      </c>
      <c r="D3265" s="11">
        <v>42781.595543981479</v>
      </c>
      <c r="E3265" s="10" t="s">
        <v>373</v>
      </c>
    </row>
    <row r="3266" spans="1:5">
      <c r="A3266" s="11">
        <v>42781</v>
      </c>
      <c r="B3266" s="10" t="s">
        <v>6874</v>
      </c>
      <c r="C3266" s="10" t="s">
        <v>6875</v>
      </c>
      <c r="D3266" s="11">
        <v>42781.595625000002</v>
      </c>
      <c r="E3266" s="10" t="s">
        <v>1103</v>
      </c>
    </row>
    <row r="3267" spans="1:5">
      <c r="A3267" s="11">
        <v>42781</v>
      </c>
      <c r="B3267" s="10" t="s">
        <v>6876</v>
      </c>
      <c r="C3267" s="10" t="s">
        <v>6877</v>
      </c>
      <c r="D3267" s="11">
        <v>42782.026400462964</v>
      </c>
      <c r="E3267" s="10" t="s">
        <v>2144</v>
      </c>
    </row>
    <row r="3268" spans="1:5">
      <c r="A3268" s="11">
        <v>42781</v>
      </c>
      <c r="B3268" s="10" t="s">
        <v>6878</v>
      </c>
      <c r="C3268" s="10" t="s">
        <v>6879</v>
      </c>
      <c r="D3268" s="11">
        <v>42781.596585648149</v>
      </c>
      <c r="E3268" s="10" t="s">
        <v>193</v>
      </c>
    </row>
    <row r="3269" spans="1:5">
      <c r="A3269" s="11">
        <v>42781</v>
      </c>
      <c r="B3269" s="10" t="s">
        <v>6880</v>
      </c>
      <c r="C3269" s="10" t="s">
        <v>6881</v>
      </c>
      <c r="D3269" s="11">
        <v>42781.597037037034</v>
      </c>
      <c r="E3269" s="10" t="s">
        <v>656</v>
      </c>
    </row>
    <row r="3270" spans="1:5">
      <c r="A3270" s="11">
        <v>42781</v>
      </c>
      <c r="B3270" s="10" t="s">
        <v>6882</v>
      </c>
      <c r="C3270" s="10" t="s">
        <v>6883</v>
      </c>
      <c r="D3270" s="11">
        <v>42781.597777777781</v>
      </c>
      <c r="E3270" s="10" t="s">
        <v>859</v>
      </c>
    </row>
    <row r="3271" spans="1:5">
      <c r="A3271" s="11">
        <v>42781</v>
      </c>
      <c r="B3271" s="10" t="s">
        <v>6884</v>
      </c>
      <c r="C3271" s="10" t="s">
        <v>6885</v>
      </c>
      <c r="D3271" s="11">
        <v>42781.598229166666</v>
      </c>
      <c r="E3271" s="10" t="s">
        <v>320</v>
      </c>
    </row>
    <row r="3272" spans="1:5">
      <c r="A3272" s="11">
        <v>42781</v>
      </c>
      <c r="B3272" s="10" t="s">
        <v>6886</v>
      </c>
      <c r="C3272" s="10" t="s">
        <v>6887</v>
      </c>
      <c r="D3272" s="11">
        <v>42781.598935185182</v>
      </c>
      <c r="E3272" s="10" t="s">
        <v>193</v>
      </c>
    </row>
    <row r="3273" spans="1:5">
      <c r="A3273" s="11">
        <v>42781</v>
      </c>
      <c r="B3273" s="10" t="s">
        <v>6888</v>
      </c>
      <c r="C3273" s="10" t="s">
        <v>6889</v>
      </c>
      <c r="D3273" s="11">
        <v>42781.599178240744</v>
      </c>
      <c r="E3273" s="10" t="s">
        <v>237</v>
      </c>
    </row>
    <row r="3274" spans="1:5" ht="21.6">
      <c r="A3274" s="11">
        <v>42781</v>
      </c>
      <c r="B3274" s="10" t="s">
        <v>6890</v>
      </c>
      <c r="C3274" s="10" t="s">
        <v>6891</v>
      </c>
      <c r="D3274" s="11">
        <v>42781.599456018521</v>
      </c>
      <c r="E3274" s="10" t="s">
        <v>149</v>
      </c>
    </row>
    <row r="3275" spans="1:5">
      <c r="A3275" s="11">
        <v>42781</v>
      </c>
      <c r="B3275" s="10" t="s">
        <v>6892</v>
      </c>
      <c r="C3275" s="10" t="s">
        <v>6893</v>
      </c>
      <c r="D3275" s="11">
        <v>42781.600821759261</v>
      </c>
      <c r="E3275" s="10" t="s">
        <v>373</v>
      </c>
    </row>
    <row r="3276" spans="1:5">
      <c r="A3276" s="11">
        <v>42781</v>
      </c>
      <c r="B3276" s="10" t="s">
        <v>6894</v>
      </c>
      <c r="C3276" s="10" t="s">
        <v>6895</v>
      </c>
      <c r="D3276" s="11">
        <v>42781.601111111115</v>
      </c>
      <c r="E3276" s="10" t="s">
        <v>240</v>
      </c>
    </row>
    <row r="3277" spans="1:5">
      <c r="A3277" s="11">
        <v>42781</v>
      </c>
      <c r="B3277" s="10" t="s">
        <v>6896</v>
      </c>
      <c r="C3277" s="10" t="s">
        <v>6897</v>
      </c>
      <c r="D3277" s="11">
        <v>42781.601782407408</v>
      </c>
      <c r="E3277" s="10" t="s">
        <v>373</v>
      </c>
    </row>
    <row r="3278" spans="1:5">
      <c r="A3278" s="11">
        <v>42781</v>
      </c>
      <c r="B3278" s="10" t="s">
        <v>6898</v>
      </c>
      <c r="C3278" s="10" t="s">
        <v>6899</v>
      </c>
      <c r="D3278" s="11">
        <v>42781.602731481478</v>
      </c>
      <c r="E3278" s="10" t="s">
        <v>433</v>
      </c>
    </row>
    <row r="3279" spans="1:5">
      <c r="A3279" s="11">
        <v>42781</v>
      </c>
      <c r="B3279" s="10" t="s">
        <v>6900</v>
      </c>
      <c r="C3279" s="10" t="s">
        <v>6901</v>
      </c>
      <c r="D3279" s="11">
        <v>42781.604016203702</v>
      </c>
      <c r="E3279" s="10" t="s">
        <v>433</v>
      </c>
    </row>
    <row r="3280" spans="1:5">
      <c r="A3280" s="11">
        <v>42781</v>
      </c>
      <c r="B3280" s="10" t="s">
        <v>6902</v>
      </c>
      <c r="C3280" s="10" t="s">
        <v>6903</v>
      </c>
      <c r="D3280" s="11">
        <v>42782.504050925927</v>
      </c>
      <c r="E3280" s="10" t="s">
        <v>308</v>
      </c>
    </row>
    <row r="3281" spans="1:5">
      <c r="A3281" s="11">
        <v>42781</v>
      </c>
      <c r="B3281" s="10" t="s">
        <v>6904</v>
      </c>
      <c r="C3281" s="10" t="s">
        <v>6905</v>
      </c>
      <c r="D3281" s="11">
        <v>42781.604166666664</v>
      </c>
      <c r="E3281" s="10" t="s">
        <v>433</v>
      </c>
    </row>
    <row r="3282" spans="1:5">
      <c r="A3282" s="11">
        <v>42781</v>
      </c>
      <c r="B3282" s="10" t="s">
        <v>6906</v>
      </c>
      <c r="C3282" s="10" t="s">
        <v>6907</v>
      </c>
      <c r="D3282" s="11">
        <v>42781.604375000003</v>
      </c>
      <c r="E3282" s="10" t="s">
        <v>433</v>
      </c>
    </row>
    <row r="3283" spans="1:5">
      <c r="A3283" s="11">
        <v>42781</v>
      </c>
      <c r="B3283" s="10" t="s">
        <v>6908</v>
      </c>
      <c r="C3283" s="10" t="s">
        <v>6909</v>
      </c>
      <c r="D3283" s="11">
        <v>42781.605081018519</v>
      </c>
      <c r="E3283" s="10" t="s">
        <v>707</v>
      </c>
    </row>
    <row r="3284" spans="1:5">
      <c r="A3284" s="11">
        <v>42781</v>
      </c>
      <c r="B3284" s="10" t="s">
        <v>6910</v>
      </c>
      <c r="C3284" s="10" t="s">
        <v>6911</v>
      </c>
      <c r="D3284" s="11">
        <v>42781.605532407404</v>
      </c>
      <c r="E3284" s="10" t="s">
        <v>433</v>
      </c>
    </row>
    <row r="3285" spans="1:5">
      <c r="A3285" s="11">
        <v>42781</v>
      </c>
      <c r="B3285" s="10" t="s">
        <v>6912</v>
      </c>
      <c r="C3285" s="10" t="s">
        <v>6913</v>
      </c>
      <c r="D3285" s="11">
        <v>42781.605694444443</v>
      </c>
      <c r="E3285" s="10" t="s">
        <v>707</v>
      </c>
    </row>
    <row r="3286" spans="1:5">
      <c r="A3286" s="11">
        <v>42781</v>
      </c>
      <c r="B3286" s="10" t="s">
        <v>6914</v>
      </c>
      <c r="C3286" s="10" t="s">
        <v>6915</v>
      </c>
      <c r="D3286" s="11">
        <v>42781.608541666668</v>
      </c>
      <c r="E3286" s="10" t="s">
        <v>433</v>
      </c>
    </row>
    <row r="3287" spans="1:5">
      <c r="A3287" s="11">
        <v>42781</v>
      </c>
      <c r="B3287" s="10" t="s">
        <v>6916</v>
      </c>
      <c r="C3287" s="10" t="s">
        <v>6917</v>
      </c>
      <c r="D3287" s="11">
        <v>42781.60900462963</v>
      </c>
      <c r="E3287" s="10" t="s">
        <v>433</v>
      </c>
    </row>
    <row r="3288" spans="1:5">
      <c r="A3288" s="11">
        <v>42781</v>
      </c>
      <c r="B3288" s="10" t="s">
        <v>6918</v>
      </c>
      <c r="C3288" s="10" t="s">
        <v>6919</v>
      </c>
      <c r="D3288" s="11">
        <v>42781.609131944446</v>
      </c>
      <c r="E3288" s="10" t="s">
        <v>152</v>
      </c>
    </row>
    <row r="3289" spans="1:5">
      <c r="A3289" s="11">
        <v>42781</v>
      </c>
      <c r="B3289" s="10" t="s">
        <v>6920</v>
      </c>
      <c r="C3289" s="10" t="s">
        <v>6921</v>
      </c>
      <c r="D3289" s="11">
        <v>42781.610706018517</v>
      </c>
      <c r="E3289" s="10" t="s">
        <v>6922</v>
      </c>
    </row>
    <row r="3290" spans="1:5">
      <c r="A3290" s="11">
        <v>42781</v>
      </c>
      <c r="B3290" s="10" t="s">
        <v>6923</v>
      </c>
      <c r="C3290" s="10" t="s">
        <v>6924</v>
      </c>
      <c r="D3290" s="11">
        <v>42781.611064814817</v>
      </c>
      <c r="E3290" s="10" t="s">
        <v>433</v>
      </c>
    </row>
    <row r="3291" spans="1:5">
      <c r="A3291" s="11">
        <v>42781</v>
      </c>
      <c r="B3291" s="10" t="s">
        <v>6925</v>
      </c>
      <c r="C3291" s="10" t="s">
        <v>6926</v>
      </c>
      <c r="D3291" s="11">
        <v>42781.612569444442</v>
      </c>
      <c r="E3291" s="10" t="s">
        <v>240</v>
      </c>
    </row>
    <row r="3292" spans="1:5" ht="21.6">
      <c r="A3292" s="11">
        <v>42781</v>
      </c>
      <c r="B3292" s="10" t="s">
        <v>6927</v>
      </c>
      <c r="C3292" s="10" t="s">
        <v>6928</v>
      </c>
      <c r="D3292" s="11">
        <v>42782.528761574074</v>
      </c>
      <c r="E3292" s="10" t="s">
        <v>257</v>
      </c>
    </row>
    <row r="3293" spans="1:5">
      <c r="A3293" s="11">
        <v>42781</v>
      </c>
      <c r="B3293" s="10" t="s">
        <v>6929</v>
      </c>
      <c r="C3293" s="10" t="s">
        <v>6930</v>
      </c>
      <c r="D3293" s="11">
        <v>42781.613067129627</v>
      </c>
      <c r="E3293" s="10" t="s">
        <v>433</v>
      </c>
    </row>
    <row r="3294" spans="1:5">
      <c r="A3294" s="11">
        <v>42781</v>
      </c>
      <c r="B3294" s="10" t="s">
        <v>6931</v>
      </c>
      <c r="C3294" s="10" t="s">
        <v>6932</v>
      </c>
      <c r="D3294" s="11">
        <v>42781.61347222222</v>
      </c>
      <c r="E3294" s="10" t="s">
        <v>433</v>
      </c>
    </row>
    <row r="3295" spans="1:5">
      <c r="A3295" s="11">
        <v>42781</v>
      </c>
      <c r="B3295" s="10" t="s">
        <v>6933</v>
      </c>
      <c r="C3295" s="10" t="s">
        <v>6934</v>
      </c>
      <c r="D3295" s="11">
        <v>42781.613506944443</v>
      </c>
      <c r="E3295" s="10" t="s">
        <v>707</v>
      </c>
    </row>
    <row r="3296" spans="1:5">
      <c r="A3296" s="11">
        <v>42781</v>
      </c>
      <c r="B3296" s="10" t="s">
        <v>6935</v>
      </c>
      <c r="C3296" s="10" t="s">
        <v>6936</v>
      </c>
      <c r="D3296" s="11">
        <v>42781.613900462966</v>
      </c>
      <c r="E3296" s="10" t="s">
        <v>656</v>
      </c>
    </row>
    <row r="3297" spans="1:5">
      <c r="A3297" s="11">
        <v>42781</v>
      </c>
      <c r="B3297" s="10" t="s">
        <v>6937</v>
      </c>
      <c r="C3297" s="10" t="s">
        <v>6938</v>
      </c>
      <c r="D3297" s="11">
        <v>42781.614594907405</v>
      </c>
      <c r="E3297" s="10" t="s">
        <v>380</v>
      </c>
    </row>
    <row r="3298" spans="1:5">
      <c r="A3298" s="11">
        <v>42781</v>
      </c>
      <c r="B3298" s="10" t="s">
        <v>6939</v>
      </c>
      <c r="C3298" s="10" t="s">
        <v>6940</v>
      </c>
      <c r="D3298" s="11">
        <v>42781.615046296298</v>
      </c>
      <c r="E3298" s="10" t="s">
        <v>433</v>
      </c>
    </row>
    <row r="3299" spans="1:5">
      <c r="A3299" s="11">
        <v>42781</v>
      </c>
      <c r="B3299" s="10" t="s">
        <v>6941</v>
      </c>
      <c r="C3299" s="10" t="s">
        <v>6942</v>
      </c>
      <c r="D3299" s="11">
        <v>42781.615381944444</v>
      </c>
      <c r="E3299" s="10" t="s">
        <v>320</v>
      </c>
    </row>
    <row r="3300" spans="1:5">
      <c r="A3300" s="11">
        <v>42781</v>
      </c>
      <c r="B3300" s="10" t="s">
        <v>6943</v>
      </c>
      <c r="C3300" s="10" t="s">
        <v>6944</v>
      </c>
      <c r="D3300" s="11">
        <v>42781.615532407406</v>
      </c>
      <c r="E3300" s="10" t="s">
        <v>320</v>
      </c>
    </row>
    <row r="3301" spans="1:5">
      <c r="A3301" s="11">
        <v>42781</v>
      </c>
      <c r="B3301" s="10" t="s">
        <v>6945</v>
      </c>
      <c r="C3301" s="10" t="s">
        <v>6946</v>
      </c>
      <c r="D3301" s="11">
        <v>42781.616273148145</v>
      </c>
      <c r="E3301" s="10" t="s">
        <v>433</v>
      </c>
    </row>
    <row r="3302" spans="1:5">
      <c r="A3302" s="11">
        <v>42781</v>
      </c>
      <c r="B3302" s="10" t="s">
        <v>6947</v>
      </c>
      <c r="C3302" s="10" t="s">
        <v>6948</v>
      </c>
      <c r="D3302" s="11">
        <v>42781.617372685185</v>
      </c>
      <c r="E3302" s="10" t="s">
        <v>320</v>
      </c>
    </row>
    <row r="3303" spans="1:5">
      <c r="A3303" s="11">
        <v>42781</v>
      </c>
      <c r="B3303" s="10" t="s">
        <v>6949</v>
      </c>
      <c r="C3303" s="10" t="s">
        <v>6950</v>
      </c>
      <c r="D3303" s="11">
        <v>42781.618703703702</v>
      </c>
      <c r="E3303" s="10" t="s">
        <v>178</v>
      </c>
    </row>
    <row r="3304" spans="1:5">
      <c r="A3304" s="11">
        <v>42781</v>
      </c>
      <c r="B3304" s="10" t="s">
        <v>6951</v>
      </c>
      <c r="C3304" s="10" t="s">
        <v>6952</v>
      </c>
      <c r="D3304" s="11">
        <v>42781.619467592594</v>
      </c>
      <c r="E3304" s="10" t="s">
        <v>3997</v>
      </c>
    </row>
    <row r="3305" spans="1:5">
      <c r="A3305" s="11">
        <v>42781</v>
      </c>
      <c r="B3305" s="10" t="s">
        <v>6953</v>
      </c>
      <c r="C3305" s="10" t="s">
        <v>6954</v>
      </c>
      <c r="D3305" s="11">
        <v>42781.636562500003</v>
      </c>
      <c r="E3305" s="10" t="s">
        <v>218</v>
      </c>
    </row>
    <row r="3306" spans="1:5">
      <c r="A3306" s="11">
        <v>42781</v>
      </c>
      <c r="B3306" s="10" t="s">
        <v>6955</v>
      </c>
      <c r="C3306" s="10" t="s">
        <v>6956</v>
      </c>
      <c r="D3306" s="11">
        <v>42781.622604166667</v>
      </c>
      <c r="E3306" s="10" t="s">
        <v>433</v>
      </c>
    </row>
    <row r="3307" spans="1:5">
      <c r="A3307" s="11">
        <v>42781</v>
      </c>
      <c r="B3307" s="10" t="s">
        <v>6957</v>
      </c>
      <c r="C3307" s="10" t="s">
        <v>6958</v>
      </c>
      <c r="D3307" s="11">
        <v>42781.62263888889</v>
      </c>
      <c r="E3307" s="10" t="s">
        <v>373</v>
      </c>
    </row>
    <row r="3308" spans="1:5">
      <c r="A3308" s="11">
        <v>42781</v>
      </c>
      <c r="B3308" s="10" t="s">
        <v>6959</v>
      </c>
      <c r="C3308" s="10" t="s">
        <v>6960</v>
      </c>
      <c r="D3308" s="11">
        <v>42781.623819444445</v>
      </c>
      <c r="E3308" s="10" t="s">
        <v>178</v>
      </c>
    </row>
    <row r="3309" spans="1:5">
      <c r="A3309" s="11">
        <v>42781</v>
      </c>
      <c r="B3309" s="10" t="s">
        <v>6961</v>
      </c>
      <c r="C3309" s="10" t="s">
        <v>6962</v>
      </c>
      <c r="D3309" s="11">
        <v>42781.625034722223</v>
      </c>
      <c r="E3309" s="10" t="s">
        <v>433</v>
      </c>
    </row>
    <row r="3310" spans="1:5">
      <c r="A3310" s="11">
        <v>42781</v>
      </c>
      <c r="B3310" s="10" t="s">
        <v>6963</v>
      </c>
      <c r="C3310" s="10" t="s">
        <v>6964</v>
      </c>
      <c r="D3310" s="11">
        <v>42781.62599537037</v>
      </c>
      <c r="E3310" s="10" t="s">
        <v>1190</v>
      </c>
    </row>
    <row r="3311" spans="1:5">
      <c r="A3311" s="11">
        <v>42781</v>
      </c>
      <c r="B3311" s="10" t="s">
        <v>6965</v>
      </c>
      <c r="C3311" s="10" t="s">
        <v>6966</v>
      </c>
      <c r="D3311" s="11">
        <v>42782.480520833335</v>
      </c>
      <c r="E3311" s="10" t="s">
        <v>2688</v>
      </c>
    </row>
    <row r="3312" spans="1:5">
      <c r="A3312" s="11">
        <v>42781</v>
      </c>
      <c r="B3312" s="10" t="s">
        <v>6967</v>
      </c>
      <c r="C3312" s="10" t="s">
        <v>6968</v>
      </c>
      <c r="D3312" s="11">
        <v>42781.628067129626</v>
      </c>
      <c r="E3312" s="10" t="s">
        <v>6712</v>
      </c>
    </row>
    <row r="3313" spans="1:5">
      <c r="A3313" s="11">
        <v>42781</v>
      </c>
      <c r="B3313" s="10" t="s">
        <v>6969</v>
      </c>
      <c r="C3313" s="10" t="s">
        <v>6970</v>
      </c>
      <c r="D3313" s="11">
        <v>42781.629212962966</v>
      </c>
      <c r="E3313" s="10" t="s">
        <v>433</v>
      </c>
    </row>
    <row r="3314" spans="1:5">
      <c r="A3314" s="11">
        <v>42781</v>
      </c>
      <c r="B3314" s="10" t="s">
        <v>6971</v>
      </c>
      <c r="C3314" s="10" t="s">
        <v>6972</v>
      </c>
      <c r="D3314" s="11">
        <v>42781.629745370374</v>
      </c>
      <c r="E3314" s="10" t="s">
        <v>3434</v>
      </c>
    </row>
    <row r="3315" spans="1:5">
      <c r="A3315" s="11">
        <v>42781</v>
      </c>
      <c r="B3315" s="10" t="s">
        <v>6973</v>
      </c>
      <c r="C3315" s="10" t="s">
        <v>6974</v>
      </c>
      <c r="D3315" s="11">
        <v>42782.670358796298</v>
      </c>
      <c r="E3315" s="10" t="s">
        <v>122</v>
      </c>
    </row>
    <row r="3316" spans="1:5">
      <c r="A3316" s="11">
        <v>42781</v>
      </c>
      <c r="B3316" s="10" t="s">
        <v>6975</v>
      </c>
      <c r="C3316" s="10" t="s">
        <v>6976</v>
      </c>
      <c r="D3316" s="11">
        <v>42781.630590277775</v>
      </c>
      <c r="E3316" s="10" t="s">
        <v>433</v>
      </c>
    </row>
    <row r="3317" spans="1:5">
      <c r="A3317" s="11">
        <v>42781</v>
      </c>
      <c r="B3317" s="10" t="s">
        <v>6977</v>
      </c>
      <c r="C3317" s="10" t="s">
        <v>6978</v>
      </c>
      <c r="D3317" s="11">
        <v>42781.630833333336</v>
      </c>
      <c r="E3317" s="10" t="s">
        <v>683</v>
      </c>
    </row>
    <row r="3318" spans="1:5">
      <c r="A3318" s="11">
        <v>42781</v>
      </c>
      <c r="B3318" s="10" t="s">
        <v>6979</v>
      </c>
      <c r="C3318" s="10" t="s">
        <v>6980</v>
      </c>
      <c r="D3318" s="11">
        <v>42781.703032407408</v>
      </c>
      <c r="E3318" s="10" t="s">
        <v>218</v>
      </c>
    </row>
    <row r="3319" spans="1:5">
      <c r="A3319" s="11">
        <v>42781</v>
      </c>
      <c r="B3319" s="10" t="s">
        <v>6981</v>
      </c>
      <c r="C3319" s="10" t="s">
        <v>6982</v>
      </c>
      <c r="D3319" s="11">
        <v>42781.632696759261</v>
      </c>
      <c r="E3319" s="10" t="s">
        <v>433</v>
      </c>
    </row>
    <row r="3320" spans="1:5">
      <c r="A3320" s="11">
        <v>42781</v>
      </c>
      <c r="B3320" s="10" t="s">
        <v>6983</v>
      </c>
      <c r="C3320" s="10" t="s">
        <v>6984</v>
      </c>
      <c r="D3320" s="11">
        <v>42782.706747685188</v>
      </c>
      <c r="E3320" s="10" t="s">
        <v>2865</v>
      </c>
    </row>
    <row r="3321" spans="1:5">
      <c r="A3321" s="11">
        <v>42781</v>
      </c>
      <c r="B3321" s="10" t="s">
        <v>6985</v>
      </c>
      <c r="C3321" s="10" t="s">
        <v>6986</v>
      </c>
      <c r="D3321" s="11">
        <v>42781.634097222224</v>
      </c>
      <c r="E3321" s="10" t="s">
        <v>433</v>
      </c>
    </row>
    <row r="3322" spans="1:5">
      <c r="A3322" s="11">
        <v>42781</v>
      </c>
      <c r="B3322" s="10" t="s">
        <v>6987</v>
      </c>
      <c r="C3322" s="10" t="s">
        <v>6988</v>
      </c>
      <c r="D3322" s="11">
        <v>42781.634270833332</v>
      </c>
      <c r="E3322" s="10" t="s">
        <v>433</v>
      </c>
    </row>
    <row r="3323" spans="1:5">
      <c r="A3323" s="11">
        <v>42781</v>
      </c>
      <c r="B3323" s="10" t="s">
        <v>6989</v>
      </c>
      <c r="C3323" s="10" t="s">
        <v>6990</v>
      </c>
      <c r="D3323" s="11">
        <v>42782.688564814816</v>
      </c>
      <c r="E3323" s="10" t="s">
        <v>433</v>
      </c>
    </row>
    <row r="3324" spans="1:5">
      <c r="A3324" s="11">
        <v>42781</v>
      </c>
      <c r="B3324" s="10" t="s">
        <v>6991</v>
      </c>
      <c r="C3324" s="10" t="s">
        <v>6992</v>
      </c>
      <c r="D3324" s="11">
        <v>42781.636273148149</v>
      </c>
      <c r="E3324" s="10" t="s">
        <v>433</v>
      </c>
    </row>
    <row r="3325" spans="1:5">
      <c r="A3325" s="11">
        <v>42781</v>
      </c>
      <c r="B3325" s="10" t="s">
        <v>6993</v>
      </c>
      <c r="C3325" s="10" t="s">
        <v>6994</v>
      </c>
      <c r="D3325" s="11">
        <v>42781.636435185188</v>
      </c>
      <c r="E3325" s="10" t="s">
        <v>433</v>
      </c>
    </row>
    <row r="3326" spans="1:5">
      <c r="A3326" s="11">
        <v>42781</v>
      </c>
      <c r="B3326" s="10" t="s">
        <v>6995</v>
      </c>
      <c r="C3326" s="10" t="s">
        <v>6996</v>
      </c>
      <c r="D3326" s="11">
        <v>42781.637291666666</v>
      </c>
      <c r="E3326" s="10" t="s">
        <v>320</v>
      </c>
    </row>
    <row r="3327" spans="1:5">
      <c r="A3327" s="11">
        <v>42781</v>
      </c>
      <c r="B3327" s="10" t="s">
        <v>6997</v>
      </c>
      <c r="C3327" s="10" t="s">
        <v>6998</v>
      </c>
      <c r="D3327" s="11">
        <v>42781.637453703705</v>
      </c>
      <c r="E3327" s="10" t="s">
        <v>218</v>
      </c>
    </row>
    <row r="3328" spans="1:5">
      <c r="A3328" s="11">
        <v>42781</v>
      </c>
      <c r="B3328" s="10" t="s">
        <v>6999</v>
      </c>
      <c r="C3328" s="10" t="s">
        <v>7000</v>
      </c>
      <c r="D3328" s="11">
        <v>42781.63753472222</v>
      </c>
      <c r="E3328" s="10" t="s">
        <v>240</v>
      </c>
    </row>
    <row r="3329" spans="1:5">
      <c r="A3329" s="11">
        <v>42781</v>
      </c>
      <c r="B3329" s="10" t="s">
        <v>7001</v>
      </c>
      <c r="C3329" s="10" t="s">
        <v>7002</v>
      </c>
      <c r="D3329" s="11">
        <v>42781.637650462966</v>
      </c>
      <c r="E3329" s="10" t="s">
        <v>4865</v>
      </c>
    </row>
    <row r="3330" spans="1:5">
      <c r="A3330" s="11">
        <v>42781</v>
      </c>
      <c r="B3330" s="10" t="s">
        <v>7003</v>
      </c>
      <c r="C3330" s="10" t="s">
        <v>7004</v>
      </c>
      <c r="D3330" s="11">
        <v>42781.638460648152</v>
      </c>
      <c r="E3330" s="10" t="s">
        <v>433</v>
      </c>
    </row>
    <row r="3331" spans="1:5">
      <c r="A3331" s="11">
        <v>42781</v>
      </c>
      <c r="B3331" s="10" t="s">
        <v>7005</v>
      </c>
      <c r="C3331" s="10" t="s">
        <v>7006</v>
      </c>
      <c r="D3331" s="11">
        <v>42781.638749999998</v>
      </c>
      <c r="E3331" s="10" t="s">
        <v>433</v>
      </c>
    </row>
    <row r="3332" spans="1:5">
      <c r="A3332" s="11">
        <v>42781</v>
      </c>
      <c r="B3332" s="10" t="s">
        <v>7007</v>
      </c>
      <c r="C3332" s="10" t="s">
        <v>7008</v>
      </c>
      <c r="D3332" s="11">
        <v>42781.639710648145</v>
      </c>
      <c r="E3332" s="10" t="s">
        <v>433</v>
      </c>
    </row>
    <row r="3333" spans="1:5">
      <c r="A3333" s="11">
        <v>42781</v>
      </c>
      <c r="B3333" s="10" t="s">
        <v>7009</v>
      </c>
      <c r="C3333" s="10" t="s">
        <v>7010</v>
      </c>
      <c r="D3333" s="11">
        <v>42781.640219907407</v>
      </c>
      <c r="E3333" s="10" t="s">
        <v>656</v>
      </c>
    </row>
    <row r="3334" spans="1:5">
      <c r="A3334" s="11">
        <v>42781</v>
      </c>
      <c r="B3334" s="10" t="s">
        <v>7011</v>
      </c>
      <c r="C3334" s="10" t="s">
        <v>7012</v>
      </c>
      <c r="D3334" s="11">
        <v>42781.640659722223</v>
      </c>
      <c r="E3334" s="10" t="s">
        <v>380</v>
      </c>
    </row>
    <row r="3335" spans="1:5">
      <c r="A3335" s="11">
        <v>42781</v>
      </c>
      <c r="B3335" s="10" t="s">
        <v>7013</v>
      </c>
      <c r="C3335" s="10" t="s">
        <v>7014</v>
      </c>
      <c r="D3335" s="11">
        <v>42781.640740740739</v>
      </c>
      <c r="E3335" s="10" t="s">
        <v>130</v>
      </c>
    </row>
    <row r="3336" spans="1:5">
      <c r="A3336" s="11">
        <v>42781</v>
      </c>
      <c r="B3336" s="10" t="s">
        <v>7015</v>
      </c>
      <c r="C3336" s="10" t="s">
        <v>7016</v>
      </c>
      <c r="D3336" s="11">
        <v>42781.641550925924</v>
      </c>
      <c r="E3336" s="10" t="s">
        <v>237</v>
      </c>
    </row>
    <row r="3337" spans="1:5">
      <c r="A3337" s="11">
        <v>42781</v>
      </c>
      <c r="B3337" s="10" t="s">
        <v>7017</v>
      </c>
      <c r="C3337" s="10" t="s">
        <v>7018</v>
      </c>
      <c r="D3337" s="11">
        <v>42781.642071759263</v>
      </c>
      <c r="E3337" s="10" t="s">
        <v>373</v>
      </c>
    </row>
    <row r="3338" spans="1:5">
      <c r="A3338" s="11">
        <v>42781</v>
      </c>
      <c r="B3338" s="10" t="s">
        <v>7019</v>
      </c>
      <c r="C3338" s="10" t="s">
        <v>7020</v>
      </c>
      <c r="D3338" s="11">
        <v>42781.642175925925</v>
      </c>
      <c r="E3338" s="10" t="s">
        <v>373</v>
      </c>
    </row>
    <row r="3339" spans="1:5">
      <c r="A3339" s="11">
        <v>42781</v>
      </c>
      <c r="B3339" s="10" t="s">
        <v>7021</v>
      </c>
      <c r="C3339" s="10" t="s">
        <v>7022</v>
      </c>
      <c r="D3339" s="11">
        <v>42781.642731481479</v>
      </c>
      <c r="E3339" s="10" t="s">
        <v>240</v>
      </c>
    </row>
    <row r="3340" spans="1:5">
      <c r="A3340" s="11">
        <v>42781</v>
      </c>
      <c r="B3340" s="10" t="s">
        <v>7023</v>
      </c>
      <c r="C3340" s="10" t="s">
        <v>7024</v>
      </c>
      <c r="D3340" s="11">
        <v>42781.643391203703</v>
      </c>
      <c r="E3340" s="10" t="s">
        <v>1103</v>
      </c>
    </row>
    <row r="3341" spans="1:5">
      <c r="A3341" s="11">
        <v>42781</v>
      </c>
      <c r="B3341" s="10" t="s">
        <v>7025</v>
      </c>
      <c r="C3341" s="10" t="s">
        <v>7026</v>
      </c>
      <c r="D3341" s="11">
        <v>42781.643391203703</v>
      </c>
      <c r="E3341" s="10" t="s">
        <v>902</v>
      </c>
    </row>
    <row r="3342" spans="1:5">
      <c r="A3342" s="11">
        <v>42781</v>
      </c>
      <c r="B3342" s="10" t="s">
        <v>7027</v>
      </c>
      <c r="C3342" s="10" t="s">
        <v>7028</v>
      </c>
      <c r="D3342" s="11">
        <v>42781.643761574072</v>
      </c>
      <c r="E3342" s="10" t="s">
        <v>108</v>
      </c>
    </row>
    <row r="3343" spans="1:5">
      <c r="A3343" s="11">
        <v>42781</v>
      </c>
      <c r="B3343" s="10" t="s">
        <v>7029</v>
      </c>
      <c r="C3343" s="10" t="s">
        <v>7030</v>
      </c>
      <c r="D3343" s="11">
        <v>42781.644548611112</v>
      </c>
      <c r="E3343" s="10" t="s">
        <v>433</v>
      </c>
    </row>
    <row r="3344" spans="1:5">
      <c r="A3344" s="11">
        <v>42781</v>
      </c>
      <c r="B3344" s="10" t="s">
        <v>7031</v>
      </c>
      <c r="C3344" s="10" t="s">
        <v>7032</v>
      </c>
      <c r="D3344" s="11">
        <v>42781.645219907405</v>
      </c>
      <c r="E3344" s="10" t="s">
        <v>320</v>
      </c>
    </row>
    <row r="3345" spans="1:5">
      <c r="A3345" s="11">
        <v>42781</v>
      </c>
      <c r="B3345" s="10" t="s">
        <v>7033</v>
      </c>
      <c r="C3345" s="10" t="s">
        <v>7034</v>
      </c>
      <c r="D3345" s="11">
        <v>42781.645740740743</v>
      </c>
      <c r="E3345" s="10" t="s">
        <v>373</v>
      </c>
    </row>
    <row r="3346" spans="1:5">
      <c r="A3346" s="11">
        <v>42781</v>
      </c>
      <c r="B3346" s="10" t="s">
        <v>7035</v>
      </c>
      <c r="C3346" s="10" t="s">
        <v>7036</v>
      </c>
      <c r="D3346" s="11">
        <v>42781.646689814814</v>
      </c>
      <c r="E3346" s="10" t="s">
        <v>215</v>
      </c>
    </row>
    <row r="3347" spans="1:5">
      <c r="A3347" s="11">
        <v>42781</v>
      </c>
      <c r="B3347" s="10" t="s">
        <v>7037</v>
      </c>
      <c r="C3347" s="10" t="s">
        <v>7038</v>
      </c>
      <c r="D3347" s="11">
        <v>42781.648194444446</v>
      </c>
      <c r="E3347" s="10" t="s">
        <v>433</v>
      </c>
    </row>
    <row r="3348" spans="1:5">
      <c r="A3348" s="11">
        <v>42781</v>
      </c>
      <c r="B3348" s="10" t="s">
        <v>7039</v>
      </c>
      <c r="C3348" s="10" t="s">
        <v>7040</v>
      </c>
      <c r="D3348" s="11">
        <v>42781.649722222224</v>
      </c>
      <c r="E3348" s="10" t="s">
        <v>308</v>
      </c>
    </row>
    <row r="3349" spans="1:5">
      <c r="A3349" s="11">
        <v>42781</v>
      </c>
      <c r="B3349" s="10" t="s">
        <v>7041</v>
      </c>
      <c r="C3349" s="10" t="s">
        <v>7042</v>
      </c>
      <c r="D3349" s="11">
        <v>42781.649895833332</v>
      </c>
      <c r="E3349" s="10" t="s">
        <v>683</v>
      </c>
    </row>
    <row r="3350" spans="1:5">
      <c r="A3350" s="11">
        <v>42781</v>
      </c>
      <c r="B3350" s="10" t="s">
        <v>7043</v>
      </c>
      <c r="C3350" s="10" t="s">
        <v>7044</v>
      </c>
      <c r="D3350" s="11">
        <v>42781.649907407409</v>
      </c>
      <c r="E3350" s="10" t="s">
        <v>240</v>
      </c>
    </row>
    <row r="3351" spans="1:5">
      <c r="A3351" s="11">
        <v>42781</v>
      </c>
      <c r="B3351" s="10" t="s">
        <v>7045</v>
      </c>
      <c r="C3351" s="10" t="s">
        <v>7046</v>
      </c>
      <c r="D3351" s="11">
        <v>42781.651469907411</v>
      </c>
      <c r="E3351" s="10" t="s">
        <v>122</v>
      </c>
    </row>
    <row r="3352" spans="1:5">
      <c r="A3352" s="11">
        <v>42781</v>
      </c>
      <c r="B3352" s="10" t="s">
        <v>7047</v>
      </c>
      <c r="C3352" s="10" t="s">
        <v>7048</v>
      </c>
      <c r="D3352" s="11">
        <v>42781.654224537036</v>
      </c>
      <c r="E3352" s="10" t="s">
        <v>656</v>
      </c>
    </row>
    <row r="3353" spans="1:5">
      <c r="A3353" s="11">
        <v>42781</v>
      </c>
      <c r="B3353" s="10" t="s">
        <v>7049</v>
      </c>
      <c r="C3353" s="10" t="s">
        <v>7050</v>
      </c>
      <c r="D3353" s="11">
        <v>42781.655115740738</v>
      </c>
      <c r="E3353" s="10" t="s">
        <v>373</v>
      </c>
    </row>
    <row r="3354" spans="1:5">
      <c r="A3354" s="11">
        <v>42781</v>
      </c>
      <c r="B3354" s="10" t="s">
        <v>7051</v>
      </c>
      <c r="C3354" s="10" t="s">
        <v>7052</v>
      </c>
      <c r="D3354" s="11">
        <v>42781.655289351853</v>
      </c>
      <c r="E3354" s="10" t="s">
        <v>433</v>
      </c>
    </row>
    <row r="3355" spans="1:5">
      <c r="A3355" s="11">
        <v>42781</v>
      </c>
      <c r="B3355" s="10" t="s">
        <v>7053</v>
      </c>
      <c r="C3355" s="10" t="s">
        <v>7054</v>
      </c>
      <c r="D3355" s="11">
        <v>42781.6562037037</v>
      </c>
      <c r="E3355" s="10" t="s">
        <v>433</v>
      </c>
    </row>
    <row r="3356" spans="1:5">
      <c r="A3356" s="11">
        <v>42781</v>
      </c>
      <c r="B3356" s="10" t="s">
        <v>7055</v>
      </c>
      <c r="C3356" s="10" t="s">
        <v>7056</v>
      </c>
      <c r="D3356" s="11">
        <v>42781.656527777777</v>
      </c>
      <c r="E3356" s="10" t="s">
        <v>96</v>
      </c>
    </row>
    <row r="3357" spans="1:5">
      <c r="A3357" s="11">
        <v>42781</v>
      </c>
      <c r="B3357" s="10" t="s">
        <v>7057</v>
      </c>
      <c r="C3357" s="10" t="s">
        <v>7058</v>
      </c>
      <c r="D3357" s="11">
        <v>42781.656770833331</v>
      </c>
      <c r="E3357" s="10" t="s">
        <v>155</v>
      </c>
    </row>
    <row r="3358" spans="1:5">
      <c r="A3358" s="11">
        <v>42781</v>
      </c>
      <c r="B3358" s="10" t="s">
        <v>7059</v>
      </c>
      <c r="C3358" s="10" t="s">
        <v>7060</v>
      </c>
      <c r="D3358" s="11">
        <v>42782.549467592595</v>
      </c>
      <c r="E3358" s="10" t="s">
        <v>193</v>
      </c>
    </row>
    <row r="3359" spans="1:5">
      <c r="A3359" s="11">
        <v>42781</v>
      </c>
      <c r="B3359" s="10" t="s">
        <v>7061</v>
      </c>
      <c r="C3359" s="10" t="s">
        <v>7062</v>
      </c>
      <c r="D3359" s="11">
        <v>42781.657407407409</v>
      </c>
      <c r="E3359" s="10" t="s">
        <v>433</v>
      </c>
    </row>
    <row r="3360" spans="1:5">
      <c r="A3360" s="11">
        <v>42781</v>
      </c>
      <c r="B3360" s="10" t="s">
        <v>7063</v>
      </c>
      <c r="C3360" s="10" t="s">
        <v>7064</v>
      </c>
      <c r="D3360" s="11">
        <v>42781.657685185186</v>
      </c>
      <c r="E3360" s="10" t="s">
        <v>433</v>
      </c>
    </row>
    <row r="3361" spans="1:5">
      <c r="A3361" s="11">
        <v>42781</v>
      </c>
      <c r="B3361" s="10" t="s">
        <v>7065</v>
      </c>
      <c r="C3361" s="10" t="s">
        <v>7066</v>
      </c>
      <c r="D3361" s="11">
        <v>42781.658206018517</v>
      </c>
      <c r="E3361" s="10" t="s">
        <v>433</v>
      </c>
    </row>
    <row r="3362" spans="1:5">
      <c r="A3362" s="11">
        <v>42781</v>
      </c>
      <c r="B3362" s="10" t="s">
        <v>7067</v>
      </c>
      <c r="C3362" s="10" t="s">
        <v>7068</v>
      </c>
      <c r="D3362" s="11">
        <v>42781.659108796295</v>
      </c>
      <c r="E3362" s="10" t="s">
        <v>433</v>
      </c>
    </row>
    <row r="3363" spans="1:5">
      <c r="A3363" s="11">
        <v>42781</v>
      </c>
      <c r="B3363" s="10" t="s">
        <v>7069</v>
      </c>
      <c r="C3363" s="10" t="s">
        <v>7070</v>
      </c>
      <c r="D3363" s="11">
        <v>42781.659837962965</v>
      </c>
      <c r="E3363" s="10" t="s">
        <v>155</v>
      </c>
    </row>
    <row r="3364" spans="1:5">
      <c r="A3364" s="11">
        <v>42781</v>
      </c>
      <c r="B3364" s="10" t="s">
        <v>7071</v>
      </c>
      <c r="C3364" s="10" t="s">
        <v>7072</v>
      </c>
      <c r="D3364" s="11">
        <v>42781.66207175926</v>
      </c>
      <c r="E3364" s="10" t="s">
        <v>433</v>
      </c>
    </row>
    <row r="3365" spans="1:5">
      <c r="A3365" s="11">
        <v>42781</v>
      </c>
      <c r="B3365" s="10" t="s">
        <v>7073</v>
      </c>
      <c r="C3365" s="10" t="s">
        <v>7074</v>
      </c>
      <c r="D3365" s="11">
        <v>42781.662152777775</v>
      </c>
      <c r="E3365" s="10" t="s">
        <v>433</v>
      </c>
    </row>
    <row r="3366" spans="1:5">
      <c r="A3366" s="11">
        <v>42781</v>
      </c>
      <c r="B3366" s="10" t="s">
        <v>7075</v>
      </c>
      <c r="C3366" s="10" t="s">
        <v>7076</v>
      </c>
      <c r="D3366" s="11">
        <v>42781.739525462966</v>
      </c>
      <c r="E3366" s="10" t="s">
        <v>2742</v>
      </c>
    </row>
    <row r="3367" spans="1:5">
      <c r="A3367" s="11">
        <v>42781</v>
      </c>
      <c r="B3367" s="10" t="s">
        <v>7077</v>
      </c>
      <c r="C3367" s="10" t="s">
        <v>7078</v>
      </c>
      <c r="D3367" s="11">
        <v>42781.662557870368</v>
      </c>
      <c r="E3367" s="10" t="s">
        <v>218</v>
      </c>
    </row>
    <row r="3368" spans="1:5">
      <c r="A3368" s="11">
        <v>42781</v>
      </c>
      <c r="B3368" s="10" t="s">
        <v>7079</v>
      </c>
      <c r="C3368" s="10" t="s">
        <v>7080</v>
      </c>
      <c r="D3368" s="11">
        <v>42781.662881944445</v>
      </c>
      <c r="E3368" s="10" t="s">
        <v>946</v>
      </c>
    </row>
    <row r="3369" spans="1:5">
      <c r="A3369" s="11">
        <v>42781</v>
      </c>
      <c r="B3369" s="10" t="s">
        <v>7081</v>
      </c>
      <c r="C3369" s="10" t="s">
        <v>7082</v>
      </c>
      <c r="D3369" s="11">
        <v>42781.663738425923</v>
      </c>
      <c r="E3369" s="10" t="s">
        <v>218</v>
      </c>
    </row>
    <row r="3370" spans="1:5">
      <c r="A3370" s="11">
        <v>42781</v>
      </c>
      <c r="B3370" s="10" t="s">
        <v>7083</v>
      </c>
      <c r="C3370" s="10" t="s">
        <v>7084</v>
      </c>
      <c r="D3370" s="11">
        <v>42781.663888888892</v>
      </c>
      <c r="E3370" s="10" t="s">
        <v>215</v>
      </c>
    </row>
    <row r="3371" spans="1:5" ht="21.6">
      <c r="A3371" s="11">
        <v>42781</v>
      </c>
      <c r="B3371" s="10" t="s">
        <v>7085</v>
      </c>
      <c r="C3371" s="10" t="s">
        <v>7086</v>
      </c>
      <c r="D3371" s="11">
        <v>42781.663993055554</v>
      </c>
      <c r="E3371" s="10" t="s">
        <v>966</v>
      </c>
    </row>
    <row r="3372" spans="1:5">
      <c r="A3372" s="11">
        <v>42781</v>
      </c>
      <c r="B3372" s="10" t="s">
        <v>7087</v>
      </c>
      <c r="C3372" s="10" t="s">
        <v>7088</v>
      </c>
      <c r="D3372" s="11">
        <v>42782.628298611111</v>
      </c>
      <c r="E3372" s="10" t="s">
        <v>320</v>
      </c>
    </row>
    <row r="3373" spans="1:5">
      <c r="A3373" s="11">
        <v>42781</v>
      </c>
      <c r="B3373" s="10" t="s">
        <v>7089</v>
      </c>
      <c r="C3373" s="10" t="s">
        <v>7090</v>
      </c>
      <c r="D3373" s="11">
        <v>42781.666504629633</v>
      </c>
      <c r="E3373" s="10" t="s">
        <v>152</v>
      </c>
    </row>
    <row r="3374" spans="1:5">
      <c r="A3374" s="11">
        <v>42781</v>
      </c>
      <c r="B3374" s="10" t="s">
        <v>7091</v>
      </c>
      <c r="C3374" s="10" t="s">
        <v>7092</v>
      </c>
      <c r="D3374" s="11">
        <v>42781.666979166665</v>
      </c>
      <c r="E3374" s="10" t="s">
        <v>193</v>
      </c>
    </row>
    <row r="3375" spans="1:5">
      <c r="A3375" s="11">
        <v>42781</v>
      </c>
      <c r="B3375" s="10" t="s">
        <v>7093</v>
      </c>
      <c r="C3375" s="10" t="s">
        <v>7094</v>
      </c>
      <c r="D3375" s="11">
        <v>42781.667500000003</v>
      </c>
      <c r="E3375" s="10" t="s">
        <v>320</v>
      </c>
    </row>
    <row r="3376" spans="1:5">
      <c r="A3376" s="11">
        <v>42781</v>
      </c>
      <c r="B3376" s="10" t="s">
        <v>7095</v>
      </c>
      <c r="C3376" s="10" t="s">
        <v>7096</v>
      </c>
      <c r="D3376" s="11">
        <v>42782.397372685184</v>
      </c>
      <c r="E3376" s="10" t="s">
        <v>433</v>
      </c>
    </row>
    <row r="3377" spans="1:5">
      <c r="A3377" s="11">
        <v>42781</v>
      </c>
      <c r="B3377" s="10" t="s">
        <v>7097</v>
      </c>
      <c r="C3377" s="10" t="s">
        <v>7098</v>
      </c>
      <c r="D3377" s="11">
        <v>42781.671990740739</v>
      </c>
      <c r="E3377" s="10" t="s">
        <v>479</v>
      </c>
    </row>
    <row r="3378" spans="1:5">
      <c r="A3378" s="11">
        <v>42781</v>
      </c>
      <c r="B3378" s="10" t="s">
        <v>7099</v>
      </c>
      <c r="C3378" s="10" t="s">
        <v>7100</v>
      </c>
      <c r="D3378" s="11">
        <v>42781.673148148147</v>
      </c>
      <c r="E3378" s="10" t="s">
        <v>433</v>
      </c>
    </row>
    <row r="3379" spans="1:5">
      <c r="A3379" s="11">
        <v>42781</v>
      </c>
      <c r="B3379" s="10" t="s">
        <v>7101</v>
      </c>
      <c r="C3379" s="10" t="s">
        <v>7102</v>
      </c>
      <c r="D3379" s="11">
        <v>42782.375578703701</v>
      </c>
      <c r="E3379" s="10" t="s">
        <v>1208</v>
      </c>
    </row>
    <row r="3380" spans="1:5">
      <c r="A3380" s="11">
        <v>42781</v>
      </c>
      <c r="B3380" s="10" t="s">
        <v>7103</v>
      </c>
      <c r="C3380" s="10" t="s">
        <v>7104</v>
      </c>
      <c r="D3380" s="11">
        <v>42781.67328703704</v>
      </c>
      <c r="E3380" s="10" t="s">
        <v>433</v>
      </c>
    </row>
    <row r="3381" spans="1:5">
      <c r="A3381" s="11">
        <v>42781</v>
      </c>
      <c r="B3381" s="10" t="s">
        <v>7105</v>
      </c>
      <c r="C3381" s="10" t="s">
        <v>7106</v>
      </c>
      <c r="D3381" s="11">
        <v>42781.695925925924</v>
      </c>
      <c r="E3381" s="10" t="s">
        <v>1208</v>
      </c>
    </row>
    <row r="3382" spans="1:5">
      <c r="A3382" s="11">
        <v>42781</v>
      </c>
      <c r="B3382" s="10" t="s">
        <v>7107</v>
      </c>
      <c r="C3382" s="10" t="s">
        <v>7108</v>
      </c>
      <c r="D3382" s="11">
        <v>42781.674421296295</v>
      </c>
      <c r="E3382" s="10" t="s">
        <v>215</v>
      </c>
    </row>
    <row r="3383" spans="1:5">
      <c r="A3383" s="11">
        <v>42781</v>
      </c>
      <c r="B3383" s="10" t="s">
        <v>7109</v>
      </c>
      <c r="C3383" s="10" t="s">
        <v>7110</v>
      </c>
      <c r="D3383" s="11">
        <v>42781.676585648151</v>
      </c>
      <c r="E3383" s="10" t="s">
        <v>240</v>
      </c>
    </row>
    <row r="3384" spans="1:5">
      <c r="A3384" s="11">
        <v>42781</v>
      </c>
      <c r="B3384" s="10" t="s">
        <v>7111</v>
      </c>
      <c r="C3384" s="10" t="s">
        <v>7112</v>
      </c>
      <c r="D3384" s="11">
        <v>42781.677881944444</v>
      </c>
      <c r="E3384" s="10" t="s">
        <v>433</v>
      </c>
    </row>
    <row r="3385" spans="1:5">
      <c r="A3385" s="11">
        <v>42781</v>
      </c>
      <c r="B3385" s="10" t="s">
        <v>7113</v>
      </c>
      <c r="C3385" s="10" t="s">
        <v>7114</v>
      </c>
      <c r="D3385" s="11">
        <v>42781.678657407407</v>
      </c>
      <c r="E3385" s="10" t="s">
        <v>433</v>
      </c>
    </row>
    <row r="3386" spans="1:5">
      <c r="A3386" s="11">
        <v>42781</v>
      </c>
      <c r="B3386" s="10" t="s">
        <v>7115</v>
      </c>
      <c r="C3386" s="10" t="s">
        <v>7116</v>
      </c>
      <c r="D3386" s="11">
        <v>42781.679710648146</v>
      </c>
      <c r="E3386" s="10" t="s">
        <v>240</v>
      </c>
    </row>
    <row r="3387" spans="1:5">
      <c r="A3387" s="11">
        <v>42781</v>
      </c>
      <c r="B3387" s="10" t="s">
        <v>7117</v>
      </c>
      <c r="C3387" s="10" t="s">
        <v>7118</v>
      </c>
      <c r="D3387" s="11">
        <v>42781.680254629631</v>
      </c>
      <c r="E3387" s="10" t="s">
        <v>240</v>
      </c>
    </row>
    <row r="3388" spans="1:5">
      <c r="A3388" s="11">
        <v>42781</v>
      </c>
      <c r="B3388" s="10" t="s">
        <v>7119</v>
      </c>
      <c r="C3388" s="10" t="s">
        <v>7120</v>
      </c>
      <c r="D3388" s="11">
        <v>42781.681296296294</v>
      </c>
      <c r="E3388" s="10" t="s">
        <v>902</v>
      </c>
    </row>
    <row r="3389" spans="1:5">
      <c r="A3389" s="11">
        <v>42781</v>
      </c>
      <c r="B3389" s="10" t="s">
        <v>7121</v>
      </c>
      <c r="C3389" s="10" t="s">
        <v>7122</v>
      </c>
      <c r="D3389" s="11">
        <v>42781.681701388887</v>
      </c>
      <c r="E3389" s="10" t="s">
        <v>2180</v>
      </c>
    </row>
    <row r="3390" spans="1:5">
      <c r="A3390" s="11">
        <v>42781</v>
      </c>
      <c r="B3390" s="10" t="s">
        <v>7123</v>
      </c>
      <c r="C3390" s="10" t="s">
        <v>7124</v>
      </c>
      <c r="D3390" s="11">
        <v>42781.682395833333</v>
      </c>
      <c r="E3390" s="10" t="s">
        <v>2978</v>
      </c>
    </row>
    <row r="3391" spans="1:5">
      <c r="A3391" s="11">
        <v>42781</v>
      </c>
      <c r="B3391" s="10" t="s">
        <v>7125</v>
      </c>
      <c r="C3391" s="10" t="s">
        <v>7126</v>
      </c>
      <c r="D3391" s="11">
        <v>42781.682557870372</v>
      </c>
      <c r="E3391" s="10" t="s">
        <v>108</v>
      </c>
    </row>
    <row r="3392" spans="1:5">
      <c r="A3392" s="11">
        <v>42781</v>
      </c>
      <c r="B3392" s="10" t="s">
        <v>7127</v>
      </c>
      <c r="C3392" s="10" t="s">
        <v>7128</v>
      </c>
      <c r="D3392" s="11">
        <v>42781.682951388888</v>
      </c>
      <c r="E3392" s="10" t="s">
        <v>138</v>
      </c>
    </row>
    <row r="3393" spans="1:5">
      <c r="A3393" s="11">
        <v>42781</v>
      </c>
      <c r="B3393" s="10" t="s">
        <v>7129</v>
      </c>
      <c r="C3393" s="10" t="s">
        <v>7130</v>
      </c>
      <c r="D3393" s="11">
        <v>42781.682974537034</v>
      </c>
      <c r="E3393" s="10" t="s">
        <v>237</v>
      </c>
    </row>
    <row r="3394" spans="1:5">
      <c r="A3394" s="11">
        <v>42781</v>
      </c>
      <c r="B3394" s="10" t="s">
        <v>7131</v>
      </c>
      <c r="C3394" s="10" t="s">
        <v>7132</v>
      </c>
      <c r="D3394" s="11">
        <v>42781.683113425926</v>
      </c>
      <c r="E3394" s="10" t="s">
        <v>625</v>
      </c>
    </row>
    <row r="3395" spans="1:5">
      <c r="A3395" s="11">
        <v>42781</v>
      </c>
      <c r="B3395" s="10" t="s">
        <v>7133</v>
      </c>
      <c r="C3395" s="10" t="s">
        <v>7134</v>
      </c>
      <c r="D3395" s="11">
        <v>42781.683229166665</v>
      </c>
      <c r="E3395" s="10" t="s">
        <v>237</v>
      </c>
    </row>
    <row r="3396" spans="1:5">
      <c r="A3396" s="11">
        <v>42781</v>
      </c>
      <c r="B3396" s="10" t="s">
        <v>7135</v>
      </c>
      <c r="C3396" s="10" t="s">
        <v>7136</v>
      </c>
      <c r="D3396" s="11">
        <v>42781.683495370373</v>
      </c>
      <c r="E3396" s="10" t="s">
        <v>237</v>
      </c>
    </row>
    <row r="3397" spans="1:5">
      <c r="A3397" s="11">
        <v>42781</v>
      </c>
      <c r="B3397" s="10" t="s">
        <v>7137</v>
      </c>
      <c r="C3397" s="10" t="s">
        <v>7138</v>
      </c>
      <c r="D3397" s="11">
        <v>42781.685219907406</v>
      </c>
      <c r="E3397" s="10" t="s">
        <v>479</v>
      </c>
    </row>
    <row r="3398" spans="1:5">
      <c r="A3398" s="11">
        <v>42781</v>
      </c>
      <c r="B3398" s="10" t="s">
        <v>7139</v>
      </c>
      <c r="C3398" s="10" t="s">
        <v>7140</v>
      </c>
      <c r="D3398" s="11">
        <v>42781.687349537038</v>
      </c>
      <c r="E3398" s="10" t="s">
        <v>683</v>
      </c>
    </row>
    <row r="3399" spans="1:5">
      <c r="A3399" s="11">
        <v>42781</v>
      </c>
      <c r="B3399" s="10" t="s">
        <v>7141</v>
      </c>
      <c r="C3399" s="10" t="s">
        <v>7142</v>
      </c>
      <c r="D3399" s="11">
        <v>42781.840451388889</v>
      </c>
      <c r="E3399" s="10" t="s">
        <v>2180</v>
      </c>
    </row>
    <row r="3400" spans="1:5">
      <c r="A3400" s="11">
        <v>42781</v>
      </c>
      <c r="B3400" s="10" t="s">
        <v>7143</v>
      </c>
      <c r="C3400" s="10" t="s">
        <v>7144</v>
      </c>
      <c r="D3400" s="11">
        <v>42781.722627314812</v>
      </c>
      <c r="E3400" s="10" t="s">
        <v>433</v>
      </c>
    </row>
    <row r="3401" spans="1:5">
      <c r="A3401" s="11">
        <v>42781</v>
      </c>
      <c r="B3401" s="10" t="s">
        <v>7145</v>
      </c>
      <c r="C3401" s="10" t="s">
        <v>7146</v>
      </c>
      <c r="D3401" s="11">
        <v>42781.687881944446</v>
      </c>
      <c r="E3401" s="10" t="s">
        <v>373</v>
      </c>
    </row>
    <row r="3402" spans="1:5">
      <c r="A3402" s="11">
        <v>42781</v>
      </c>
      <c r="B3402" s="10" t="s">
        <v>7147</v>
      </c>
      <c r="C3402" s="10" t="s">
        <v>7148</v>
      </c>
      <c r="D3402" s="11">
        <v>42781.687916666669</v>
      </c>
      <c r="E3402" s="10" t="s">
        <v>433</v>
      </c>
    </row>
    <row r="3403" spans="1:5">
      <c r="A3403" s="11">
        <v>42781</v>
      </c>
      <c r="B3403" s="10" t="s">
        <v>7149</v>
      </c>
      <c r="C3403" s="10" t="s">
        <v>7150</v>
      </c>
      <c r="D3403" s="11">
        <v>42781.687974537039</v>
      </c>
      <c r="E3403" s="10" t="s">
        <v>422</v>
      </c>
    </row>
    <row r="3404" spans="1:5">
      <c r="A3404" s="11">
        <v>42781</v>
      </c>
      <c r="B3404" s="10" t="s">
        <v>7151</v>
      </c>
      <c r="C3404" s="10" t="s">
        <v>7152</v>
      </c>
      <c r="D3404" s="11">
        <v>42781.688356481478</v>
      </c>
      <c r="E3404" s="10" t="s">
        <v>218</v>
      </c>
    </row>
    <row r="3405" spans="1:5">
      <c r="A3405" s="11">
        <v>42781</v>
      </c>
      <c r="B3405" s="10" t="s">
        <v>7153</v>
      </c>
      <c r="C3405" s="10" t="s">
        <v>7154</v>
      </c>
      <c r="D3405" s="11">
        <v>42781.68954861111</v>
      </c>
      <c r="E3405" s="10" t="s">
        <v>122</v>
      </c>
    </row>
    <row r="3406" spans="1:5">
      <c r="A3406" s="11">
        <v>42781</v>
      </c>
      <c r="B3406" s="10" t="s">
        <v>7155</v>
      </c>
      <c r="C3406" s="10" t="s">
        <v>7156</v>
      </c>
      <c r="D3406" s="11">
        <v>42781.690138888887</v>
      </c>
      <c r="E3406" s="10" t="s">
        <v>2180</v>
      </c>
    </row>
    <row r="3407" spans="1:5">
      <c r="A3407" s="11">
        <v>42781</v>
      </c>
      <c r="B3407" s="10" t="s">
        <v>7157</v>
      </c>
      <c r="C3407" s="10" t="s">
        <v>7158</v>
      </c>
      <c r="D3407" s="11">
        <v>42781.690567129626</v>
      </c>
      <c r="E3407" s="10" t="s">
        <v>707</v>
      </c>
    </row>
    <row r="3408" spans="1:5">
      <c r="A3408" s="11">
        <v>42781</v>
      </c>
      <c r="B3408" s="10" t="s">
        <v>7159</v>
      </c>
      <c r="C3408" s="10" t="s">
        <v>7160</v>
      </c>
      <c r="D3408" s="11">
        <v>42781.690659722219</v>
      </c>
      <c r="E3408" s="10" t="s">
        <v>237</v>
      </c>
    </row>
    <row r="3409" spans="1:5">
      <c r="A3409" s="11">
        <v>42781</v>
      </c>
      <c r="B3409" s="10" t="s">
        <v>7161</v>
      </c>
      <c r="C3409" s="10" t="s">
        <v>7162</v>
      </c>
      <c r="D3409" s="11">
        <v>42781.693738425929</v>
      </c>
      <c r="E3409" s="10" t="s">
        <v>608</v>
      </c>
    </row>
    <row r="3410" spans="1:5">
      <c r="A3410" s="11">
        <v>42781</v>
      </c>
      <c r="B3410" s="10" t="s">
        <v>7163</v>
      </c>
      <c r="C3410" s="10" t="s">
        <v>7164</v>
      </c>
      <c r="D3410" s="11">
        <v>42781.696157407408</v>
      </c>
      <c r="E3410" s="10" t="s">
        <v>433</v>
      </c>
    </row>
    <row r="3411" spans="1:5">
      <c r="A3411" s="11">
        <v>42781</v>
      </c>
      <c r="B3411" s="10" t="s">
        <v>7165</v>
      </c>
      <c r="C3411" s="10" t="s">
        <v>7166</v>
      </c>
      <c r="D3411" s="11">
        <v>42781.697604166664</v>
      </c>
      <c r="E3411" s="10" t="s">
        <v>237</v>
      </c>
    </row>
    <row r="3412" spans="1:5">
      <c r="A3412" s="11">
        <v>42781</v>
      </c>
      <c r="B3412" s="10" t="s">
        <v>7167</v>
      </c>
      <c r="C3412" s="10" t="s">
        <v>7168</v>
      </c>
      <c r="D3412" s="11">
        <v>42782.619988425926</v>
      </c>
      <c r="E3412" s="10" t="s">
        <v>433</v>
      </c>
    </row>
    <row r="3413" spans="1:5">
      <c r="A3413" s="11">
        <v>42781</v>
      </c>
      <c r="B3413" s="10" t="s">
        <v>7169</v>
      </c>
      <c r="C3413" s="10" t="s">
        <v>7170</v>
      </c>
      <c r="D3413" s="11">
        <v>42781.698842592596</v>
      </c>
      <c r="E3413" s="10" t="s">
        <v>212</v>
      </c>
    </row>
    <row r="3414" spans="1:5">
      <c r="A3414" s="11">
        <v>42781</v>
      </c>
      <c r="B3414" s="10" t="s">
        <v>7171</v>
      </c>
      <c r="C3414" s="10" t="s">
        <v>7172</v>
      </c>
      <c r="D3414" s="11">
        <v>42781.699143518519</v>
      </c>
      <c r="E3414" s="10" t="s">
        <v>433</v>
      </c>
    </row>
    <row r="3415" spans="1:5">
      <c r="A3415" s="11">
        <v>42781</v>
      </c>
      <c r="B3415" s="10" t="s">
        <v>7173</v>
      </c>
      <c r="C3415" s="10" t="s">
        <v>7174</v>
      </c>
      <c r="D3415" s="11">
        <v>42781.699247685188</v>
      </c>
      <c r="E3415" s="10" t="s">
        <v>193</v>
      </c>
    </row>
    <row r="3416" spans="1:5">
      <c r="A3416" s="11">
        <v>42781</v>
      </c>
      <c r="B3416" s="10" t="s">
        <v>7175</v>
      </c>
      <c r="C3416" s="10" t="s">
        <v>7176</v>
      </c>
      <c r="D3416" s="11">
        <v>42781.699594907404</v>
      </c>
      <c r="E3416" s="10" t="s">
        <v>902</v>
      </c>
    </row>
    <row r="3417" spans="1:5">
      <c r="A3417" s="11">
        <v>42781</v>
      </c>
      <c r="B3417" s="10" t="s">
        <v>7177</v>
      </c>
      <c r="C3417" s="10" t="s">
        <v>7178</v>
      </c>
      <c r="D3417" s="11">
        <v>42781.699907407405</v>
      </c>
      <c r="E3417" s="10" t="s">
        <v>178</v>
      </c>
    </row>
    <row r="3418" spans="1:5">
      <c r="A3418" s="11">
        <v>42781</v>
      </c>
      <c r="B3418" s="10" t="s">
        <v>7179</v>
      </c>
      <c r="C3418" s="10" t="s">
        <v>7180</v>
      </c>
      <c r="D3418" s="11">
        <v>42781.701527777775</v>
      </c>
      <c r="E3418" s="10" t="s">
        <v>320</v>
      </c>
    </row>
    <row r="3419" spans="1:5">
      <c r="A3419" s="11">
        <v>42781</v>
      </c>
      <c r="B3419" s="10" t="s">
        <v>7181</v>
      </c>
      <c r="C3419" s="10" t="s">
        <v>7182</v>
      </c>
      <c r="D3419" s="11">
        <v>42782.432685185187</v>
      </c>
      <c r="E3419" s="10" t="s">
        <v>308</v>
      </c>
    </row>
    <row r="3420" spans="1:5">
      <c r="A3420" s="11">
        <v>42781</v>
      </c>
      <c r="B3420" s="10" t="s">
        <v>7183</v>
      </c>
      <c r="C3420" s="10" t="s">
        <v>7184</v>
      </c>
      <c r="D3420" s="11">
        <v>42781.702280092592</v>
      </c>
      <c r="E3420" s="10" t="s">
        <v>2180</v>
      </c>
    </row>
    <row r="3421" spans="1:5">
      <c r="A3421" s="11">
        <v>42781</v>
      </c>
      <c r="B3421" s="10" t="s">
        <v>7185</v>
      </c>
      <c r="C3421" s="10" t="s">
        <v>7186</v>
      </c>
      <c r="D3421" s="11">
        <v>42781.703194444446</v>
      </c>
      <c r="E3421" s="10" t="s">
        <v>218</v>
      </c>
    </row>
    <row r="3422" spans="1:5" ht="21.6">
      <c r="A3422" s="11">
        <v>42781</v>
      </c>
      <c r="B3422" s="10" t="s">
        <v>7187</v>
      </c>
      <c r="C3422" s="10" t="s">
        <v>7188</v>
      </c>
      <c r="D3422" s="11">
        <v>42781.703993055555</v>
      </c>
      <c r="E3422" s="10" t="s">
        <v>2442</v>
      </c>
    </row>
    <row r="3423" spans="1:5">
      <c r="A3423" s="11">
        <v>42781</v>
      </c>
      <c r="B3423" s="10" t="s">
        <v>7189</v>
      </c>
      <c r="C3423" s="10" t="s">
        <v>7190</v>
      </c>
      <c r="D3423" s="11">
        <v>42781.705289351848</v>
      </c>
      <c r="E3423" s="10" t="s">
        <v>1361</v>
      </c>
    </row>
    <row r="3424" spans="1:5">
      <c r="A3424" s="11">
        <v>42781</v>
      </c>
      <c r="B3424" s="10" t="s">
        <v>7191</v>
      </c>
      <c r="C3424" s="10" t="s">
        <v>7192</v>
      </c>
      <c r="D3424" s="11">
        <v>42781.837071759262</v>
      </c>
      <c r="E3424" s="10" t="s">
        <v>683</v>
      </c>
    </row>
    <row r="3425" spans="1:5">
      <c r="A3425" s="11">
        <v>42781</v>
      </c>
      <c r="B3425" s="10" t="s">
        <v>7193</v>
      </c>
      <c r="C3425" s="10" t="s">
        <v>7194</v>
      </c>
      <c r="D3425" s="11">
        <v>42781.706736111111</v>
      </c>
      <c r="E3425" s="10" t="s">
        <v>433</v>
      </c>
    </row>
    <row r="3426" spans="1:5">
      <c r="A3426" s="11">
        <v>42781</v>
      </c>
      <c r="B3426" s="10" t="s">
        <v>7195</v>
      </c>
      <c r="C3426" s="10" t="s">
        <v>7196</v>
      </c>
      <c r="D3426" s="11">
        <v>42781.706805555557</v>
      </c>
      <c r="E3426" s="10" t="s">
        <v>152</v>
      </c>
    </row>
    <row r="3427" spans="1:5">
      <c r="A3427" s="11">
        <v>42781</v>
      </c>
      <c r="B3427" s="10" t="s">
        <v>7197</v>
      </c>
      <c r="C3427" s="10" t="s">
        <v>7198</v>
      </c>
      <c r="D3427" s="11">
        <v>42781.710451388892</v>
      </c>
      <c r="E3427" s="10" t="s">
        <v>966</v>
      </c>
    </row>
    <row r="3428" spans="1:5">
      <c r="A3428" s="11">
        <v>42781</v>
      </c>
      <c r="B3428" s="10" t="s">
        <v>7199</v>
      </c>
      <c r="C3428" s="10" t="s">
        <v>7200</v>
      </c>
      <c r="D3428" s="11">
        <v>42781.710960648146</v>
      </c>
      <c r="E3428" s="10" t="s">
        <v>373</v>
      </c>
    </row>
    <row r="3429" spans="1:5">
      <c r="A3429" s="11">
        <v>42781</v>
      </c>
      <c r="B3429" s="10" t="s">
        <v>7201</v>
      </c>
      <c r="C3429" s="10" t="s">
        <v>7202</v>
      </c>
      <c r="D3429" s="11">
        <v>42781.711319444446</v>
      </c>
      <c r="E3429" s="10" t="s">
        <v>966</v>
      </c>
    </row>
    <row r="3430" spans="1:5">
      <c r="A3430" s="11">
        <v>42781</v>
      </c>
      <c r="B3430" s="10" t="s">
        <v>7203</v>
      </c>
      <c r="C3430" s="10" t="s">
        <v>7204</v>
      </c>
      <c r="D3430" s="11">
        <v>42781.712314814817</v>
      </c>
      <c r="E3430" s="10" t="s">
        <v>4862</v>
      </c>
    </row>
    <row r="3431" spans="1:5">
      <c r="A3431" s="11">
        <v>42781</v>
      </c>
      <c r="B3431" s="10" t="s">
        <v>7205</v>
      </c>
      <c r="C3431" s="10" t="s">
        <v>7206</v>
      </c>
      <c r="D3431" s="11">
        <v>42781.71234953704</v>
      </c>
      <c r="E3431" s="10" t="s">
        <v>218</v>
      </c>
    </row>
    <row r="3432" spans="1:5">
      <c r="A3432" s="11">
        <v>42781</v>
      </c>
      <c r="B3432" s="10" t="s">
        <v>7207</v>
      </c>
      <c r="C3432" s="10" t="s">
        <v>7208</v>
      </c>
      <c r="D3432" s="11">
        <v>42781.71297453704</v>
      </c>
      <c r="E3432" s="10" t="s">
        <v>373</v>
      </c>
    </row>
    <row r="3433" spans="1:5">
      <c r="A3433" s="11">
        <v>42781</v>
      </c>
      <c r="B3433" s="10" t="s">
        <v>7209</v>
      </c>
      <c r="C3433" s="10" t="s">
        <v>7210</v>
      </c>
      <c r="D3433" s="11">
        <v>42781.713634259257</v>
      </c>
      <c r="E3433" s="10" t="s">
        <v>433</v>
      </c>
    </row>
    <row r="3434" spans="1:5">
      <c r="A3434" s="11">
        <v>42781</v>
      </c>
      <c r="B3434" s="10" t="s">
        <v>7211</v>
      </c>
      <c r="C3434" s="10" t="s">
        <v>7212</v>
      </c>
      <c r="D3434" s="11">
        <v>42781.714907407404</v>
      </c>
      <c r="E3434" s="10" t="s">
        <v>433</v>
      </c>
    </row>
    <row r="3435" spans="1:5">
      <c r="A3435" s="11">
        <v>42781</v>
      </c>
      <c r="B3435" s="10" t="s">
        <v>7213</v>
      </c>
      <c r="C3435" s="10" t="s">
        <v>7214</v>
      </c>
      <c r="D3435" s="11">
        <v>42781.714965277781</v>
      </c>
      <c r="E3435" s="10" t="s">
        <v>2180</v>
      </c>
    </row>
    <row r="3436" spans="1:5">
      <c r="A3436" s="11">
        <v>42781</v>
      </c>
      <c r="B3436" s="10" t="s">
        <v>7215</v>
      </c>
      <c r="C3436" s="10" t="s">
        <v>7216</v>
      </c>
      <c r="D3436" s="11">
        <v>42781.71533564815</v>
      </c>
      <c r="E3436" s="10" t="s">
        <v>966</v>
      </c>
    </row>
    <row r="3437" spans="1:5">
      <c r="A3437" s="11">
        <v>42781</v>
      </c>
      <c r="B3437" s="10" t="s">
        <v>7217</v>
      </c>
      <c r="C3437" s="10" t="s">
        <v>7218</v>
      </c>
      <c r="D3437" s="11">
        <v>42781.715370370373</v>
      </c>
      <c r="E3437" s="10" t="s">
        <v>240</v>
      </c>
    </row>
    <row r="3438" spans="1:5">
      <c r="A3438" s="11">
        <v>42781</v>
      </c>
      <c r="B3438" s="10" t="s">
        <v>7219</v>
      </c>
      <c r="C3438" s="10" t="s">
        <v>7220</v>
      </c>
      <c r="D3438" s="11">
        <v>42781.715555555558</v>
      </c>
      <c r="E3438" s="10" t="s">
        <v>240</v>
      </c>
    </row>
    <row r="3439" spans="1:5">
      <c r="A3439" s="11">
        <v>42781</v>
      </c>
      <c r="B3439" s="10" t="s">
        <v>7221</v>
      </c>
      <c r="C3439" s="10" t="s">
        <v>7222</v>
      </c>
      <c r="D3439" s="11">
        <v>42781.716678240744</v>
      </c>
      <c r="E3439" s="10" t="s">
        <v>240</v>
      </c>
    </row>
    <row r="3440" spans="1:5">
      <c r="A3440" s="11">
        <v>42781</v>
      </c>
      <c r="B3440" s="10" t="s">
        <v>7223</v>
      </c>
      <c r="C3440" s="10" t="s">
        <v>7224</v>
      </c>
      <c r="D3440" s="11">
        <v>42781.790856481479</v>
      </c>
      <c r="E3440" s="10" t="s">
        <v>122</v>
      </c>
    </row>
    <row r="3441" spans="1:5">
      <c r="A3441" s="11">
        <v>42781</v>
      </c>
      <c r="B3441" s="10" t="s">
        <v>7225</v>
      </c>
      <c r="C3441" s="10" t="s">
        <v>7226</v>
      </c>
      <c r="D3441" s="11">
        <v>42781.717962962961</v>
      </c>
      <c r="E3441" s="10" t="s">
        <v>653</v>
      </c>
    </row>
    <row r="3442" spans="1:5">
      <c r="A3442" s="11">
        <v>42781</v>
      </c>
      <c r="B3442" s="10" t="s">
        <v>7227</v>
      </c>
      <c r="C3442" s="10" t="s">
        <v>7228</v>
      </c>
      <c r="D3442" s="11">
        <v>42781.718506944446</v>
      </c>
      <c r="E3442" s="10" t="s">
        <v>433</v>
      </c>
    </row>
    <row r="3443" spans="1:5">
      <c r="A3443" s="11">
        <v>42781</v>
      </c>
      <c r="B3443" s="10" t="s">
        <v>7229</v>
      </c>
      <c r="C3443" s="10" t="s">
        <v>7230</v>
      </c>
      <c r="D3443" s="11">
        <v>42781.718854166669</v>
      </c>
      <c r="E3443" s="10" t="s">
        <v>433</v>
      </c>
    </row>
    <row r="3444" spans="1:5">
      <c r="A3444" s="11">
        <v>42781</v>
      </c>
      <c r="B3444" s="10" t="s">
        <v>7231</v>
      </c>
      <c r="C3444" s="10" t="s">
        <v>7232</v>
      </c>
      <c r="D3444" s="11">
        <v>42782.698229166665</v>
      </c>
      <c r="E3444" s="10" t="s">
        <v>380</v>
      </c>
    </row>
    <row r="3445" spans="1:5">
      <c r="A3445" s="11">
        <v>42781</v>
      </c>
      <c r="B3445" s="10" t="s">
        <v>7233</v>
      </c>
      <c r="C3445" s="10" t="s">
        <v>7234</v>
      </c>
      <c r="D3445" s="11">
        <v>42782.623541666668</v>
      </c>
      <c r="E3445" s="10" t="s">
        <v>2201</v>
      </c>
    </row>
    <row r="3446" spans="1:5">
      <c r="A3446" s="11">
        <v>42781</v>
      </c>
      <c r="B3446" s="10" t="s">
        <v>7235</v>
      </c>
      <c r="C3446" s="10" t="s">
        <v>7236</v>
      </c>
      <c r="D3446" s="11">
        <v>42781.724953703706</v>
      </c>
      <c r="E3446" s="10" t="s">
        <v>707</v>
      </c>
    </row>
    <row r="3447" spans="1:5">
      <c r="A3447" s="11">
        <v>42781</v>
      </c>
      <c r="B3447" s="10" t="s">
        <v>7237</v>
      </c>
      <c r="C3447" s="10" t="s">
        <v>7238</v>
      </c>
      <c r="D3447" s="11">
        <v>42781.72515046296</v>
      </c>
      <c r="E3447" s="10" t="s">
        <v>433</v>
      </c>
    </row>
    <row r="3448" spans="1:5">
      <c r="A3448" s="11">
        <v>42781</v>
      </c>
      <c r="B3448" s="10" t="s">
        <v>7239</v>
      </c>
      <c r="C3448" s="10" t="s">
        <v>7240</v>
      </c>
      <c r="D3448" s="11">
        <v>42781.725543981483</v>
      </c>
      <c r="E3448" s="10" t="s">
        <v>433</v>
      </c>
    </row>
    <row r="3449" spans="1:5">
      <c r="A3449" s="11">
        <v>42781</v>
      </c>
      <c r="B3449" s="10" t="s">
        <v>7241</v>
      </c>
      <c r="C3449" s="10" t="s">
        <v>7242</v>
      </c>
      <c r="D3449" s="11">
        <v>42782.644861111112</v>
      </c>
      <c r="E3449" s="10" t="s">
        <v>902</v>
      </c>
    </row>
    <row r="3450" spans="1:5">
      <c r="A3450" s="11">
        <v>42781</v>
      </c>
      <c r="B3450" s="10" t="s">
        <v>7243</v>
      </c>
      <c r="C3450" s="10" t="s">
        <v>7244</v>
      </c>
      <c r="D3450" s="11">
        <v>42781.7268287037</v>
      </c>
      <c r="E3450" s="10" t="s">
        <v>433</v>
      </c>
    </row>
    <row r="3451" spans="1:5">
      <c r="A3451" s="11">
        <v>42781</v>
      </c>
      <c r="B3451" s="10" t="s">
        <v>7245</v>
      </c>
      <c r="C3451" s="10" t="s">
        <v>7246</v>
      </c>
      <c r="D3451" s="11">
        <v>42781.727777777778</v>
      </c>
      <c r="E3451" s="10" t="s">
        <v>320</v>
      </c>
    </row>
    <row r="3452" spans="1:5">
      <c r="A3452" s="11">
        <v>42781</v>
      </c>
      <c r="B3452" s="10" t="s">
        <v>7247</v>
      </c>
      <c r="C3452" s="10" t="s">
        <v>7248</v>
      </c>
      <c r="D3452" s="11">
        <v>42781.729351851849</v>
      </c>
      <c r="E3452" s="10" t="s">
        <v>152</v>
      </c>
    </row>
    <row r="3453" spans="1:5">
      <c r="A3453" s="11">
        <v>42781</v>
      </c>
      <c r="B3453" s="10" t="s">
        <v>7249</v>
      </c>
      <c r="C3453" s="10" t="s">
        <v>7250</v>
      </c>
      <c r="D3453" s="11">
        <v>42782.543356481481</v>
      </c>
      <c r="E3453" s="10" t="s">
        <v>152</v>
      </c>
    </row>
    <row r="3454" spans="1:5">
      <c r="A3454" s="11">
        <v>42781</v>
      </c>
      <c r="B3454" s="10" t="s">
        <v>7251</v>
      </c>
      <c r="C3454" s="10" t="s">
        <v>7252</v>
      </c>
      <c r="D3454" s="11">
        <v>42781.730393518519</v>
      </c>
      <c r="E3454" s="10" t="s">
        <v>707</v>
      </c>
    </row>
    <row r="3455" spans="1:5">
      <c r="A3455" s="11">
        <v>42781</v>
      </c>
      <c r="B3455" s="10" t="s">
        <v>7253</v>
      </c>
      <c r="C3455" s="10" t="s">
        <v>7254</v>
      </c>
      <c r="D3455" s="11">
        <v>42781.730613425927</v>
      </c>
      <c r="E3455" s="10" t="s">
        <v>218</v>
      </c>
    </row>
    <row r="3456" spans="1:5">
      <c r="A3456" s="11">
        <v>42781</v>
      </c>
      <c r="B3456" s="10" t="s">
        <v>7255</v>
      </c>
      <c r="C3456" s="10" t="s">
        <v>7256</v>
      </c>
      <c r="D3456" s="11">
        <v>42781.770439814813</v>
      </c>
      <c r="E3456" s="10" t="s">
        <v>99</v>
      </c>
    </row>
    <row r="3457" spans="1:5">
      <c r="A3457" s="11">
        <v>42781</v>
      </c>
      <c r="B3457" s="10" t="s">
        <v>7257</v>
      </c>
      <c r="C3457" s="10" t="s">
        <v>7258</v>
      </c>
      <c r="D3457" s="11">
        <v>42782.015150462961</v>
      </c>
      <c r="E3457" s="10" t="s">
        <v>122</v>
      </c>
    </row>
    <row r="3458" spans="1:5">
      <c r="A3458" s="11">
        <v>42781</v>
      </c>
      <c r="B3458" s="10" t="s">
        <v>7259</v>
      </c>
      <c r="C3458" s="10" t="s">
        <v>7260</v>
      </c>
      <c r="D3458" s="11">
        <v>42781.731516203705</v>
      </c>
      <c r="E3458" s="10" t="s">
        <v>240</v>
      </c>
    </row>
    <row r="3459" spans="1:5">
      <c r="A3459" s="11">
        <v>42781</v>
      </c>
      <c r="B3459" s="10" t="s">
        <v>7261</v>
      </c>
      <c r="C3459" s="10" t="s">
        <v>7262</v>
      </c>
      <c r="D3459" s="11">
        <v>42781.731527777774</v>
      </c>
      <c r="E3459" s="10" t="s">
        <v>707</v>
      </c>
    </row>
    <row r="3460" spans="1:5">
      <c r="A3460" s="11">
        <v>42781</v>
      </c>
      <c r="B3460" s="10" t="s">
        <v>7263</v>
      </c>
      <c r="C3460" s="10" t="s">
        <v>7264</v>
      </c>
      <c r="D3460" s="11">
        <v>42781.731770833336</v>
      </c>
      <c r="E3460" s="10" t="s">
        <v>218</v>
      </c>
    </row>
    <row r="3461" spans="1:5">
      <c r="A3461" s="11">
        <v>42781</v>
      </c>
      <c r="B3461" s="10" t="s">
        <v>7265</v>
      </c>
      <c r="C3461" s="10" t="s">
        <v>7266</v>
      </c>
      <c r="D3461" s="11">
        <v>42781.732395833336</v>
      </c>
      <c r="E3461" s="10" t="s">
        <v>218</v>
      </c>
    </row>
    <row r="3462" spans="1:5">
      <c r="A3462" s="11">
        <v>42781</v>
      </c>
      <c r="B3462" s="10" t="s">
        <v>7267</v>
      </c>
      <c r="C3462" s="10" t="s">
        <v>7268</v>
      </c>
      <c r="D3462" s="11">
        <v>42781.732499999998</v>
      </c>
      <c r="E3462" s="10" t="s">
        <v>320</v>
      </c>
    </row>
    <row r="3463" spans="1:5">
      <c r="A3463" s="11">
        <v>42781</v>
      </c>
      <c r="B3463" s="10" t="s">
        <v>7269</v>
      </c>
      <c r="C3463" s="10" t="s">
        <v>7270</v>
      </c>
      <c r="D3463" s="11">
        <v>42781.732523148145</v>
      </c>
      <c r="E3463" s="10" t="s">
        <v>949</v>
      </c>
    </row>
    <row r="3464" spans="1:5" ht="21.6">
      <c r="A3464" s="11">
        <v>42781</v>
      </c>
      <c r="B3464" s="10" t="s">
        <v>7271</v>
      </c>
      <c r="C3464" s="10" t="s">
        <v>7272</v>
      </c>
      <c r="D3464" s="11">
        <v>42782.578680555554</v>
      </c>
      <c r="E3464" s="10" t="s">
        <v>4004</v>
      </c>
    </row>
    <row r="3465" spans="1:5">
      <c r="A3465" s="11">
        <v>42781</v>
      </c>
      <c r="B3465" s="10" t="s">
        <v>7273</v>
      </c>
      <c r="C3465" s="10" t="s">
        <v>7274</v>
      </c>
      <c r="D3465" s="11">
        <v>42781.733020833337</v>
      </c>
      <c r="E3465" s="10" t="s">
        <v>433</v>
      </c>
    </row>
    <row r="3466" spans="1:5">
      <c r="A3466" s="11">
        <v>42781</v>
      </c>
      <c r="B3466" s="10" t="s">
        <v>7275</v>
      </c>
      <c r="C3466" s="10" t="s">
        <v>7276</v>
      </c>
      <c r="D3466" s="11">
        <v>42781.73505787037</v>
      </c>
      <c r="E3466" s="10" t="s">
        <v>152</v>
      </c>
    </row>
    <row r="3467" spans="1:5">
      <c r="A3467" s="11">
        <v>42781</v>
      </c>
      <c r="B3467" s="10" t="s">
        <v>7277</v>
      </c>
      <c r="C3467" s="10" t="s">
        <v>7278</v>
      </c>
      <c r="D3467" s="11">
        <v>42781.73642361111</v>
      </c>
      <c r="E3467" s="10" t="s">
        <v>433</v>
      </c>
    </row>
    <row r="3468" spans="1:5">
      <c r="A3468" s="11">
        <v>42781</v>
      </c>
      <c r="B3468" s="10" t="s">
        <v>7279</v>
      </c>
      <c r="C3468" s="10" t="s">
        <v>7280</v>
      </c>
      <c r="D3468" s="11">
        <v>42781.736539351848</v>
      </c>
      <c r="E3468" s="10" t="s">
        <v>422</v>
      </c>
    </row>
    <row r="3469" spans="1:5">
      <c r="A3469" s="11">
        <v>42781</v>
      </c>
      <c r="B3469" s="10" t="s">
        <v>7281</v>
      </c>
      <c r="C3469" s="10" t="s">
        <v>7282</v>
      </c>
      <c r="D3469" s="11">
        <v>42781.737592592595</v>
      </c>
      <c r="E3469" s="10" t="s">
        <v>240</v>
      </c>
    </row>
    <row r="3470" spans="1:5">
      <c r="A3470" s="11">
        <v>42781</v>
      </c>
      <c r="B3470" s="10" t="s">
        <v>7283</v>
      </c>
      <c r="C3470" s="10" t="s">
        <v>7284</v>
      </c>
      <c r="D3470" s="11">
        <v>42781.737974537034</v>
      </c>
      <c r="E3470" s="10" t="s">
        <v>2742</v>
      </c>
    </row>
    <row r="3471" spans="1:5">
      <c r="A3471" s="11">
        <v>42781</v>
      </c>
      <c r="B3471" s="10" t="s">
        <v>7285</v>
      </c>
      <c r="C3471" s="10" t="s">
        <v>7286</v>
      </c>
      <c r="D3471" s="11">
        <v>42781.738206018519</v>
      </c>
      <c r="E3471" s="10" t="s">
        <v>305</v>
      </c>
    </row>
    <row r="3472" spans="1:5">
      <c r="A3472" s="11">
        <v>42781</v>
      </c>
      <c r="B3472" s="10" t="s">
        <v>7287</v>
      </c>
      <c r="C3472" s="10" t="s">
        <v>7288</v>
      </c>
      <c r="D3472" s="11">
        <v>42781.738229166665</v>
      </c>
      <c r="E3472" s="10" t="s">
        <v>656</v>
      </c>
    </row>
    <row r="3473" spans="1:5">
      <c r="A3473" s="11">
        <v>42781</v>
      </c>
      <c r="B3473" s="10" t="s">
        <v>7289</v>
      </c>
      <c r="C3473" s="10" t="s">
        <v>7290</v>
      </c>
      <c r="D3473" s="11">
        <v>42781.738321759258</v>
      </c>
      <c r="E3473" s="10" t="s">
        <v>433</v>
      </c>
    </row>
    <row r="3474" spans="1:5">
      <c r="A3474" s="11">
        <v>42781</v>
      </c>
      <c r="B3474" s="10" t="s">
        <v>7291</v>
      </c>
      <c r="C3474" s="10" t="s">
        <v>7292</v>
      </c>
      <c r="D3474" s="11">
        <v>42781.741643518515</v>
      </c>
      <c r="E3474" s="10" t="s">
        <v>240</v>
      </c>
    </row>
    <row r="3475" spans="1:5">
      <c r="A3475" s="11">
        <v>42781</v>
      </c>
      <c r="B3475" s="10" t="s">
        <v>7293</v>
      </c>
      <c r="C3475" s="10" t="s">
        <v>7294</v>
      </c>
      <c r="D3475" s="11">
        <v>42781.741655092592</v>
      </c>
      <c r="E3475" s="10" t="s">
        <v>2515</v>
      </c>
    </row>
    <row r="3476" spans="1:5">
      <c r="A3476" s="11">
        <v>42781</v>
      </c>
      <c r="B3476" s="10" t="s">
        <v>7295</v>
      </c>
      <c r="C3476" s="10" t="s">
        <v>7296</v>
      </c>
      <c r="D3476" s="11">
        <v>42781.798043981478</v>
      </c>
      <c r="E3476" s="10" t="s">
        <v>380</v>
      </c>
    </row>
    <row r="3477" spans="1:5">
      <c r="A3477" s="11">
        <v>42781</v>
      </c>
      <c r="B3477" s="10" t="s">
        <v>7297</v>
      </c>
      <c r="C3477" s="10" t="s">
        <v>7298</v>
      </c>
      <c r="D3477" s="11">
        <v>42781.742349537039</v>
      </c>
      <c r="E3477" s="10" t="s">
        <v>308</v>
      </c>
    </row>
    <row r="3478" spans="1:5">
      <c r="A3478" s="11">
        <v>42781</v>
      </c>
      <c r="B3478" s="10" t="s">
        <v>7299</v>
      </c>
      <c r="C3478" s="10" t="s">
        <v>7300</v>
      </c>
      <c r="D3478" s="11">
        <v>42781.742372685185</v>
      </c>
      <c r="E3478" s="10" t="s">
        <v>308</v>
      </c>
    </row>
    <row r="3479" spans="1:5">
      <c r="A3479" s="11">
        <v>42781</v>
      </c>
      <c r="B3479" s="10" t="s">
        <v>7301</v>
      </c>
      <c r="C3479" s="10" t="s">
        <v>7302</v>
      </c>
      <c r="D3479" s="11">
        <v>42782.681759259256</v>
      </c>
      <c r="E3479" s="10" t="s">
        <v>292</v>
      </c>
    </row>
    <row r="3480" spans="1:5">
      <c r="A3480" s="11">
        <v>42781</v>
      </c>
      <c r="B3480" s="10" t="s">
        <v>7303</v>
      </c>
      <c r="C3480" s="10" t="s">
        <v>7304</v>
      </c>
      <c r="D3480" s="11">
        <v>42781.743773148148</v>
      </c>
      <c r="E3480" s="10" t="s">
        <v>373</v>
      </c>
    </row>
    <row r="3481" spans="1:5">
      <c r="A3481" s="11">
        <v>42781</v>
      </c>
      <c r="B3481" s="10" t="s">
        <v>7305</v>
      </c>
      <c r="C3481" s="10" t="s">
        <v>7306</v>
      </c>
      <c r="D3481" s="11">
        <v>42781.743969907409</v>
      </c>
      <c r="E3481" s="10" t="s">
        <v>320</v>
      </c>
    </row>
    <row r="3482" spans="1:5">
      <c r="A3482" s="11">
        <v>42781</v>
      </c>
      <c r="B3482" s="10" t="s">
        <v>7307</v>
      </c>
      <c r="C3482" s="10" t="s">
        <v>7308</v>
      </c>
      <c r="D3482" s="11">
        <v>42781.744490740741</v>
      </c>
      <c r="E3482" s="10" t="s">
        <v>422</v>
      </c>
    </row>
    <row r="3483" spans="1:5">
      <c r="A3483" s="11">
        <v>42781</v>
      </c>
      <c r="B3483" s="10" t="s">
        <v>7309</v>
      </c>
      <c r="C3483" s="10" t="s">
        <v>7310</v>
      </c>
      <c r="D3483" s="11">
        <v>42781.744837962964</v>
      </c>
      <c r="E3483" s="10" t="s">
        <v>2183</v>
      </c>
    </row>
    <row r="3484" spans="1:5">
      <c r="A3484" s="11">
        <v>42781</v>
      </c>
      <c r="B3484" s="10" t="s">
        <v>7311</v>
      </c>
      <c r="C3484" s="10" t="s">
        <v>7312</v>
      </c>
      <c r="D3484" s="11">
        <v>42781.748379629629</v>
      </c>
      <c r="E3484" s="10" t="s">
        <v>2515</v>
      </c>
    </row>
    <row r="3485" spans="1:5">
      <c r="A3485" s="11">
        <v>42781</v>
      </c>
      <c r="B3485" s="10" t="s">
        <v>7313</v>
      </c>
      <c r="C3485" s="10" t="s">
        <v>7314</v>
      </c>
      <c r="D3485" s="11">
        <v>42781.748495370368</v>
      </c>
      <c r="E3485" s="10" t="s">
        <v>656</v>
      </c>
    </row>
    <row r="3486" spans="1:5">
      <c r="A3486" s="11">
        <v>42781</v>
      </c>
      <c r="B3486" s="10" t="s">
        <v>7315</v>
      </c>
      <c r="C3486" s="10" t="s">
        <v>7316</v>
      </c>
      <c r="D3486" s="11">
        <v>42781.748645833337</v>
      </c>
      <c r="E3486" s="10" t="s">
        <v>193</v>
      </c>
    </row>
    <row r="3487" spans="1:5">
      <c r="A3487" s="11">
        <v>42781</v>
      </c>
      <c r="B3487" s="10" t="s">
        <v>7317</v>
      </c>
      <c r="C3487" s="10" t="s">
        <v>7318</v>
      </c>
      <c r="D3487" s="11">
        <v>42781.749085648145</v>
      </c>
      <c r="E3487" s="10" t="s">
        <v>433</v>
      </c>
    </row>
    <row r="3488" spans="1:5">
      <c r="A3488" s="11">
        <v>42781</v>
      </c>
      <c r="B3488" s="10" t="s">
        <v>7319</v>
      </c>
      <c r="C3488" s="10" t="s">
        <v>7320</v>
      </c>
      <c r="D3488" s="11">
        <v>42781.749907407408</v>
      </c>
      <c r="E3488" s="10" t="s">
        <v>433</v>
      </c>
    </row>
    <row r="3489" spans="1:5">
      <c r="A3489" s="11">
        <v>42781</v>
      </c>
      <c r="B3489" s="10" t="s">
        <v>7321</v>
      </c>
      <c r="C3489" s="10" t="s">
        <v>7322</v>
      </c>
      <c r="D3489" s="11">
        <v>42781.750104166669</v>
      </c>
      <c r="E3489" s="10" t="s">
        <v>433</v>
      </c>
    </row>
    <row r="3490" spans="1:5">
      <c r="A3490" s="11">
        <v>42781</v>
      </c>
      <c r="B3490" s="10" t="s">
        <v>7323</v>
      </c>
      <c r="C3490" s="10" t="s">
        <v>7324</v>
      </c>
      <c r="D3490" s="11">
        <v>42781.751458333332</v>
      </c>
      <c r="E3490" s="10" t="s">
        <v>373</v>
      </c>
    </row>
    <row r="3491" spans="1:5">
      <c r="A3491" s="11">
        <v>42781</v>
      </c>
      <c r="B3491" s="10" t="s">
        <v>7325</v>
      </c>
      <c r="C3491" s="10" t="s">
        <v>7326</v>
      </c>
      <c r="D3491" s="11">
        <v>42781.752280092594</v>
      </c>
      <c r="E3491" s="10" t="s">
        <v>433</v>
      </c>
    </row>
    <row r="3492" spans="1:5">
      <c r="A3492" s="11">
        <v>42781</v>
      </c>
      <c r="B3492" s="10" t="s">
        <v>7327</v>
      </c>
      <c r="C3492" s="10" t="s">
        <v>7328</v>
      </c>
      <c r="D3492" s="11">
        <v>42781.752604166664</v>
      </c>
      <c r="E3492" s="10" t="s">
        <v>422</v>
      </c>
    </row>
    <row r="3493" spans="1:5">
      <c r="A3493" s="11">
        <v>42781</v>
      </c>
      <c r="B3493" s="10" t="s">
        <v>7329</v>
      </c>
      <c r="C3493" s="10" t="s">
        <v>7330</v>
      </c>
      <c r="D3493" s="11">
        <v>42781.752743055556</v>
      </c>
      <c r="E3493" s="10" t="s">
        <v>152</v>
      </c>
    </row>
    <row r="3494" spans="1:5">
      <c r="A3494" s="11">
        <v>42781</v>
      </c>
      <c r="B3494" s="10" t="s">
        <v>7331</v>
      </c>
      <c r="C3494" s="10" t="s">
        <v>7332</v>
      </c>
      <c r="D3494" s="11">
        <v>42781.755752314813</v>
      </c>
      <c r="E3494" s="10" t="s">
        <v>1316</v>
      </c>
    </row>
    <row r="3495" spans="1:5">
      <c r="A3495" s="11">
        <v>42781</v>
      </c>
      <c r="B3495" s="10" t="s">
        <v>7333</v>
      </c>
      <c r="C3495" s="10" t="s">
        <v>7334</v>
      </c>
      <c r="D3495" s="11">
        <v>42781.755960648145</v>
      </c>
      <c r="E3495" s="10" t="s">
        <v>433</v>
      </c>
    </row>
    <row r="3496" spans="1:5">
      <c r="A3496" s="11">
        <v>42781</v>
      </c>
      <c r="B3496" s="10" t="s">
        <v>7335</v>
      </c>
      <c r="C3496" s="10" t="s">
        <v>7336</v>
      </c>
      <c r="D3496" s="11">
        <v>42781.755972222221</v>
      </c>
      <c r="E3496" s="10" t="s">
        <v>122</v>
      </c>
    </row>
    <row r="3497" spans="1:5">
      <c r="A3497" s="11">
        <v>42781</v>
      </c>
      <c r="B3497" s="10" t="s">
        <v>7337</v>
      </c>
      <c r="C3497" s="10" t="s">
        <v>7338</v>
      </c>
      <c r="D3497" s="11">
        <v>42781.756284722222</v>
      </c>
      <c r="E3497" s="10" t="s">
        <v>1319</v>
      </c>
    </row>
    <row r="3498" spans="1:5">
      <c r="A3498" s="11">
        <v>42781</v>
      </c>
      <c r="B3498" s="10" t="s">
        <v>7339</v>
      </c>
      <c r="C3498" s="10" t="s">
        <v>7340</v>
      </c>
      <c r="D3498" s="11">
        <v>42781.75644675926</v>
      </c>
      <c r="E3498" s="10" t="s">
        <v>433</v>
      </c>
    </row>
    <row r="3499" spans="1:5">
      <c r="A3499" s="11">
        <v>42781</v>
      </c>
      <c r="B3499" s="10" t="s">
        <v>7341</v>
      </c>
      <c r="C3499" s="10" t="s">
        <v>7342</v>
      </c>
      <c r="D3499" s="11">
        <v>42782.187650462962</v>
      </c>
      <c r="E3499" s="10" t="s">
        <v>292</v>
      </c>
    </row>
    <row r="3500" spans="1:5">
      <c r="A3500" s="11">
        <v>42781</v>
      </c>
      <c r="B3500" s="10" t="s">
        <v>7343</v>
      </c>
      <c r="C3500" s="10" t="s">
        <v>7344</v>
      </c>
      <c r="D3500" s="11">
        <v>42781.760613425926</v>
      </c>
      <c r="E3500" s="10" t="s">
        <v>108</v>
      </c>
    </row>
    <row r="3501" spans="1:5">
      <c r="A3501" s="11">
        <v>42781</v>
      </c>
      <c r="B3501" s="10" t="s">
        <v>7345</v>
      </c>
      <c r="C3501" s="10" t="s">
        <v>7346</v>
      </c>
      <c r="D3501" s="11">
        <v>42781.761157407411</v>
      </c>
      <c r="E3501" s="10" t="s">
        <v>122</v>
      </c>
    </row>
    <row r="3502" spans="1:5">
      <c r="A3502" s="11">
        <v>42781</v>
      </c>
      <c r="B3502" s="10" t="s">
        <v>7347</v>
      </c>
      <c r="C3502" s="10" t="s">
        <v>7348</v>
      </c>
      <c r="D3502" s="11">
        <v>42781.761736111112</v>
      </c>
      <c r="E3502" s="10" t="s">
        <v>2515</v>
      </c>
    </row>
    <row r="3503" spans="1:5">
      <c r="A3503" s="11">
        <v>42781</v>
      </c>
      <c r="B3503" s="10" t="s">
        <v>7349</v>
      </c>
      <c r="C3503" s="10" t="s">
        <v>7350</v>
      </c>
      <c r="D3503" s="11">
        <v>42781.761990740742</v>
      </c>
      <c r="E3503" s="10" t="s">
        <v>320</v>
      </c>
    </row>
    <row r="3504" spans="1:5">
      <c r="A3504" s="11">
        <v>42781</v>
      </c>
      <c r="B3504" s="10" t="s">
        <v>7351</v>
      </c>
      <c r="C3504" s="10" t="s">
        <v>7352</v>
      </c>
      <c r="D3504" s="11">
        <v>42781.762638888889</v>
      </c>
      <c r="E3504" s="10" t="s">
        <v>218</v>
      </c>
    </row>
    <row r="3505" spans="1:5">
      <c r="A3505" s="11">
        <v>42781</v>
      </c>
      <c r="B3505" s="10" t="s">
        <v>7353</v>
      </c>
      <c r="C3505" s="10" t="s">
        <v>7354</v>
      </c>
      <c r="D3505" s="11">
        <v>42781.762650462966</v>
      </c>
      <c r="E3505" s="10" t="s">
        <v>902</v>
      </c>
    </row>
    <row r="3506" spans="1:5">
      <c r="A3506" s="11">
        <v>42781</v>
      </c>
      <c r="B3506" s="10" t="s">
        <v>7355</v>
      </c>
      <c r="C3506" s="10" t="s">
        <v>7356</v>
      </c>
      <c r="D3506" s="11">
        <v>42781.763171296298</v>
      </c>
      <c r="E3506" s="10" t="s">
        <v>1103</v>
      </c>
    </row>
    <row r="3507" spans="1:5">
      <c r="A3507" s="11">
        <v>42781</v>
      </c>
      <c r="B3507" s="10" t="s">
        <v>7357</v>
      </c>
      <c r="C3507" s="10" t="s">
        <v>7358</v>
      </c>
      <c r="D3507" s="11">
        <v>42781.851354166669</v>
      </c>
      <c r="E3507" s="10" t="s">
        <v>3550</v>
      </c>
    </row>
    <row r="3508" spans="1:5">
      <c r="A3508" s="11">
        <v>42781</v>
      </c>
      <c r="B3508" s="10" t="s">
        <v>7359</v>
      </c>
      <c r="C3508" s="10" t="s">
        <v>7360</v>
      </c>
      <c r="D3508" s="11">
        <v>42781.764884259261</v>
      </c>
      <c r="E3508" s="10" t="s">
        <v>433</v>
      </c>
    </row>
    <row r="3509" spans="1:5">
      <c r="A3509" s="11">
        <v>42781</v>
      </c>
      <c r="B3509" s="10" t="s">
        <v>7361</v>
      </c>
      <c r="C3509" s="10" t="s">
        <v>7362</v>
      </c>
      <c r="D3509" s="11">
        <v>42781.7653587963</v>
      </c>
      <c r="E3509" s="10" t="s">
        <v>152</v>
      </c>
    </row>
    <row r="3510" spans="1:5">
      <c r="A3510" s="11">
        <v>42781</v>
      </c>
      <c r="B3510" s="10" t="s">
        <v>7363</v>
      </c>
      <c r="C3510" s="10" t="s">
        <v>7364</v>
      </c>
      <c r="D3510" s="11">
        <v>42781.765405092592</v>
      </c>
      <c r="E3510" s="10" t="s">
        <v>122</v>
      </c>
    </row>
    <row r="3511" spans="1:5">
      <c r="A3511" s="11">
        <v>42781</v>
      </c>
      <c r="B3511" s="10" t="s">
        <v>7365</v>
      </c>
      <c r="C3511" s="10" t="s">
        <v>7366</v>
      </c>
      <c r="D3511" s="11">
        <v>42781.765439814815</v>
      </c>
      <c r="E3511" s="10" t="s">
        <v>433</v>
      </c>
    </row>
    <row r="3512" spans="1:5">
      <c r="A3512" s="11">
        <v>42781</v>
      </c>
      <c r="B3512" s="10" t="s">
        <v>7367</v>
      </c>
      <c r="C3512" s="10" t="s">
        <v>7368</v>
      </c>
      <c r="D3512" s="11">
        <v>42781.766504629632</v>
      </c>
      <c r="E3512" s="10" t="s">
        <v>433</v>
      </c>
    </row>
    <row r="3513" spans="1:5">
      <c r="A3513" s="11">
        <v>42781</v>
      </c>
      <c r="B3513" s="10" t="s">
        <v>7369</v>
      </c>
      <c r="C3513" s="10" t="s">
        <v>7370</v>
      </c>
      <c r="D3513" s="11">
        <v>42781.766782407409</v>
      </c>
      <c r="E3513" s="10" t="s">
        <v>373</v>
      </c>
    </row>
    <row r="3514" spans="1:5">
      <c r="A3514" s="11">
        <v>42781</v>
      </c>
      <c r="B3514" s="10" t="s">
        <v>7371</v>
      </c>
      <c r="C3514" s="10" t="s">
        <v>7372</v>
      </c>
      <c r="D3514" s="11">
        <v>42781.76699074074</v>
      </c>
      <c r="E3514" s="10" t="s">
        <v>218</v>
      </c>
    </row>
    <row r="3515" spans="1:5" ht="21.6">
      <c r="A3515" s="11">
        <v>42781</v>
      </c>
      <c r="B3515" s="10" t="s">
        <v>7373</v>
      </c>
      <c r="C3515" s="10" t="s">
        <v>7374</v>
      </c>
      <c r="D3515" s="11">
        <v>42781.767337962963</v>
      </c>
      <c r="E3515" s="10" t="s">
        <v>1316</v>
      </c>
    </row>
    <row r="3516" spans="1:5" ht="21.6">
      <c r="A3516" s="11">
        <v>42781</v>
      </c>
      <c r="B3516" s="10" t="s">
        <v>7375</v>
      </c>
      <c r="C3516" s="10" t="s">
        <v>7376</v>
      </c>
      <c r="D3516" s="11">
        <v>42781.767534722225</v>
      </c>
      <c r="E3516" s="10" t="s">
        <v>3027</v>
      </c>
    </row>
    <row r="3517" spans="1:5">
      <c r="A3517" s="11">
        <v>42781</v>
      </c>
      <c r="B3517" s="10" t="s">
        <v>7377</v>
      </c>
      <c r="C3517" s="10" t="s">
        <v>7378</v>
      </c>
      <c r="D3517" s="11">
        <v>42781.768472222226</v>
      </c>
      <c r="E3517" s="10" t="s">
        <v>2180</v>
      </c>
    </row>
    <row r="3518" spans="1:5">
      <c r="A3518" s="11">
        <v>42781</v>
      </c>
      <c r="B3518" s="10" t="s">
        <v>7379</v>
      </c>
      <c r="C3518" s="10" t="s">
        <v>7380</v>
      </c>
      <c r="D3518" s="11">
        <v>42781.768541666665</v>
      </c>
      <c r="E3518" s="10" t="s">
        <v>373</v>
      </c>
    </row>
    <row r="3519" spans="1:5">
      <c r="A3519" s="11">
        <v>42781</v>
      </c>
      <c r="B3519" s="10" t="s">
        <v>7381</v>
      </c>
      <c r="C3519" s="10" t="s">
        <v>7382</v>
      </c>
      <c r="D3519" s="11">
        <v>42781.769479166665</v>
      </c>
      <c r="E3519" s="10" t="s">
        <v>2180</v>
      </c>
    </row>
    <row r="3520" spans="1:5">
      <c r="A3520" s="11">
        <v>42781</v>
      </c>
      <c r="B3520" s="10" t="s">
        <v>7383</v>
      </c>
      <c r="C3520" s="10" t="s">
        <v>7384</v>
      </c>
      <c r="D3520" s="11">
        <v>42781.769895833335</v>
      </c>
      <c r="E3520" s="10" t="s">
        <v>859</v>
      </c>
    </row>
    <row r="3521" spans="1:5">
      <c r="A3521" s="11">
        <v>42781</v>
      </c>
      <c r="B3521" s="10" t="s">
        <v>7385</v>
      </c>
      <c r="C3521" s="10" t="s">
        <v>7386</v>
      </c>
      <c r="D3521" s="11">
        <v>42781.818252314813</v>
      </c>
      <c r="E3521" s="10" t="s">
        <v>625</v>
      </c>
    </row>
    <row r="3522" spans="1:5">
      <c r="A3522" s="11">
        <v>42781</v>
      </c>
      <c r="B3522" s="10" t="s">
        <v>7387</v>
      </c>
      <c r="C3522" s="10" t="s">
        <v>7388</v>
      </c>
      <c r="D3522" s="11">
        <v>42781.770439814813</v>
      </c>
      <c r="E3522" s="10" t="s">
        <v>433</v>
      </c>
    </row>
    <row r="3523" spans="1:5">
      <c r="A3523" s="11">
        <v>42781</v>
      </c>
      <c r="B3523" s="10" t="s">
        <v>7389</v>
      </c>
      <c r="C3523" s="10" t="s">
        <v>7390</v>
      </c>
      <c r="D3523" s="11">
        <v>42781.771770833337</v>
      </c>
      <c r="E3523" s="10" t="s">
        <v>2742</v>
      </c>
    </row>
    <row r="3524" spans="1:5">
      <c r="A3524" s="11">
        <v>42781</v>
      </c>
      <c r="B3524" s="10" t="s">
        <v>7391</v>
      </c>
      <c r="C3524" s="10" t="s">
        <v>7392</v>
      </c>
      <c r="D3524" s="11">
        <v>42781.775011574071</v>
      </c>
      <c r="E3524" s="10" t="s">
        <v>152</v>
      </c>
    </row>
    <row r="3525" spans="1:5">
      <c r="A3525" s="11">
        <v>42781</v>
      </c>
      <c r="B3525" s="10" t="s">
        <v>7393</v>
      </c>
      <c r="C3525" s="10" t="s">
        <v>7394</v>
      </c>
      <c r="D3525" s="11">
        <v>42781.775173611109</v>
      </c>
      <c r="E3525" s="10" t="s">
        <v>152</v>
      </c>
    </row>
    <row r="3526" spans="1:5">
      <c r="A3526" s="11">
        <v>42781</v>
      </c>
      <c r="B3526" s="10" t="s">
        <v>7395</v>
      </c>
      <c r="C3526" s="10" t="s">
        <v>7396</v>
      </c>
      <c r="D3526" s="11">
        <v>42781.777106481481</v>
      </c>
      <c r="E3526" s="10" t="s">
        <v>193</v>
      </c>
    </row>
    <row r="3527" spans="1:5">
      <c r="A3527" s="11">
        <v>42781</v>
      </c>
      <c r="B3527" s="10" t="s">
        <v>7397</v>
      </c>
      <c r="C3527" s="10" t="s">
        <v>7398</v>
      </c>
      <c r="D3527" s="11">
        <v>42781.777175925927</v>
      </c>
      <c r="E3527" s="10" t="s">
        <v>422</v>
      </c>
    </row>
    <row r="3528" spans="1:5">
      <c r="A3528" s="11">
        <v>42781</v>
      </c>
      <c r="B3528" s="10" t="s">
        <v>7399</v>
      </c>
      <c r="C3528" s="10" t="s">
        <v>7400</v>
      </c>
      <c r="D3528" s="11">
        <v>42781.777233796296</v>
      </c>
      <c r="E3528" s="10" t="s">
        <v>122</v>
      </c>
    </row>
    <row r="3529" spans="1:5">
      <c r="A3529" s="11">
        <v>42781</v>
      </c>
      <c r="B3529" s="10" t="s">
        <v>7401</v>
      </c>
      <c r="C3529" s="10" t="s">
        <v>7402</v>
      </c>
      <c r="D3529" s="11">
        <v>42781.778090277781</v>
      </c>
      <c r="E3529" s="10" t="s">
        <v>122</v>
      </c>
    </row>
    <row r="3530" spans="1:5">
      <c r="A3530" s="11">
        <v>42781</v>
      </c>
      <c r="B3530" s="10" t="s">
        <v>7403</v>
      </c>
      <c r="C3530" s="10" t="s">
        <v>7404</v>
      </c>
      <c r="D3530" s="11">
        <v>42781.778414351851</v>
      </c>
      <c r="E3530" s="10" t="s">
        <v>320</v>
      </c>
    </row>
    <row r="3531" spans="1:5">
      <c r="A3531" s="11">
        <v>42781</v>
      </c>
      <c r="B3531" s="10" t="s">
        <v>7405</v>
      </c>
      <c r="C3531" s="10" t="s">
        <v>7406</v>
      </c>
      <c r="D3531" s="11">
        <v>42781.778726851851</v>
      </c>
      <c r="E3531" s="10" t="s">
        <v>105</v>
      </c>
    </row>
    <row r="3532" spans="1:5">
      <c r="A3532" s="11">
        <v>42781</v>
      </c>
      <c r="B3532" s="10" t="s">
        <v>7407</v>
      </c>
      <c r="C3532" s="10" t="s">
        <v>7408</v>
      </c>
      <c r="D3532" s="11">
        <v>42781.77915509259</v>
      </c>
      <c r="E3532" s="10" t="s">
        <v>240</v>
      </c>
    </row>
    <row r="3533" spans="1:5">
      <c r="A3533" s="11">
        <v>42781</v>
      </c>
      <c r="B3533" s="10" t="s">
        <v>7409</v>
      </c>
      <c r="C3533" s="10" t="s">
        <v>7410</v>
      </c>
      <c r="D3533" s="11">
        <v>42781.779479166667</v>
      </c>
      <c r="E3533" s="10" t="s">
        <v>152</v>
      </c>
    </row>
    <row r="3534" spans="1:5">
      <c r="A3534" s="11">
        <v>42781</v>
      </c>
      <c r="B3534" s="10" t="s">
        <v>7411</v>
      </c>
      <c r="C3534" s="10" t="s">
        <v>7412</v>
      </c>
      <c r="D3534" s="11">
        <v>42781.780023148145</v>
      </c>
      <c r="E3534" s="10" t="s">
        <v>707</v>
      </c>
    </row>
    <row r="3535" spans="1:5">
      <c r="A3535" s="11">
        <v>42781</v>
      </c>
      <c r="B3535" s="10" t="s">
        <v>7413</v>
      </c>
      <c r="C3535" s="10" t="s">
        <v>7414</v>
      </c>
      <c r="D3535" s="11">
        <v>42781.780405092592</v>
      </c>
      <c r="E3535" s="10" t="s">
        <v>4898</v>
      </c>
    </row>
    <row r="3536" spans="1:5">
      <c r="A3536" s="11">
        <v>42781</v>
      </c>
      <c r="B3536" s="10" t="s">
        <v>7415</v>
      </c>
      <c r="C3536" s="10" t="s">
        <v>7416</v>
      </c>
      <c r="D3536" s="11">
        <v>42781.781261574077</v>
      </c>
      <c r="E3536" s="10" t="s">
        <v>656</v>
      </c>
    </row>
    <row r="3537" spans="1:5">
      <c r="A3537" s="11">
        <v>42781</v>
      </c>
      <c r="B3537" s="10" t="s">
        <v>7417</v>
      </c>
      <c r="C3537" s="10" t="s">
        <v>7418</v>
      </c>
      <c r="D3537" s="11">
        <v>42781.781898148147</v>
      </c>
      <c r="E3537" s="10" t="s">
        <v>4865</v>
      </c>
    </row>
    <row r="3538" spans="1:5">
      <c r="A3538" s="11">
        <v>42781</v>
      </c>
      <c r="B3538" s="10" t="s">
        <v>7419</v>
      </c>
      <c r="C3538" s="10" t="s">
        <v>7420</v>
      </c>
      <c r="D3538" s="11">
        <v>42781.783136574071</v>
      </c>
      <c r="E3538" s="10" t="s">
        <v>656</v>
      </c>
    </row>
    <row r="3539" spans="1:5">
      <c r="A3539" s="11">
        <v>42781</v>
      </c>
      <c r="B3539" s="10" t="s">
        <v>7421</v>
      </c>
      <c r="C3539" s="10" t="s">
        <v>7422</v>
      </c>
      <c r="D3539" s="11">
        <v>42781.783645833333</v>
      </c>
      <c r="E3539" s="10" t="s">
        <v>1022</v>
      </c>
    </row>
    <row r="3540" spans="1:5">
      <c r="A3540" s="11">
        <v>42781</v>
      </c>
      <c r="B3540" s="10" t="s">
        <v>7423</v>
      </c>
      <c r="C3540" s="10" t="s">
        <v>7424</v>
      </c>
      <c r="D3540" s="11">
        <v>42781.784178240741</v>
      </c>
      <c r="E3540" s="10" t="s">
        <v>433</v>
      </c>
    </row>
    <row r="3541" spans="1:5">
      <c r="A3541" s="11">
        <v>42781</v>
      </c>
      <c r="B3541" s="10" t="s">
        <v>7425</v>
      </c>
      <c r="C3541" s="10" t="s">
        <v>7426</v>
      </c>
      <c r="D3541" s="11">
        <v>42781.784247685187</v>
      </c>
      <c r="E3541" s="10" t="s">
        <v>1022</v>
      </c>
    </row>
    <row r="3542" spans="1:5">
      <c r="A3542" s="11">
        <v>42781</v>
      </c>
      <c r="B3542" s="10" t="s">
        <v>7427</v>
      </c>
      <c r="C3542" s="10" t="s">
        <v>7428</v>
      </c>
      <c r="D3542" s="11">
        <v>42781.784594907411</v>
      </c>
      <c r="E3542" s="10" t="s">
        <v>2995</v>
      </c>
    </row>
    <row r="3543" spans="1:5">
      <c r="A3543" s="11">
        <v>42781</v>
      </c>
      <c r="B3543" s="10" t="s">
        <v>7429</v>
      </c>
      <c r="C3543" s="10" t="s">
        <v>7430</v>
      </c>
      <c r="D3543" s="11">
        <v>42781.784675925926</v>
      </c>
      <c r="E3543" s="10" t="s">
        <v>122</v>
      </c>
    </row>
    <row r="3544" spans="1:5">
      <c r="A3544" s="11">
        <v>42781</v>
      </c>
      <c r="B3544" s="10" t="s">
        <v>7431</v>
      </c>
      <c r="C3544" s="10" t="s">
        <v>7432</v>
      </c>
      <c r="D3544" s="11">
        <v>42781.784733796296</v>
      </c>
      <c r="E3544" s="10" t="s">
        <v>433</v>
      </c>
    </row>
    <row r="3545" spans="1:5">
      <c r="A3545" s="11">
        <v>42781</v>
      </c>
      <c r="B3545" s="10" t="s">
        <v>7433</v>
      </c>
      <c r="C3545" s="10" t="s">
        <v>7434</v>
      </c>
      <c r="D3545" s="11">
        <v>42781.784872685188</v>
      </c>
      <c r="E3545" s="10" t="s">
        <v>656</v>
      </c>
    </row>
    <row r="3546" spans="1:5">
      <c r="A3546" s="11">
        <v>42781</v>
      </c>
      <c r="B3546" s="10" t="s">
        <v>7435</v>
      </c>
      <c r="C3546" s="10" t="s">
        <v>7436</v>
      </c>
      <c r="D3546" s="11">
        <v>42781.785474537035</v>
      </c>
      <c r="E3546" s="10" t="s">
        <v>152</v>
      </c>
    </row>
    <row r="3547" spans="1:5">
      <c r="A3547" s="11">
        <v>42781</v>
      </c>
      <c r="B3547" s="10" t="s">
        <v>7437</v>
      </c>
      <c r="C3547" s="10" t="s">
        <v>7438</v>
      </c>
      <c r="D3547" s="11">
        <v>42781.785636574074</v>
      </c>
      <c r="E3547" s="10" t="s">
        <v>656</v>
      </c>
    </row>
    <row r="3548" spans="1:5">
      <c r="A3548" s="11">
        <v>42781</v>
      </c>
      <c r="B3548" s="10" t="s">
        <v>7439</v>
      </c>
      <c r="C3548" s="10" t="s">
        <v>7440</v>
      </c>
      <c r="D3548" s="11">
        <v>42781.786134259259</v>
      </c>
      <c r="E3548" s="10" t="s">
        <v>656</v>
      </c>
    </row>
    <row r="3549" spans="1:5">
      <c r="A3549" s="11">
        <v>42781</v>
      </c>
      <c r="B3549" s="10" t="s">
        <v>7441</v>
      </c>
      <c r="C3549" s="10" t="s">
        <v>7442</v>
      </c>
      <c r="D3549" s="11">
        <v>42781.786481481482</v>
      </c>
      <c r="E3549" s="10" t="s">
        <v>656</v>
      </c>
    </row>
    <row r="3550" spans="1:5">
      <c r="A3550" s="11">
        <v>42781</v>
      </c>
      <c r="B3550" s="10" t="s">
        <v>7443</v>
      </c>
      <c r="C3550" s="10" t="s">
        <v>7444</v>
      </c>
      <c r="D3550" s="11">
        <v>42781.786805555559</v>
      </c>
      <c r="E3550" s="10" t="s">
        <v>683</v>
      </c>
    </row>
    <row r="3551" spans="1:5">
      <c r="A3551" s="11">
        <v>42781</v>
      </c>
      <c r="B3551" s="10" t="s">
        <v>7445</v>
      </c>
      <c r="C3551" s="10" t="s">
        <v>7446</v>
      </c>
      <c r="D3551" s="11">
        <v>42781.787222222221</v>
      </c>
      <c r="E3551" s="10" t="s">
        <v>656</v>
      </c>
    </row>
    <row r="3552" spans="1:5">
      <c r="A3552" s="11">
        <v>42781</v>
      </c>
      <c r="B3552" s="10" t="s">
        <v>7447</v>
      </c>
      <c r="C3552" s="10" t="s">
        <v>7448</v>
      </c>
      <c r="D3552" s="11">
        <v>42781.787523148145</v>
      </c>
      <c r="E3552" s="10" t="s">
        <v>240</v>
      </c>
    </row>
    <row r="3553" spans="1:5">
      <c r="A3553" s="11">
        <v>42781</v>
      </c>
      <c r="B3553" s="10" t="s">
        <v>7449</v>
      </c>
      <c r="C3553" s="10" t="s">
        <v>7450</v>
      </c>
      <c r="D3553" s="11">
        <v>42781.787534722222</v>
      </c>
      <c r="E3553" s="10" t="s">
        <v>218</v>
      </c>
    </row>
    <row r="3554" spans="1:5">
      <c r="A3554" s="11">
        <v>42781</v>
      </c>
      <c r="B3554" s="10" t="s">
        <v>7451</v>
      </c>
      <c r="C3554" s="10" t="s">
        <v>7452</v>
      </c>
      <c r="D3554" s="11">
        <v>42781.787928240738</v>
      </c>
      <c r="E3554" s="10" t="s">
        <v>656</v>
      </c>
    </row>
    <row r="3555" spans="1:5">
      <c r="A3555" s="11">
        <v>42781</v>
      </c>
      <c r="B3555" s="10" t="s">
        <v>7453</v>
      </c>
      <c r="C3555" s="10" t="s">
        <v>7454</v>
      </c>
      <c r="D3555" s="11">
        <v>42781.788124999999</v>
      </c>
      <c r="E3555" s="10" t="s">
        <v>2515</v>
      </c>
    </row>
    <row r="3556" spans="1:5">
      <c r="A3556" s="11">
        <v>42781</v>
      </c>
      <c r="B3556" s="10" t="s">
        <v>7455</v>
      </c>
      <c r="C3556" s="10" t="s">
        <v>7456</v>
      </c>
      <c r="D3556" s="11">
        <v>42781.788587962961</v>
      </c>
      <c r="E3556" s="10" t="s">
        <v>656</v>
      </c>
    </row>
    <row r="3557" spans="1:5">
      <c r="A3557" s="11">
        <v>42781</v>
      </c>
      <c r="B3557" s="10" t="s">
        <v>7457</v>
      </c>
      <c r="C3557" s="10" t="s">
        <v>7458</v>
      </c>
      <c r="D3557" s="11">
        <v>42781.788738425923</v>
      </c>
      <c r="E3557" s="10" t="s">
        <v>653</v>
      </c>
    </row>
    <row r="3558" spans="1:5">
      <c r="A3558" s="11">
        <v>42781</v>
      </c>
      <c r="B3558" s="10" t="s">
        <v>7459</v>
      </c>
      <c r="C3558" s="10" t="s">
        <v>7460</v>
      </c>
      <c r="D3558" s="11">
        <v>42781.788819444446</v>
      </c>
      <c r="E3558" s="10" t="s">
        <v>949</v>
      </c>
    </row>
    <row r="3559" spans="1:5">
      <c r="A3559" s="11">
        <v>42781</v>
      </c>
      <c r="B3559" s="10" t="s">
        <v>7461</v>
      </c>
      <c r="C3559" s="10" t="s">
        <v>7462</v>
      </c>
      <c r="D3559" s="11">
        <v>42781.789166666669</v>
      </c>
      <c r="E3559" s="10" t="s">
        <v>656</v>
      </c>
    </row>
    <row r="3560" spans="1:5">
      <c r="A3560" s="11">
        <v>42781</v>
      </c>
      <c r="B3560" s="10" t="s">
        <v>7463</v>
      </c>
      <c r="C3560" s="10" t="s">
        <v>7464</v>
      </c>
      <c r="D3560" s="11">
        <v>42781.789560185185</v>
      </c>
      <c r="E3560" s="10" t="s">
        <v>422</v>
      </c>
    </row>
    <row r="3561" spans="1:5">
      <c r="A3561" s="11">
        <v>42781</v>
      </c>
      <c r="B3561" s="10" t="s">
        <v>7465</v>
      </c>
      <c r="C3561" s="10" t="s">
        <v>7466</v>
      </c>
      <c r="D3561" s="11">
        <v>42781.789849537039</v>
      </c>
      <c r="E3561" s="10" t="s">
        <v>2144</v>
      </c>
    </row>
    <row r="3562" spans="1:5">
      <c r="A3562" s="11">
        <v>42781</v>
      </c>
      <c r="B3562" s="10" t="s">
        <v>7467</v>
      </c>
      <c r="C3562" s="10" t="s">
        <v>7468</v>
      </c>
      <c r="D3562" s="11">
        <v>42781.789861111109</v>
      </c>
      <c r="E3562" s="10" t="s">
        <v>656</v>
      </c>
    </row>
    <row r="3563" spans="1:5">
      <c r="A3563" s="11">
        <v>42781</v>
      </c>
      <c r="B3563" s="10" t="s">
        <v>7469</v>
      </c>
      <c r="C3563" s="10" t="s">
        <v>7470</v>
      </c>
      <c r="D3563" s="11">
        <v>42781.789918981478</v>
      </c>
      <c r="E3563" s="10" t="s">
        <v>152</v>
      </c>
    </row>
    <row r="3564" spans="1:5">
      <c r="A3564" s="11">
        <v>42781</v>
      </c>
      <c r="B3564" s="10" t="s">
        <v>7471</v>
      </c>
      <c r="C3564" s="10" t="s">
        <v>7472</v>
      </c>
      <c r="D3564" s="11">
        <v>42781.789976851855</v>
      </c>
      <c r="E3564" s="10" t="s">
        <v>949</v>
      </c>
    </row>
    <row r="3565" spans="1:5">
      <c r="A3565" s="11">
        <v>42781</v>
      </c>
      <c r="B3565" s="10" t="s">
        <v>7473</v>
      </c>
      <c r="C3565" s="10" t="s">
        <v>7474</v>
      </c>
      <c r="D3565" s="11">
        <v>42781.790162037039</v>
      </c>
      <c r="E3565" s="10" t="s">
        <v>608</v>
      </c>
    </row>
    <row r="3566" spans="1:5">
      <c r="A3566" s="11">
        <v>42781</v>
      </c>
      <c r="B3566" s="10" t="s">
        <v>7475</v>
      </c>
      <c r="C3566" s="10" t="s">
        <v>7476</v>
      </c>
      <c r="D3566" s="11">
        <v>42781.790381944447</v>
      </c>
      <c r="E3566" s="10" t="s">
        <v>656</v>
      </c>
    </row>
    <row r="3567" spans="1:5">
      <c r="A3567" s="11">
        <v>42781</v>
      </c>
      <c r="B3567" s="10" t="s">
        <v>7477</v>
      </c>
      <c r="C3567" s="10" t="s">
        <v>7478</v>
      </c>
      <c r="D3567" s="11">
        <v>42781.790694444448</v>
      </c>
      <c r="E3567" s="10" t="s">
        <v>433</v>
      </c>
    </row>
    <row r="3568" spans="1:5">
      <c r="A3568" s="11">
        <v>42781</v>
      </c>
      <c r="B3568" s="10" t="s">
        <v>7479</v>
      </c>
      <c r="C3568" s="10" t="s">
        <v>7480</v>
      </c>
      <c r="D3568" s="11">
        <v>42781.791041666664</v>
      </c>
      <c r="E3568" s="10" t="s">
        <v>656</v>
      </c>
    </row>
    <row r="3569" spans="1:5">
      <c r="A3569" s="11">
        <v>42781</v>
      </c>
      <c r="B3569" s="10" t="s">
        <v>7481</v>
      </c>
      <c r="C3569" s="10" t="s">
        <v>7482</v>
      </c>
      <c r="D3569" s="11">
        <v>42781.791122685187</v>
      </c>
      <c r="E3569" s="10" t="s">
        <v>240</v>
      </c>
    </row>
    <row r="3570" spans="1:5">
      <c r="A3570" s="11">
        <v>42781</v>
      </c>
      <c r="B3570" s="10" t="s">
        <v>7483</v>
      </c>
      <c r="C3570" s="10" t="s">
        <v>7484</v>
      </c>
      <c r="D3570" s="11">
        <v>42781.792627314811</v>
      </c>
      <c r="E3570" s="10" t="s">
        <v>422</v>
      </c>
    </row>
    <row r="3571" spans="1:5">
      <c r="A3571" s="11">
        <v>42781</v>
      </c>
      <c r="B3571" s="10" t="s">
        <v>7485</v>
      </c>
      <c r="C3571" s="10" t="s">
        <v>7486</v>
      </c>
      <c r="D3571" s="11">
        <v>42781.792928240742</v>
      </c>
      <c r="E3571" s="10" t="s">
        <v>152</v>
      </c>
    </row>
    <row r="3572" spans="1:5">
      <c r="A3572" s="11">
        <v>42781</v>
      </c>
      <c r="B3572" s="10" t="s">
        <v>7487</v>
      </c>
      <c r="C3572" s="10" t="s">
        <v>7488</v>
      </c>
      <c r="D3572" s="11">
        <v>42781.793865740743</v>
      </c>
      <c r="E3572" s="10" t="s">
        <v>2995</v>
      </c>
    </row>
    <row r="3573" spans="1:5">
      <c r="A3573" s="11">
        <v>42781</v>
      </c>
      <c r="B3573" s="10" t="s">
        <v>7489</v>
      </c>
      <c r="C3573" s="10" t="s">
        <v>7490</v>
      </c>
      <c r="D3573" s="11">
        <v>42781.79446759259</v>
      </c>
      <c r="E3573" s="10" t="s">
        <v>465</v>
      </c>
    </row>
    <row r="3574" spans="1:5">
      <c r="A3574" s="11">
        <v>42781</v>
      </c>
      <c r="B3574" s="10" t="s">
        <v>7491</v>
      </c>
      <c r="C3574" s="10" t="s">
        <v>7492</v>
      </c>
      <c r="D3574" s="11">
        <v>42781.795370370368</v>
      </c>
      <c r="E3574" s="10" t="s">
        <v>96</v>
      </c>
    </row>
    <row r="3575" spans="1:5">
      <c r="A3575" s="11">
        <v>42781</v>
      </c>
      <c r="B3575" s="10" t="s">
        <v>7493</v>
      </c>
      <c r="C3575" s="10" t="s">
        <v>7494</v>
      </c>
      <c r="D3575" s="11">
        <v>42781.795486111114</v>
      </c>
      <c r="E3575" s="10" t="s">
        <v>2742</v>
      </c>
    </row>
    <row r="3576" spans="1:5">
      <c r="A3576" s="11">
        <v>42781</v>
      </c>
      <c r="B3576" s="10" t="s">
        <v>7495</v>
      </c>
      <c r="C3576" s="10" t="s">
        <v>7496</v>
      </c>
      <c r="D3576" s="11">
        <v>42781.797233796293</v>
      </c>
      <c r="E3576" s="10" t="s">
        <v>383</v>
      </c>
    </row>
    <row r="3577" spans="1:5">
      <c r="A3577" s="11">
        <v>42781</v>
      </c>
      <c r="B3577" s="10" t="s">
        <v>7497</v>
      </c>
      <c r="C3577" s="10" t="s">
        <v>7498</v>
      </c>
      <c r="D3577" s="11">
        <v>42781.797430555554</v>
      </c>
      <c r="E3577" s="10" t="s">
        <v>422</v>
      </c>
    </row>
    <row r="3578" spans="1:5">
      <c r="A3578" s="11">
        <v>42781</v>
      </c>
      <c r="B3578" s="10" t="s">
        <v>7499</v>
      </c>
      <c r="C3578" s="10" t="s">
        <v>7500</v>
      </c>
      <c r="D3578" s="11">
        <v>42781.797893518517</v>
      </c>
      <c r="E3578" s="10" t="s">
        <v>178</v>
      </c>
    </row>
    <row r="3579" spans="1:5">
      <c r="A3579" s="11">
        <v>42781</v>
      </c>
      <c r="B3579" s="10" t="s">
        <v>7501</v>
      </c>
      <c r="C3579" s="10" t="s">
        <v>7502</v>
      </c>
      <c r="D3579" s="11">
        <v>42781.798229166663</v>
      </c>
      <c r="E3579" s="10" t="s">
        <v>2688</v>
      </c>
    </row>
    <row r="3580" spans="1:5">
      <c r="A3580" s="11">
        <v>42781</v>
      </c>
      <c r="B3580" s="10" t="s">
        <v>7503</v>
      </c>
      <c r="C3580" s="10" t="s">
        <v>7504</v>
      </c>
      <c r="D3580" s="11">
        <v>42781.799074074072</v>
      </c>
      <c r="E3580" s="10" t="s">
        <v>859</v>
      </c>
    </row>
    <row r="3581" spans="1:5">
      <c r="A3581" s="11">
        <v>42781</v>
      </c>
      <c r="B3581" s="10" t="s">
        <v>7505</v>
      </c>
      <c r="C3581" s="10" t="s">
        <v>7506</v>
      </c>
      <c r="D3581" s="11">
        <v>42781.800069444442</v>
      </c>
      <c r="E3581" s="10" t="s">
        <v>193</v>
      </c>
    </row>
    <row r="3582" spans="1:5">
      <c r="A3582" s="11">
        <v>42781</v>
      </c>
      <c r="B3582" s="10" t="s">
        <v>7507</v>
      </c>
      <c r="C3582" s="10" t="s">
        <v>7508</v>
      </c>
      <c r="D3582" s="11">
        <v>42781.825115740743</v>
      </c>
      <c r="E3582" s="10" t="s">
        <v>2683</v>
      </c>
    </row>
    <row r="3583" spans="1:5">
      <c r="A3583" s="11">
        <v>42781</v>
      </c>
      <c r="B3583" s="10" t="s">
        <v>7509</v>
      </c>
      <c r="C3583" s="10" t="s">
        <v>7510</v>
      </c>
      <c r="D3583" s="11">
        <v>42781.800416666665</v>
      </c>
      <c r="E3583" s="10" t="s">
        <v>2144</v>
      </c>
    </row>
    <row r="3584" spans="1:5">
      <c r="A3584" s="11">
        <v>42781</v>
      </c>
      <c r="B3584" s="10" t="s">
        <v>7511</v>
      </c>
      <c r="C3584" s="10" t="s">
        <v>7512</v>
      </c>
      <c r="D3584" s="11">
        <v>42781.800486111111</v>
      </c>
      <c r="E3584" s="10" t="s">
        <v>152</v>
      </c>
    </row>
    <row r="3585" spans="1:5">
      <c r="A3585" s="11">
        <v>42781</v>
      </c>
      <c r="B3585" s="10" t="s">
        <v>7513</v>
      </c>
      <c r="C3585" s="10" t="s">
        <v>7514</v>
      </c>
      <c r="D3585" s="11">
        <v>42781.800787037035</v>
      </c>
      <c r="E3585" s="10" t="s">
        <v>122</v>
      </c>
    </row>
    <row r="3586" spans="1:5">
      <c r="A3586" s="11">
        <v>42781</v>
      </c>
      <c r="B3586" s="10" t="s">
        <v>7515</v>
      </c>
      <c r="C3586" s="10" t="s">
        <v>7516</v>
      </c>
      <c r="D3586" s="11">
        <v>42781.800937499997</v>
      </c>
      <c r="E3586" s="10" t="s">
        <v>193</v>
      </c>
    </row>
    <row r="3587" spans="1:5">
      <c r="A3587" s="11">
        <v>42781</v>
      </c>
      <c r="B3587" s="10" t="s">
        <v>7517</v>
      </c>
      <c r="C3587" s="10" t="s">
        <v>7518</v>
      </c>
      <c r="D3587" s="11">
        <v>42781.802118055559</v>
      </c>
      <c r="E3587" s="10" t="s">
        <v>193</v>
      </c>
    </row>
    <row r="3588" spans="1:5">
      <c r="A3588" s="11">
        <v>42781</v>
      </c>
      <c r="B3588" s="10" t="s">
        <v>7519</v>
      </c>
      <c r="C3588" s="10" t="s">
        <v>7520</v>
      </c>
      <c r="D3588" s="11">
        <v>42781.802615740744</v>
      </c>
      <c r="E3588" s="10" t="s">
        <v>373</v>
      </c>
    </row>
    <row r="3589" spans="1:5" ht="21.6">
      <c r="A3589" s="11">
        <v>42781</v>
      </c>
      <c r="B3589" s="10" t="s">
        <v>7521</v>
      </c>
      <c r="C3589" s="10" t="s">
        <v>7522</v>
      </c>
      <c r="D3589" s="11">
        <v>42782.709317129629</v>
      </c>
      <c r="E3589" s="10" t="s">
        <v>4004</v>
      </c>
    </row>
    <row r="3590" spans="1:5">
      <c r="A3590" s="11">
        <v>42781</v>
      </c>
      <c r="B3590" s="10" t="s">
        <v>7523</v>
      </c>
      <c r="C3590" s="10" t="s">
        <v>7524</v>
      </c>
      <c r="D3590" s="11">
        <v>42781.803344907406</v>
      </c>
      <c r="E3590" s="10" t="s">
        <v>859</v>
      </c>
    </row>
    <row r="3591" spans="1:5">
      <c r="A3591" s="11">
        <v>42781</v>
      </c>
      <c r="B3591" s="10" t="s">
        <v>7525</v>
      </c>
      <c r="C3591" s="10" t="s">
        <v>7526</v>
      </c>
      <c r="D3591" s="11">
        <v>42781.8049537037</v>
      </c>
      <c r="E3591" s="10" t="s">
        <v>433</v>
      </c>
    </row>
    <row r="3592" spans="1:5">
      <c r="A3592" s="11">
        <v>42781</v>
      </c>
      <c r="B3592" s="10" t="s">
        <v>7527</v>
      </c>
      <c r="C3592" s="10" t="s">
        <v>7528</v>
      </c>
      <c r="D3592" s="11">
        <v>42781.805277777778</v>
      </c>
      <c r="E3592" s="10" t="s">
        <v>108</v>
      </c>
    </row>
    <row r="3593" spans="1:5">
      <c r="A3593" s="11">
        <v>42781</v>
      </c>
      <c r="B3593" s="10" t="s">
        <v>7529</v>
      </c>
      <c r="C3593" s="10" t="s">
        <v>7530</v>
      </c>
      <c r="D3593" s="11">
        <v>42781.806585648148</v>
      </c>
      <c r="E3593" s="10" t="s">
        <v>707</v>
      </c>
    </row>
    <row r="3594" spans="1:5">
      <c r="A3594" s="11">
        <v>42781</v>
      </c>
      <c r="B3594" s="10" t="s">
        <v>7531</v>
      </c>
      <c r="C3594" s="10" t="s">
        <v>7532</v>
      </c>
      <c r="D3594" s="11">
        <v>42781.807233796295</v>
      </c>
      <c r="E3594" s="10" t="s">
        <v>335</v>
      </c>
    </row>
    <row r="3595" spans="1:5">
      <c r="A3595" s="11">
        <v>42781</v>
      </c>
      <c r="B3595" s="10" t="s">
        <v>7533</v>
      </c>
      <c r="C3595" s="10" t="s">
        <v>7534</v>
      </c>
      <c r="D3595" s="11">
        <v>42781.807546296295</v>
      </c>
      <c r="E3595" s="10" t="s">
        <v>122</v>
      </c>
    </row>
    <row r="3596" spans="1:5">
      <c r="A3596" s="11">
        <v>42781</v>
      </c>
      <c r="B3596" s="10" t="s">
        <v>7535</v>
      </c>
      <c r="C3596" s="10" t="s">
        <v>7536</v>
      </c>
      <c r="D3596" s="11">
        <v>42781.807847222219</v>
      </c>
      <c r="E3596" s="10" t="s">
        <v>433</v>
      </c>
    </row>
    <row r="3597" spans="1:5">
      <c r="A3597" s="11">
        <v>42781</v>
      </c>
      <c r="B3597" s="10" t="s">
        <v>7537</v>
      </c>
      <c r="C3597" s="10" t="s">
        <v>7538</v>
      </c>
      <c r="D3597" s="11">
        <v>42781.808553240742</v>
      </c>
      <c r="E3597" s="10" t="s">
        <v>433</v>
      </c>
    </row>
    <row r="3598" spans="1:5" ht="21.6">
      <c r="A3598" s="11">
        <v>42781</v>
      </c>
      <c r="B3598" s="10" t="s">
        <v>7539</v>
      </c>
      <c r="C3598" s="10" t="s">
        <v>7540</v>
      </c>
      <c r="D3598" s="11">
        <v>42781.809178240743</v>
      </c>
      <c r="E3598" s="10" t="s">
        <v>966</v>
      </c>
    </row>
    <row r="3599" spans="1:5">
      <c r="A3599" s="11">
        <v>42781</v>
      </c>
      <c r="B3599" s="10" t="s">
        <v>7541</v>
      </c>
      <c r="C3599" s="10" t="s">
        <v>7542</v>
      </c>
      <c r="D3599" s="11">
        <v>42781.888888888891</v>
      </c>
      <c r="E3599" s="10" t="s">
        <v>193</v>
      </c>
    </row>
    <row r="3600" spans="1:5">
      <c r="A3600" s="11">
        <v>42781</v>
      </c>
      <c r="B3600" s="10" t="s">
        <v>7543</v>
      </c>
      <c r="C3600" s="10" t="s">
        <v>7544</v>
      </c>
      <c r="D3600" s="11">
        <v>42781.809687499997</v>
      </c>
      <c r="E3600" s="10" t="s">
        <v>193</v>
      </c>
    </row>
    <row r="3601" spans="1:5">
      <c r="A3601" s="11">
        <v>42781</v>
      </c>
      <c r="B3601" s="10" t="s">
        <v>7545</v>
      </c>
      <c r="C3601" s="10" t="s">
        <v>7546</v>
      </c>
      <c r="D3601" s="11">
        <v>42781.809953703705</v>
      </c>
      <c r="E3601" s="10" t="s">
        <v>240</v>
      </c>
    </row>
    <row r="3602" spans="1:5">
      <c r="A3602" s="11">
        <v>42781</v>
      </c>
      <c r="B3602" s="10" t="s">
        <v>7547</v>
      </c>
      <c r="C3602" s="10" t="s">
        <v>7548</v>
      </c>
      <c r="D3602" s="11">
        <v>42781.837905092594</v>
      </c>
      <c r="E3602" s="10" t="s">
        <v>380</v>
      </c>
    </row>
    <row r="3603" spans="1:5">
      <c r="A3603" s="11">
        <v>42781</v>
      </c>
      <c r="B3603" s="10" t="s">
        <v>7549</v>
      </c>
      <c r="C3603" s="10" t="s">
        <v>7550</v>
      </c>
      <c r="D3603" s="11">
        <v>42781.810370370367</v>
      </c>
      <c r="E3603" s="10" t="s">
        <v>683</v>
      </c>
    </row>
    <row r="3604" spans="1:5">
      <c r="A3604" s="11">
        <v>42781</v>
      </c>
      <c r="B3604" s="10" t="s">
        <v>7551</v>
      </c>
      <c r="C3604" s="10" t="s">
        <v>7552</v>
      </c>
      <c r="D3604" s="11">
        <v>42781.810659722221</v>
      </c>
      <c r="E3604" s="10" t="s">
        <v>4898</v>
      </c>
    </row>
    <row r="3605" spans="1:5">
      <c r="A3605" s="11">
        <v>42781</v>
      </c>
      <c r="B3605" s="10" t="s">
        <v>7553</v>
      </c>
      <c r="C3605" s="10" t="s">
        <v>7554</v>
      </c>
      <c r="D3605" s="11">
        <v>42782.675428240742</v>
      </c>
      <c r="E3605" s="10" t="s">
        <v>96</v>
      </c>
    </row>
    <row r="3606" spans="1:5">
      <c r="A3606" s="11">
        <v>42781</v>
      </c>
      <c r="B3606" s="10" t="s">
        <v>7555</v>
      </c>
      <c r="C3606" s="10" t="s">
        <v>7556</v>
      </c>
      <c r="D3606" s="11">
        <v>42781.811412037037</v>
      </c>
      <c r="E3606" s="10" t="s">
        <v>7557</v>
      </c>
    </row>
    <row r="3607" spans="1:5">
      <c r="A3607" s="11">
        <v>42781</v>
      </c>
      <c r="B3607" s="10" t="s">
        <v>7558</v>
      </c>
      <c r="C3607" s="10" t="s">
        <v>7559</v>
      </c>
      <c r="D3607" s="11">
        <v>42781.813275462962</v>
      </c>
      <c r="E3607" s="10" t="s">
        <v>240</v>
      </c>
    </row>
    <row r="3608" spans="1:5">
      <c r="A3608" s="11">
        <v>42781</v>
      </c>
      <c r="B3608" s="10" t="s">
        <v>7560</v>
      </c>
      <c r="C3608" s="10" t="s">
        <v>7561</v>
      </c>
      <c r="D3608" s="11">
        <v>42781.815416666665</v>
      </c>
      <c r="E3608" s="10" t="s">
        <v>152</v>
      </c>
    </row>
    <row r="3609" spans="1:5">
      <c r="A3609" s="11">
        <v>42781</v>
      </c>
      <c r="B3609" s="10" t="s">
        <v>7562</v>
      </c>
      <c r="C3609" s="10" t="s">
        <v>7563</v>
      </c>
      <c r="D3609" s="11">
        <v>42781.815636574072</v>
      </c>
      <c r="E3609" s="10" t="s">
        <v>422</v>
      </c>
    </row>
    <row r="3610" spans="1:5">
      <c r="A3610" s="11">
        <v>42781</v>
      </c>
      <c r="B3610" s="10" t="s">
        <v>7564</v>
      </c>
      <c r="C3610" s="10" t="s">
        <v>7565</v>
      </c>
      <c r="D3610" s="11">
        <v>42781.816724537035</v>
      </c>
      <c r="E3610" s="10" t="s">
        <v>193</v>
      </c>
    </row>
    <row r="3611" spans="1:5">
      <c r="A3611" s="11">
        <v>42781</v>
      </c>
      <c r="B3611" s="10" t="s">
        <v>7566</v>
      </c>
      <c r="C3611" s="10" t="s">
        <v>7567</v>
      </c>
      <c r="D3611" s="11">
        <v>42781.81795138889</v>
      </c>
      <c r="E3611" s="10" t="s">
        <v>380</v>
      </c>
    </row>
    <row r="3612" spans="1:5">
      <c r="A3612" s="11">
        <v>42781</v>
      </c>
      <c r="B3612" s="10" t="s">
        <v>7568</v>
      </c>
      <c r="C3612" s="10" t="s">
        <v>7569</v>
      </c>
      <c r="D3612" s="11">
        <v>42781.820509259262</v>
      </c>
      <c r="E3612" s="10" t="s">
        <v>859</v>
      </c>
    </row>
    <row r="3613" spans="1:5">
      <c r="A3613" s="11">
        <v>42781</v>
      </c>
      <c r="B3613" s="10" t="s">
        <v>7570</v>
      </c>
      <c r="C3613" s="10" t="s">
        <v>7571</v>
      </c>
      <c r="D3613" s="11">
        <v>42781.821435185186</v>
      </c>
      <c r="E3613" s="10" t="s">
        <v>209</v>
      </c>
    </row>
    <row r="3614" spans="1:5">
      <c r="A3614" s="11">
        <v>42781</v>
      </c>
      <c r="B3614" s="10" t="s">
        <v>7572</v>
      </c>
      <c r="C3614" s="10" t="s">
        <v>7573</v>
      </c>
      <c r="D3614" s="11">
        <v>42781.822581018518</v>
      </c>
      <c r="E3614" s="10" t="s">
        <v>1361</v>
      </c>
    </row>
    <row r="3615" spans="1:5">
      <c r="A3615" s="11">
        <v>42781</v>
      </c>
      <c r="B3615" s="10" t="s">
        <v>7574</v>
      </c>
      <c r="C3615" s="10" t="s">
        <v>7575</v>
      </c>
      <c r="D3615" s="11">
        <v>42781.89303240741</v>
      </c>
      <c r="E3615" s="10" t="s">
        <v>209</v>
      </c>
    </row>
    <row r="3616" spans="1:5">
      <c r="A3616" s="11">
        <v>42781</v>
      </c>
      <c r="B3616" s="10" t="s">
        <v>7576</v>
      </c>
      <c r="C3616" s="10" t="s">
        <v>7577</v>
      </c>
      <c r="D3616" s="11">
        <v>42781.826307870368</v>
      </c>
      <c r="E3616" s="10" t="s">
        <v>2912</v>
      </c>
    </row>
    <row r="3617" spans="1:5">
      <c r="A3617" s="11">
        <v>42781</v>
      </c>
      <c r="B3617" s="10" t="s">
        <v>7578</v>
      </c>
      <c r="C3617" s="10" t="s">
        <v>7579</v>
      </c>
      <c r="D3617" s="11">
        <v>42781.827106481483</v>
      </c>
      <c r="E3617" s="10" t="s">
        <v>683</v>
      </c>
    </row>
    <row r="3618" spans="1:5">
      <c r="A3618" s="11">
        <v>42781</v>
      </c>
      <c r="B3618" s="10" t="s">
        <v>7580</v>
      </c>
      <c r="C3618" s="10" t="s">
        <v>7581</v>
      </c>
      <c r="D3618" s="11">
        <v>42781.829004629632</v>
      </c>
      <c r="E3618" s="10" t="s">
        <v>5026</v>
      </c>
    </row>
    <row r="3619" spans="1:5">
      <c r="A3619" s="11">
        <v>42781</v>
      </c>
      <c r="B3619" s="10" t="s">
        <v>7582</v>
      </c>
      <c r="C3619" s="10" t="s">
        <v>7583</v>
      </c>
      <c r="D3619" s="11">
        <v>42781.829050925924</v>
      </c>
      <c r="E3619" s="10" t="s">
        <v>152</v>
      </c>
    </row>
    <row r="3620" spans="1:5">
      <c r="A3620" s="11">
        <v>42781</v>
      </c>
      <c r="B3620" s="10" t="s">
        <v>7584</v>
      </c>
      <c r="C3620" s="10" t="s">
        <v>7585</v>
      </c>
      <c r="D3620" s="11">
        <v>42781.829895833333</v>
      </c>
      <c r="E3620" s="10" t="s">
        <v>209</v>
      </c>
    </row>
    <row r="3621" spans="1:5" ht="21.6">
      <c r="A3621" s="11">
        <v>42781</v>
      </c>
      <c r="B3621" s="10" t="s">
        <v>7586</v>
      </c>
      <c r="C3621" s="10" t="s">
        <v>7587</v>
      </c>
      <c r="D3621" s="11">
        <v>42781.829918981479</v>
      </c>
      <c r="E3621" s="10" t="s">
        <v>1758</v>
      </c>
    </row>
    <row r="3622" spans="1:5" ht="21.6">
      <c r="A3622" s="11">
        <v>42781</v>
      </c>
      <c r="B3622" s="10" t="s">
        <v>7588</v>
      </c>
      <c r="C3622" s="10" t="s">
        <v>7589</v>
      </c>
      <c r="D3622" s="11">
        <v>42781.830462962964</v>
      </c>
      <c r="E3622" s="10" t="s">
        <v>559</v>
      </c>
    </row>
    <row r="3623" spans="1:5">
      <c r="A3623" s="11">
        <v>42781</v>
      </c>
      <c r="B3623" s="10" t="s">
        <v>7590</v>
      </c>
      <c r="C3623" s="10" t="s">
        <v>7591</v>
      </c>
      <c r="D3623" s="11">
        <v>42781.831342592595</v>
      </c>
      <c r="E3623" s="10" t="s">
        <v>320</v>
      </c>
    </row>
    <row r="3624" spans="1:5">
      <c r="A3624" s="11">
        <v>42781</v>
      </c>
      <c r="B3624" s="10" t="s">
        <v>7592</v>
      </c>
      <c r="C3624" s="10" t="s">
        <v>7593</v>
      </c>
      <c r="D3624" s="11">
        <v>42781.832118055558</v>
      </c>
      <c r="E3624" s="10" t="s">
        <v>152</v>
      </c>
    </row>
    <row r="3625" spans="1:5">
      <c r="A3625" s="11">
        <v>42781</v>
      </c>
      <c r="B3625" s="10" t="s">
        <v>7594</v>
      </c>
      <c r="C3625" s="10" t="s">
        <v>7595</v>
      </c>
      <c r="D3625" s="11">
        <v>42781.832708333335</v>
      </c>
      <c r="E3625" s="10" t="s">
        <v>1758</v>
      </c>
    </row>
    <row r="3626" spans="1:5">
      <c r="A3626" s="11">
        <v>42781</v>
      </c>
      <c r="B3626" s="10" t="s">
        <v>7596</v>
      </c>
      <c r="C3626" s="10" t="s">
        <v>7597</v>
      </c>
      <c r="D3626" s="11">
        <v>42781.974560185183</v>
      </c>
      <c r="E3626" s="10" t="s">
        <v>96</v>
      </c>
    </row>
    <row r="3627" spans="1:5">
      <c r="A3627" s="11">
        <v>42781</v>
      </c>
      <c r="B3627" s="10" t="s">
        <v>7598</v>
      </c>
      <c r="C3627" s="10" t="s">
        <v>7599</v>
      </c>
      <c r="D3627" s="11">
        <v>42781.83320601852</v>
      </c>
      <c r="E3627" s="10" t="s">
        <v>2515</v>
      </c>
    </row>
    <row r="3628" spans="1:5">
      <c r="A3628" s="11">
        <v>42781</v>
      </c>
      <c r="B3628" s="10" t="s">
        <v>7600</v>
      </c>
      <c r="C3628" s="10" t="s">
        <v>7601</v>
      </c>
      <c r="D3628" s="11">
        <v>42781.833368055559</v>
      </c>
      <c r="E3628" s="10" t="s">
        <v>902</v>
      </c>
    </row>
    <row r="3629" spans="1:5">
      <c r="A3629" s="11">
        <v>42781</v>
      </c>
      <c r="B3629" s="10" t="s">
        <v>7602</v>
      </c>
      <c r="C3629" s="10" t="s">
        <v>7603</v>
      </c>
      <c r="D3629" s="11">
        <v>42781.981944444444</v>
      </c>
      <c r="E3629" s="10" t="s">
        <v>422</v>
      </c>
    </row>
    <row r="3630" spans="1:5">
      <c r="A3630" s="11">
        <v>42781</v>
      </c>
      <c r="B3630" s="10" t="s">
        <v>7604</v>
      </c>
      <c r="C3630" s="10" t="s">
        <v>7605</v>
      </c>
      <c r="D3630" s="11">
        <v>42781.833715277775</v>
      </c>
      <c r="E3630" s="10" t="s">
        <v>4120</v>
      </c>
    </row>
    <row r="3631" spans="1:5">
      <c r="A3631" s="11">
        <v>42781</v>
      </c>
      <c r="B3631" s="10" t="s">
        <v>7606</v>
      </c>
      <c r="C3631" s="10" t="s">
        <v>7607</v>
      </c>
      <c r="D3631" s="11">
        <v>42781.833796296298</v>
      </c>
      <c r="E3631" s="10" t="s">
        <v>902</v>
      </c>
    </row>
    <row r="3632" spans="1:5">
      <c r="A3632" s="11">
        <v>42781</v>
      </c>
      <c r="B3632" s="10" t="s">
        <v>7608</v>
      </c>
      <c r="C3632" s="10" t="s">
        <v>7609</v>
      </c>
      <c r="D3632" s="11">
        <v>42781.833807870367</v>
      </c>
      <c r="E3632" s="10" t="s">
        <v>2554</v>
      </c>
    </row>
    <row r="3633" spans="1:5">
      <c r="A3633" s="11">
        <v>42781</v>
      </c>
      <c r="B3633" s="10" t="s">
        <v>7610</v>
      </c>
      <c r="C3633" s="10" t="s">
        <v>7611</v>
      </c>
      <c r="D3633" s="11">
        <v>42781.834745370368</v>
      </c>
      <c r="E3633" s="10" t="s">
        <v>902</v>
      </c>
    </row>
    <row r="3634" spans="1:5">
      <c r="A3634" s="11">
        <v>42781</v>
      </c>
      <c r="B3634" s="10" t="s">
        <v>7612</v>
      </c>
      <c r="C3634" s="10" t="s">
        <v>7613</v>
      </c>
      <c r="D3634" s="11">
        <v>42782.656157407408</v>
      </c>
      <c r="E3634" s="10" t="s">
        <v>707</v>
      </c>
    </row>
    <row r="3635" spans="1:5">
      <c r="A3635" s="11">
        <v>42781</v>
      </c>
      <c r="B3635" s="10" t="s">
        <v>7614</v>
      </c>
      <c r="C3635" s="10" t="s">
        <v>7615</v>
      </c>
      <c r="D3635" s="11">
        <v>42781.835300925923</v>
      </c>
      <c r="E3635" s="10" t="s">
        <v>4898</v>
      </c>
    </row>
    <row r="3636" spans="1:5">
      <c r="A3636" s="11">
        <v>42781</v>
      </c>
      <c r="B3636" s="10" t="s">
        <v>7616</v>
      </c>
      <c r="C3636" s="10" t="s">
        <v>7617</v>
      </c>
      <c r="D3636" s="11">
        <v>42781.836400462962</v>
      </c>
      <c r="E3636" s="10" t="s">
        <v>193</v>
      </c>
    </row>
    <row r="3637" spans="1:5">
      <c r="A3637" s="11">
        <v>42781</v>
      </c>
      <c r="B3637" s="10" t="s">
        <v>7618</v>
      </c>
      <c r="C3637" s="10" t="s">
        <v>7619</v>
      </c>
      <c r="D3637" s="11">
        <v>42781.840185185189</v>
      </c>
      <c r="E3637" s="10" t="s">
        <v>433</v>
      </c>
    </row>
    <row r="3638" spans="1:5">
      <c r="A3638" s="11">
        <v>42781</v>
      </c>
      <c r="B3638" s="10" t="s">
        <v>7620</v>
      </c>
      <c r="C3638" s="10" t="s">
        <v>7621</v>
      </c>
      <c r="D3638" s="11">
        <v>42781.841724537036</v>
      </c>
      <c r="E3638" s="10" t="s">
        <v>373</v>
      </c>
    </row>
    <row r="3639" spans="1:5">
      <c r="A3639" s="11">
        <v>42781</v>
      </c>
      <c r="B3639" s="10" t="s">
        <v>7622</v>
      </c>
      <c r="C3639" s="10" t="s">
        <v>7623</v>
      </c>
      <c r="D3639" s="11">
        <v>42781.842442129629</v>
      </c>
      <c r="E3639" s="10" t="s">
        <v>4898</v>
      </c>
    </row>
    <row r="3640" spans="1:5">
      <c r="A3640" s="11">
        <v>42781</v>
      </c>
      <c r="B3640" s="10" t="s">
        <v>7624</v>
      </c>
      <c r="C3640" s="10" t="s">
        <v>7625</v>
      </c>
      <c r="D3640" s="11">
        <v>42781.842673611114</v>
      </c>
      <c r="E3640" s="10" t="s">
        <v>656</v>
      </c>
    </row>
    <row r="3641" spans="1:5">
      <c r="A3641" s="11">
        <v>42781</v>
      </c>
      <c r="B3641" s="10" t="s">
        <v>7626</v>
      </c>
      <c r="C3641" s="10" t="s">
        <v>7627</v>
      </c>
      <c r="D3641" s="11">
        <v>42782.418738425928</v>
      </c>
      <c r="E3641" s="10" t="s">
        <v>422</v>
      </c>
    </row>
    <row r="3642" spans="1:5">
      <c r="A3642" s="11">
        <v>42781</v>
      </c>
      <c r="B3642" s="10" t="s">
        <v>7628</v>
      </c>
      <c r="C3642" s="10" t="s">
        <v>7629</v>
      </c>
      <c r="D3642" s="11">
        <v>42781.842962962961</v>
      </c>
      <c r="E3642" s="10" t="s">
        <v>320</v>
      </c>
    </row>
    <row r="3643" spans="1:5">
      <c r="A3643" s="11">
        <v>42781</v>
      </c>
      <c r="B3643" s="10" t="s">
        <v>7630</v>
      </c>
      <c r="C3643" s="10" t="s">
        <v>7631</v>
      </c>
      <c r="D3643" s="11">
        <v>42781.844953703701</v>
      </c>
      <c r="E3643" s="10" t="s">
        <v>320</v>
      </c>
    </row>
    <row r="3644" spans="1:5">
      <c r="A3644" s="11">
        <v>42781</v>
      </c>
      <c r="B3644" s="10" t="s">
        <v>7632</v>
      </c>
      <c r="C3644" s="10" t="s">
        <v>7633</v>
      </c>
      <c r="D3644" s="11">
        <v>42781.845057870371</v>
      </c>
      <c r="E3644" s="10" t="s">
        <v>193</v>
      </c>
    </row>
    <row r="3645" spans="1:5">
      <c r="A3645" s="11">
        <v>42781</v>
      </c>
      <c r="B3645" s="10" t="s">
        <v>7634</v>
      </c>
      <c r="C3645" s="10" t="s">
        <v>7635</v>
      </c>
      <c r="D3645" s="11">
        <v>42782.438506944447</v>
      </c>
      <c r="E3645" s="10" t="s">
        <v>320</v>
      </c>
    </row>
    <row r="3646" spans="1:5">
      <c r="A3646" s="11">
        <v>42781</v>
      </c>
      <c r="B3646" s="10" t="s">
        <v>7636</v>
      </c>
      <c r="C3646" s="10" t="s">
        <v>7637</v>
      </c>
      <c r="D3646" s="11">
        <v>42781.867939814816</v>
      </c>
      <c r="E3646" s="10" t="s">
        <v>6183</v>
      </c>
    </row>
    <row r="3647" spans="1:5" ht="21.6">
      <c r="A3647" s="11">
        <v>42781</v>
      </c>
      <c r="B3647" s="10" t="s">
        <v>7638</v>
      </c>
      <c r="C3647" s="10" t="s">
        <v>7639</v>
      </c>
      <c r="D3647" s="11">
        <v>42781.884386574071</v>
      </c>
      <c r="E3647" s="10" t="s">
        <v>1316</v>
      </c>
    </row>
    <row r="3648" spans="1:5" ht="21.6">
      <c r="A3648" s="11">
        <v>42781</v>
      </c>
      <c r="B3648" s="10" t="s">
        <v>7640</v>
      </c>
      <c r="C3648" s="10" t="s">
        <v>7641</v>
      </c>
      <c r="D3648" s="11">
        <v>42782.634733796294</v>
      </c>
      <c r="E3648" s="10" t="s">
        <v>1022</v>
      </c>
    </row>
    <row r="3649" spans="1:5">
      <c r="A3649" s="11">
        <v>42781</v>
      </c>
      <c r="B3649" s="10" t="s">
        <v>7642</v>
      </c>
      <c r="C3649" s="10" t="s">
        <v>7643</v>
      </c>
      <c r="D3649" s="11">
        <v>42782.407106481478</v>
      </c>
      <c r="E3649" s="10" t="s">
        <v>308</v>
      </c>
    </row>
    <row r="3650" spans="1:5">
      <c r="A3650" s="11">
        <v>42781</v>
      </c>
      <c r="B3650" s="10" t="s">
        <v>7644</v>
      </c>
      <c r="C3650" s="10" t="s">
        <v>7645</v>
      </c>
      <c r="D3650" s="11">
        <v>42781.850995370369</v>
      </c>
      <c r="E3650" s="10" t="s">
        <v>433</v>
      </c>
    </row>
    <row r="3651" spans="1:5">
      <c r="A3651" s="11">
        <v>42781</v>
      </c>
      <c r="B3651" s="10" t="s">
        <v>7646</v>
      </c>
      <c r="C3651" s="10" t="s">
        <v>7647</v>
      </c>
      <c r="D3651" s="11">
        <v>42781.851493055554</v>
      </c>
      <c r="E3651" s="10" t="s">
        <v>96</v>
      </c>
    </row>
    <row r="3652" spans="1:5">
      <c r="A3652" s="11">
        <v>42781</v>
      </c>
      <c r="B3652" s="10" t="s">
        <v>7648</v>
      </c>
      <c r="C3652" s="10" t="s">
        <v>7649</v>
      </c>
      <c r="D3652" s="11">
        <v>42781.851736111108</v>
      </c>
      <c r="E3652" s="10" t="s">
        <v>2266</v>
      </c>
    </row>
    <row r="3653" spans="1:5">
      <c r="A3653" s="11">
        <v>42781</v>
      </c>
      <c r="B3653" s="10" t="s">
        <v>7650</v>
      </c>
      <c r="C3653" s="10" t="s">
        <v>7651</v>
      </c>
      <c r="D3653" s="11">
        <v>42781.854560185187</v>
      </c>
      <c r="E3653" s="10" t="s">
        <v>3434</v>
      </c>
    </row>
    <row r="3654" spans="1:5">
      <c r="A3654" s="11">
        <v>42781</v>
      </c>
      <c r="B3654" s="10" t="s">
        <v>7652</v>
      </c>
      <c r="C3654" s="10" t="s">
        <v>7653</v>
      </c>
      <c r="D3654" s="11">
        <v>42781.855902777781</v>
      </c>
      <c r="E3654" s="10" t="s">
        <v>122</v>
      </c>
    </row>
    <row r="3655" spans="1:5">
      <c r="A3655" s="11">
        <v>42781</v>
      </c>
      <c r="B3655" s="10" t="s">
        <v>7654</v>
      </c>
      <c r="C3655" s="10" t="s">
        <v>7655</v>
      </c>
      <c r="D3655" s="11">
        <v>42781.856180555558</v>
      </c>
      <c r="E3655" s="10" t="s">
        <v>178</v>
      </c>
    </row>
    <row r="3656" spans="1:5">
      <c r="A3656" s="11">
        <v>42781</v>
      </c>
      <c r="B3656" s="10" t="s">
        <v>7656</v>
      </c>
      <c r="C3656" s="10" t="s">
        <v>7657</v>
      </c>
      <c r="D3656" s="11">
        <v>42781.857129629629</v>
      </c>
      <c r="E3656" s="10" t="s">
        <v>5406</v>
      </c>
    </row>
    <row r="3657" spans="1:5">
      <c r="A3657" s="11">
        <v>42781</v>
      </c>
      <c r="B3657" s="10" t="s">
        <v>7658</v>
      </c>
      <c r="C3657" s="10" t="s">
        <v>7659</v>
      </c>
      <c r="D3657" s="11">
        <v>42781.857141203705</v>
      </c>
      <c r="E3657" s="10" t="s">
        <v>2180</v>
      </c>
    </row>
    <row r="3658" spans="1:5">
      <c r="A3658" s="11">
        <v>42781</v>
      </c>
      <c r="B3658" s="10" t="s">
        <v>7660</v>
      </c>
      <c r="C3658" s="10" t="s">
        <v>7661</v>
      </c>
      <c r="D3658" s="11">
        <v>42781.857685185183</v>
      </c>
      <c r="E3658" s="10" t="s">
        <v>152</v>
      </c>
    </row>
    <row r="3659" spans="1:5">
      <c r="A3659" s="11">
        <v>42781</v>
      </c>
      <c r="B3659" s="10" t="s">
        <v>7662</v>
      </c>
      <c r="C3659" s="10" t="s">
        <v>7663</v>
      </c>
      <c r="D3659" s="11">
        <v>42781.858784722222</v>
      </c>
      <c r="E3659" s="10" t="s">
        <v>966</v>
      </c>
    </row>
    <row r="3660" spans="1:5">
      <c r="A3660" s="11">
        <v>42781</v>
      </c>
      <c r="B3660" s="10" t="s">
        <v>7664</v>
      </c>
      <c r="C3660" s="10" t="s">
        <v>7665</v>
      </c>
      <c r="D3660" s="11">
        <v>42781.858831018515</v>
      </c>
      <c r="E3660" s="10" t="s">
        <v>308</v>
      </c>
    </row>
    <row r="3661" spans="1:5">
      <c r="A3661" s="11">
        <v>42781</v>
      </c>
      <c r="B3661" s="10" t="s">
        <v>7666</v>
      </c>
      <c r="C3661" s="10" t="s">
        <v>7667</v>
      </c>
      <c r="D3661" s="11">
        <v>42782.482025462959</v>
      </c>
      <c r="E3661" s="10" t="s">
        <v>320</v>
      </c>
    </row>
    <row r="3662" spans="1:5">
      <c r="A3662" s="11">
        <v>42781</v>
      </c>
      <c r="B3662" s="10" t="s">
        <v>7668</v>
      </c>
      <c r="C3662" s="10" t="s">
        <v>7669</v>
      </c>
      <c r="D3662" s="11">
        <v>42781.860289351855</v>
      </c>
      <c r="E3662" s="10" t="s">
        <v>4898</v>
      </c>
    </row>
    <row r="3663" spans="1:5">
      <c r="A3663" s="11">
        <v>42781</v>
      </c>
      <c r="B3663" s="10" t="s">
        <v>7670</v>
      </c>
      <c r="C3663" s="10" t="s">
        <v>7671</v>
      </c>
      <c r="D3663" s="11">
        <v>42781.860347222224</v>
      </c>
      <c r="E3663" s="10" t="s">
        <v>1361</v>
      </c>
    </row>
    <row r="3664" spans="1:5">
      <c r="A3664" s="11">
        <v>42781</v>
      </c>
      <c r="B3664" s="10" t="s">
        <v>7672</v>
      </c>
      <c r="C3664" s="10" t="s">
        <v>7673</v>
      </c>
      <c r="D3664" s="11">
        <v>42781.944201388891</v>
      </c>
      <c r="E3664" s="10" t="s">
        <v>949</v>
      </c>
    </row>
    <row r="3665" spans="1:5">
      <c r="A3665" s="11">
        <v>42781</v>
      </c>
      <c r="B3665" s="10" t="s">
        <v>7674</v>
      </c>
      <c r="C3665" s="10" t="s">
        <v>7675</v>
      </c>
      <c r="D3665" s="11">
        <v>42781.862835648149</v>
      </c>
      <c r="E3665" s="10" t="s">
        <v>96</v>
      </c>
    </row>
    <row r="3666" spans="1:5">
      <c r="A3666" s="11">
        <v>42781</v>
      </c>
      <c r="B3666" s="10" t="s">
        <v>7676</v>
      </c>
      <c r="C3666" s="10" t="s">
        <v>7677</v>
      </c>
      <c r="D3666" s="11">
        <v>42782.465879629628</v>
      </c>
      <c r="E3666" s="10" t="s">
        <v>2201</v>
      </c>
    </row>
    <row r="3667" spans="1:5">
      <c r="A3667" s="11">
        <v>42781</v>
      </c>
      <c r="B3667" s="10" t="s">
        <v>7678</v>
      </c>
      <c r="C3667" s="10" t="s">
        <v>7679</v>
      </c>
      <c r="D3667" s="11">
        <v>42781.865798611114</v>
      </c>
      <c r="E3667" s="10" t="s">
        <v>422</v>
      </c>
    </row>
    <row r="3668" spans="1:5">
      <c r="A3668" s="11">
        <v>42781</v>
      </c>
      <c r="B3668" s="10" t="s">
        <v>7680</v>
      </c>
      <c r="C3668" s="10" t="s">
        <v>7681</v>
      </c>
      <c r="D3668" s="11">
        <v>42782.343287037038</v>
      </c>
      <c r="E3668" s="10" t="s">
        <v>414</v>
      </c>
    </row>
    <row r="3669" spans="1:5">
      <c r="A3669" s="11">
        <v>42781</v>
      </c>
      <c r="B3669" s="10" t="s">
        <v>7682</v>
      </c>
      <c r="C3669" s="10" t="s">
        <v>7683</v>
      </c>
      <c r="D3669" s="11">
        <v>42782.507962962962</v>
      </c>
      <c r="E3669" s="10" t="s">
        <v>152</v>
      </c>
    </row>
    <row r="3670" spans="1:5">
      <c r="A3670" s="11">
        <v>42781</v>
      </c>
      <c r="B3670" s="10" t="s">
        <v>7684</v>
      </c>
      <c r="C3670" s="10" t="s">
        <v>7685</v>
      </c>
      <c r="D3670" s="11">
        <v>42781.866655092592</v>
      </c>
      <c r="E3670" s="10" t="s">
        <v>152</v>
      </c>
    </row>
    <row r="3671" spans="1:5">
      <c r="A3671" s="11">
        <v>42781</v>
      </c>
      <c r="B3671" s="10" t="s">
        <v>7686</v>
      </c>
      <c r="C3671" s="10" t="s">
        <v>7687</v>
      </c>
      <c r="D3671" s="11">
        <v>42781.866678240738</v>
      </c>
      <c r="E3671" s="10" t="s">
        <v>96</v>
      </c>
    </row>
    <row r="3672" spans="1:5">
      <c r="A3672" s="11">
        <v>42781</v>
      </c>
      <c r="B3672" s="10" t="s">
        <v>7688</v>
      </c>
      <c r="C3672" s="10" t="s">
        <v>7689</v>
      </c>
      <c r="D3672" s="11">
        <v>42782.433854166666</v>
      </c>
      <c r="E3672" s="10" t="s">
        <v>707</v>
      </c>
    </row>
    <row r="3673" spans="1:5">
      <c r="A3673" s="11">
        <v>42781</v>
      </c>
      <c r="B3673" s="10" t="s">
        <v>7690</v>
      </c>
      <c r="C3673" s="10" t="s">
        <v>7691</v>
      </c>
      <c r="D3673" s="11">
        <v>42781.869444444441</v>
      </c>
      <c r="E3673" s="10" t="s">
        <v>178</v>
      </c>
    </row>
    <row r="3674" spans="1:5">
      <c r="A3674" s="11">
        <v>42781</v>
      </c>
      <c r="B3674" s="10" t="s">
        <v>7692</v>
      </c>
      <c r="C3674" s="10" t="s">
        <v>7693</v>
      </c>
      <c r="D3674" s="11">
        <v>42781.869606481479</v>
      </c>
      <c r="E3674" s="10" t="s">
        <v>422</v>
      </c>
    </row>
    <row r="3675" spans="1:5">
      <c r="A3675" s="11">
        <v>42781</v>
      </c>
      <c r="B3675" s="10" t="s">
        <v>7694</v>
      </c>
      <c r="C3675" s="10" t="s">
        <v>7695</v>
      </c>
      <c r="D3675" s="11">
        <v>42781.87127314815</v>
      </c>
      <c r="E3675" s="10" t="s">
        <v>433</v>
      </c>
    </row>
    <row r="3676" spans="1:5">
      <c r="A3676" s="11">
        <v>42781</v>
      </c>
      <c r="B3676" s="10" t="s">
        <v>7696</v>
      </c>
      <c r="C3676" s="10" t="s">
        <v>7697</v>
      </c>
      <c r="D3676" s="11">
        <v>42781.871388888889</v>
      </c>
      <c r="E3676" s="10" t="s">
        <v>2144</v>
      </c>
    </row>
    <row r="3677" spans="1:5">
      <c r="A3677" s="11">
        <v>42781</v>
      </c>
      <c r="B3677" s="10" t="s">
        <v>7698</v>
      </c>
      <c r="C3677" s="10" t="s">
        <v>7699</v>
      </c>
      <c r="D3677" s="11">
        <v>42781.872141203705</v>
      </c>
      <c r="E3677" s="10" t="s">
        <v>7557</v>
      </c>
    </row>
    <row r="3678" spans="1:5">
      <c r="A3678" s="11">
        <v>42781</v>
      </c>
      <c r="B3678" s="10" t="s">
        <v>7700</v>
      </c>
      <c r="C3678" s="10" t="s">
        <v>7701</v>
      </c>
      <c r="D3678" s="11">
        <v>42781.87228009259</v>
      </c>
      <c r="E3678" s="10" t="s">
        <v>203</v>
      </c>
    </row>
    <row r="3679" spans="1:5">
      <c r="A3679" s="11">
        <v>42781</v>
      </c>
      <c r="B3679" s="10" t="s">
        <v>7702</v>
      </c>
      <c r="C3679" s="10" t="s">
        <v>7703</v>
      </c>
      <c r="D3679" s="11">
        <v>42781.873055555552</v>
      </c>
      <c r="E3679" s="10" t="s">
        <v>2180</v>
      </c>
    </row>
    <row r="3680" spans="1:5">
      <c r="A3680" s="11">
        <v>42781</v>
      </c>
      <c r="B3680" s="10" t="s">
        <v>7704</v>
      </c>
      <c r="C3680" s="10" t="s">
        <v>7705</v>
      </c>
      <c r="D3680" s="11">
        <v>42781.873171296298</v>
      </c>
      <c r="E3680" s="10" t="s">
        <v>122</v>
      </c>
    </row>
    <row r="3681" spans="1:5">
      <c r="A3681" s="11">
        <v>42781</v>
      </c>
      <c r="B3681" s="10" t="s">
        <v>7706</v>
      </c>
      <c r="C3681" s="10" t="s">
        <v>7707</v>
      </c>
      <c r="D3681" s="11">
        <v>42781.873738425929</v>
      </c>
      <c r="E3681" s="10" t="s">
        <v>320</v>
      </c>
    </row>
    <row r="3682" spans="1:5">
      <c r="A3682" s="11">
        <v>42781</v>
      </c>
      <c r="B3682" s="10" t="s">
        <v>7708</v>
      </c>
      <c r="C3682" s="10" t="s">
        <v>7709</v>
      </c>
      <c r="D3682" s="11">
        <v>42781.976388888892</v>
      </c>
      <c r="E3682" s="10" t="s">
        <v>122</v>
      </c>
    </row>
    <row r="3683" spans="1:5">
      <c r="A3683" s="11">
        <v>42781</v>
      </c>
      <c r="B3683" s="10" t="s">
        <v>7710</v>
      </c>
      <c r="C3683" s="10" t="s">
        <v>7711</v>
      </c>
      <c r="D3683" s="11">
        <v>42781.874849537038</v>
      </c>
      <c r="E3683" s="10" t="s">
        <v>237</v>
      </c>
    </row>
    <row r="3684" spans="1:5">
      <c r="A3684" s="11">
        <v>42781</v>
      </c>
      <c r="B3684" s="10" t="s">
        <v>7712</v>
      </c>
      <c r="C3684" s="10" t="s">
        <v>7713</v>
      </c>
      <c r="D3684" s="11">
        <v>42781.875324074077</v>
      </c>
      <c r="E3684" s="10" t="s">
        <v>422</v>
      </c>
    </row>
    <row r="3685" spans="1:5">
      <c r="A3685" s="11">
        <v>42781</v>
      </c>
      <c r="B3685" s="10" t="s">
        <v>7714</v>
      </c>
      <c r="C3685" s="10" t="s">
        <v>7715</v>
      </c>
      <c r="D3685" s="11">
        <v>42781.875381944446</v>
      </c>
      <c r="E3685" s="10" t="s">
        <v>237</v>
      </c>
    </row>
    <row r="3686" spans="1:5">
      <c r="A3686" s="11">
        <v>42781</v>
      </c>
      <c r="B3686" s="10" t="s">
        <v>7716</v>
      </c>
      <c r="C3686" s="10" t="s">
        <v>7717</v>
      </c>
      <c r="D3686" s="11">
        <v>42781.875590277778</v>
      </c>
      <c r="E3686" s="10" t="s">
        <v>218</v>
      </c>
    </row>
    <row r="3687" spans="1:5">
      <c r="A3687" s="11">
        <v>42781</v>
      </c>
      <c r="B3687" s="10" t="s">
        <v>7718</v>
      </c>
      <c r="C3687" s="10" t="s">
        <v>7719</v>
      </c>
      <c r="D3687" s="11">
        <v>42781.87699074074</v>
      </c>
      <c r="E3687" s="10" t="s">
        <v>859</v>
      </c>
    </row>
    <row r="3688" spans="1:5">
      <c r="A3688" s="11">
        <v>42781</v>
      </c>
      <c r="B3688" s="10" t="s">
        <v>7720</v>
      </c>
      <c r="C3688" s="10" t="s">
        <v>7721</v>
      </c>
      <c r="D3688" s="11">
        <v>42781.877430555556</v>
      </c>
      <c r="E3688" s="10" t="s">
        <v>433</v>
      </c>
    </row>
    <row r="3689" spans="1:5">
      <c r="A3689" s="11">
        <v>42781</v>
      </c>
      <c r="B3689" s="10" t="s">
        <v>7722</v>
      </c>
      <c r="C3689" s="10" t="s">
        <v>7723</v>
      </c>
      <c r="D3689" s="11">
        <v>42781.891273148147</v>
      </c>
      <c r="E3689" s="10" t="s">
        <v>902</v>
      </c>
    </row>
    <row r="3690" spans="1:5">
      <c r="A3690" s="11">
        <v>42781</v>
      </c>
      <c r="B3690" s="10" t="s">
        <v>7724</v>
      </c>
      <c r="C3690" s="10" t="s">
        <v>7725</v>
      </c>
      <c r="D3690" s="11">
        <v>42781.877638888887</v>
      </c>
      <c r="E3690" s="10" t="s">
        <v>433</v>
      </c>
    </row>
    <row r="3691" spans="1:5">
      <c r="A3691" s="11">
        <v>42781</v>
      </c>
      <c r="B3691" s="10" t="s">
        <v>7726</v>
      </c>
      <c r="C3691" s="10" t="s">
        <v>7727</v>
      </c>
      <c r="D3691" s="11">
        <v>42781.87871527778</v>
      </c>
      <c r="E3691" s="10" t="s">
        <v>966</v>
      </c>
    </row>
    <row r="3692" spans="1:5">
      <c r="A3692" s="11">
        <v>42781</v>
      </c>
      <c r="B3692" s="10" t="s">
        <v>7728</v>
      </c>
      <c r="C3692" s="10" t="s">
        <v>7729</v>
      </c>
      <c r="D3692" s="11">
        <v>42781.878923611112</v>
      </c>
      <c r="E3692" s="10" t="s">
        <v>240</v>
      </c>
    </row>
    <row r="3693" spans="1:5">
      <c r="A3693" s="11">
        <v>42781</v>
      </c>
      <c r="B3693" s="10" t="s">
        <v>7730</v>
      </c>
      <c r="C3693" s="10" t="s">
        <v>7731</v>
      </c>
      <c r="D3693" s="11">
        <v>42781.878969907404</v>
      </c>
      <c r="E3693" s="10" t="s">
        <v>433</v>
      </c>
    </row>
    <row r="3694" spans="1:5">
      <c r="A3694" s="11">
        <v>42781</v>
      </c>
      <c r="B3694" s="10" t="s">
        <v>7732</v>
      </c>
      <c r="C3694" s="10" t="s">
        <v>7733</v>
      </c>
      <c r="D3694" s="11">
        <v>42781.879467592589</v>
      </c>
      <c r="E3694" s="10" t="s">
        <v>1103</v>
      </c>
    </row>
    <row r="3695" spans="1:5">
      <c r="A3695" s="11">
        <v>42781</v>
      </c>
      <c r="B3695" s="10" t="s">
        <v>7734</v>
      </c>
      <c r="C3695" s="10" t="s">
        <v>7735</v>
      </c>
      <c r="D3695" s="11">
        <v>42781.879513888889</v>
      </c>
      <c r="E3695" s="10" t="s">
        <v>966</v>
      </c>
    </row>
    <row r="3696" spans="1:5">
      <c r="A3696" s="11">
        <v>42781</v>
      </c>
      <c r="B3696" s="10" t="s">
        <v>7736</v>
      </c>
      <c r="C3696" s="10" t="s">
        <v>7737</v>
      </c>
      <c r="D3696" s="11">
        <v>42781.87972222222</v>
      </c>
      <c r="E3696" s="10" t="s">
        <v>433</v>
      </c>
    </row>
    <row r="3697" spans="1:5">
      <c r="A3697" s="11">
        <v>42781</v>
      </c>
      <c r="B3697" s="10" t="s">
        <v>7738</v>
      </c>
      <c r="C3697" s="10" t="s">
        <v>7739</v>
      </c>
      <c r="D3697" s="11">
        <v>42781.879976851851</v>
      </c>
      <c r="E3697" s="10" t="s">
        <v>237</v>
      </c>
    </row>
    <row r="3698" spans="1:5">
      <c r="A3698" s="11">
        <v>42781</v>
      </c>
      <c r="B3698" s="10" t="s">
        <v>7740</v>
      </c>
      <c r="C3698" s="10" t="s">
        <v>7741</v>
      </c>
      <c r="D3698" s="11">
        <v>42781.879988425928</v>
      </c>
      <c r="E3698" s="10" t="s">
        <v>320</v>
      </c>
    </row>
    <row r="3699" spans="1:5">
      <c r="A3699" s="11">
        <v>42781</v>
      </c>
      <c r="B3699" s="10" t="s">
        <v>7742</v>
      </c>
      <c r="C3699" s="10" t="s">
        <v>7743</v>
      </c>
      <c r="D3699" s="11">
        <v>42781.880173611113</v>
      </c>
      <c r="E3699" s="10" t="s">
        <v>433</v>
      </c>
    </row>
    <row r="3700" spans="1:5">
      <c r="A3700" s="11">
        <v>42781</v>
      </c>
      <c r="B3700" s="10" t="s">
        <v>7744</v>
      </c>
      <c r="C3700" s="10" t="s">
        <v>7745</v>
      </c>
      <c r="D3700" s="11">
        <v>42781.880370370367</v>
      </c>
      <c r="E3700" s="10" t="s">
        <v>433</v>
      </c>
    </row>
    <row r="3701" spans="1:5">
      <c r="A3701" s="11">
        <v>42781</v>
      </c>
      <c r="B3701" s="10" t="s">
        <v>7746</v>
      </c>
      <c r="C3701" s="10" t="s">
        <v>7747</v>
      </c>
      <c r="D3701" s="11">
        <v>42782.428622685184</v>
      </c>
      <c r="E3701" s="10" t="s">
        <v>479</v>
      </c>
    </row>
    <row r="3702" spans="1:5">
      <c r="A3702" s="11">
        <v>42781</v>
      </c>
      <c r="B3702" s="10" t="s">
        <v>7748</v>
      </c>
      <c r="C3702" s="10" t="s">
        <v>7749</v>
      </c>
      <c r="D3702" s="11">
        <v>42781.880798611113</v>
      </c>
      <c r="E3702" s="10" t="s">
        <v>433</v>
      </c>
    </row>
    <row r="3703" spans="1:5">
      <c r="A3703" s="11">
        <v>42781</v>
      </c>
      <c r="B3703" s="10" t="s">
        <v>7750</v>
      </c>
      <c r="C3703" s="10" t="s">
        <v>7751</v>
      </c>
      <c r="D3703" s="11">
        <v>42781.880798611113</v>
      </c>
      <c r="E3703" s="10" t="s">
        <v>433</v>
      </c>
    </row>
    <row r="3704" spans="1:5">
      <c r="A3704" s="11">
        <v>42781</v>
      </c>
      <c r="B3704" s="10" t="s">
        <v>7752</v>
      </c>
      <c r="C3704" s="10" t="s">
        <v>7753</v>
      </c>
      <c r="D3704" s="11">
        <v>42781.881736111114</v>
      </c>
      <c r="E3704" s="10" t="s">
        <v>193</v>
      </c>
    </row>
    <row r="3705" spans="1:5">
      <c r="A3705" s="11">
        <v>42781</v>
      </c>
      <c r="B3705" s="10" t="s">
        <v>7754</v>
      </c>
      <c r="C3705" s="10" t="s">
        <v>7755</v>
      </c>
      <c r="D3705" s="11">
        <v>42781.882719907408</v>
      </c>
      <c r="E3705" s="10" t="s">
        <v>433</v>
      </c>
    </row>
    <row r="3706" spans="1:5">
      <c r="A3706" s="11">
        <v>42781</v>
      </c>
      <c r="B3706" s="10" t="s">
        <v>7756</v>
      </c>
      <c r="C3706" s="10" t="s">
        <v>7757</v>
      </c>
      <c r="D3706" s="11">
        <v>42781.883564814816</v>
      </c>
      <c r="E3706" s="10" t="s">
        <v>308</v>
      </c>
    </row>
    <row r="3707" spans="1:5">
      <c r="A3707" s="11">
        <v>42781</v>
      </c>
      <c r="B3707" s="10" t="s">
        <v>7758</v>
      </c>
      <c r="C3707" s="10" t="s">
        <v>7759</v>
      </c>
      <c r="D3707" s="11">
        <v>42781.883680555555</v>
      </c>
      <c r="E3707" s="10" t="s">
        <v>3550</v>
      </c>
    </row>
    <row r="3708" spans="1:5">
      <c r="A3708" s="11">
        <v>42781</v>
      </c>
      <c r="B3708" s="10" t="s">
        <v>7760</v>
      </c>
      <c r="C3708" s="10" t="s">
        <v>7761</v>
      </c>
      <c r="D3708" s="11">
        <v>42781.884108796294</v>
      </c>
      <c r="E3708" s="10" t="s">
        <v>373</v>
      </c>
    </row>
    <row r="3709" spans="1:5">
      <c r="A3709" s="11">
        <v>42781</v>
      </c>
      <c r="B3709" s="10" t="s">
        <v>7762</v>
      </c>
      <c r="C3709" s="10" t="s">
        <v>7763</v>
      </c>
      <c r="D3709" s="11">
        <v>42781.885289351849</v>
      </c>
      <c r="E3709" s="10" t="s">
        <v>152</v>
      </c>
    </row>
    <row r="3710" spans="1:5">
      <c r="A3710" s="11">
        <v>42781</v>
      </c>
      <c r="B3710" s="10" t="s">
        <v>7764</v>
      </c>
      <c r="C3710" s="10" t="s">
        <v>7765</v>
      </c>
      <c r="D3710" s="11">
        <v>42781.885520833333</v>
      </c>
      <c r="E3710" s="10" t="s">
        <v>1103</v>
      </c>
    </row>
    <row r="3711" spans="1:5">
      <c r="A3711" s="11">
        <v>42781</v>
      </c>
      <c r="B3711" s="10" t="s">
        <v>7766</v>
      </c>
      <c r="C3711" s="10" t="s">
        <v>7767</v>
      </c>
      <c r="D3711" s="11">
        <v>42781.885949074072</v>
      </c>
      <c r="E3711" s="10" t="s">
        <v>1103</v>
      </c>
    </row>
    <row r="3712" spans="1:5">
      <c r="A3712" s="11">
        <v>42781</v>
      </c>
      <c r="B3712" s="10" t="s">
        <v>7768</v>
      </c>
      <c r="C3712" s="10" t="s">
        <v>7769</v>
      </c>
      <c r="D3712" s="11">
        <v>42781.886666666665</v>
      </c>
      <c r="E3712" s="10" t="s">
        <v>902</v>
      </c>
    </row>
    <row r="3713" spans="1:5">
      <c r="A3713" s="11">
        <v>42781</v>
      </c>
      <c r="B3713" s="10" t="s">
        <v>7770</v>
      </c>
      <c r="C3713" s="10" t="s">
        <v>7771</v>
      </c>
      <c r="D3713" s="11">
        <v>42781.887129629627</v>
      </c>
      <c r="E3713" s="10" t="s">
        <v>237</v>
      </c>
    </row>
    <row r="3714" spans="1:5">
      <c r="A3714" s="11">
        <v>42781</v>
      </c>
      <c r="B3714" s="10" t="s">
        <v>7772</v>
      </c>
      <c r="C3714" s="10" t="s">
        <v>7773</v>
      </c>
      <c r="D3714" s="11">
        <v>42781.887812499997</v>
      </c>
      <c r="E3714" s="10" t="s">
        <v>305</v>
      </c>
    </row>
    <row r="3715" spans="1:5">
      <c r="A3715" s="11">
        <v>42781</v>
      </c>
      <c r="B3715" s="10" t="s">
        <v>7774</v>
      </c>
      <c r="C3715" s="10" t="s">
        <v>7775</v>
      </c>
      <c r="D3715" s="11">
        <v>42781.889166666668</v>
      </c>
      <c r="E3715" s="10" t="s">
        <v>625</v>
      </c>
    </row>
    <row r="3716" spans="1:5">
      <c r="A3716" s="11">
        <v>42781</v>
      </c>
      <c r="B3716" s="10" t="s">
        <v>7776</v>
      </c>
      <c r="C3716" s="10" t="s">
        <v>7777</v>
      </c>
      <c r="D3716" s="11">
        <v>42781.890636574077</v>
      </c>
      <c r="E3716" s="10" t="s">
        <v>433</v>
      </c>
    </row>
    <row r="3717" spans="1:5">
      <c r="A3717" s="11">
        <v>42781</v>
      </c>
      <c r="B3717" s="10" t="s">
        <v>7778</v>
      </c>
      <c r="C3717" s="10" t="s">
        <v>7779</v>
      </c>
      <c r="D3717" s="11">
        <v>42781.891215277778</v>
      </c>
      <c r="E3717" s="10" t="s">
        <v>433</v>
      </c>
    </row>
    <row r="3718" spans="1:5">
      <c r="A3718" s="11">
        <v>42781</v>
      </c>
      <c r="B3718" s="10" t="s">
        <v>7780</v>
      </c>
      <c r="C3718" s="10" t="s">
        <v>7781</v>
      </c>
      <c r="D3718" s="11">
        <v>42781.891365740739</v>
      </c>
      <c r="E3718" s="10" t="s">
        <v>433</v>
      </c>
    </row>
    <row r="3719" spans="1:5">
      <c r="A3719" s="11">
        <v>42781</v>
      </c>
      <c r="B3719" s="10" t="s">
        <v>7782</v>
      </c>
      <c r="C3719" s="10" t="s">
        <v>7783</v>
      </c>
      <c r="D3719" s="11">
        <v>42781.891655092593</v>
      </c>
      <c r="E3719" s="10" t="s">
        <v>433</v>
      </c>
    </row>
    <row r="3720" spans="1:5">
      <c r="A3720" s="11">
        <v>42781</v>
      </c>
      <c r="B3720" s="10" t="s">
        <v>7784</v>
      </c>
      <c r="C3720" s="10" t="s">
        <v>7785</v>
      </c>
      <c r="D3720" s="11">
        <v>42781.891875000001</v>
      </c>
      <c r="E3720" s="10" t="s">
        <v>122</v>
      </c>
    </row>
    <row r="3721" spans="1:5">
      <c r="A3721" s="11">
        <v>42781</v>
      </c>
      <c r="B3721" s="10" t="s">
        <v>7786</v>
      </c>
      <c r="C3721" s="10" t="s">
        <v>7787</v>
      </c>
      <c r="D3721" s="11">
        <v>42781.89298611111</v>
      </c>
      <c r="E3721" s="10" t="s">
        <v>433</v>
      </c>
    </row>
    <row r="3722" spans="1:5">
      <c r="A3722" s="11">
        <v>42781</v>
      </c>
      <c r="B3722" s="10" t="s">
        <v>7788</v>
      </c>
      <c r="C3722" s="10" t="s">
        <v>7789</v>
      </c>
      <c r="D3722" s="11">
        <v>42781.893101851849</v>
      </c>
      <c r="E3722" s="10" t="s">
        <v>240</v>
      </c>
    </row>
    <row r="3723" spans="1:5">
      <c r="A3723" s="11">
        <v>42781</v>
      </c>
      <c r="B3723" s="10" t="s">
        <v>7790</v>
      </c>
      <c r="C3723" s="10" t="s">
        <v>7791</v>
      </c>
      <c r="D3723" s="11">
        <v>42781.893310185187</v>
      </c>
      <c r="E3723" s="10" t="s">
        <v>320</v>
      </c>
    </row>
    <row r="3724" spans="1:5">
      <c r="A3724" s="11">
        <v>42781</v>
      </c>
      <c r="B3724" s="10" t="s">
        <v>7792</v>
      </c>
      <c r="C3724" s="10" t="s">
        <v>7793</v>
      </c>
      <c r="D3724" s="11">
        <v>42781.893622685187</v>
      </c>
      <c r="E3724" s="10" t="s">
        <v>320</v>
      </c>
    </row>
    <row r="3725" spans="1:5">
      <c r="A3725" s="11">
        <v>42781</v>
      </c>
      <c r="B3725" s="10" t="s">
        <v>7794</v>
      </c>
      <c r="C3725" s="10" t="s">
        <v>7795</v>
      </c>
      <c r="D3725" s="11">
        <v>42782.689988425926</v>
      </c>
      <c r="E3725" s="10" t="s">
        <v>7796</v>
      </c>
    </row>
    <row r="3726" spans="1:5" ht="21.6">
      <c r="A3726" s="11">
        <v>42781</v>
      </c>
      <c r="B3726" s="10" t="s">
        <v>7797</v>
      </c>
      <c r="C3726" s="10" t="s">
        <v>7798</v>
      </c>
      <c r="D3726" s="11">
        <v>42781.89640046296</v>
      </c>
      <c r="E3726" s="10" t="s">
        <v>1316</v>
      </c>
    </row>
    <row r="3727" spans="1:5">
      <c r="A3727" s="11">
        <v>42781</v>
      </c>
      <c r="B3727" s="10" t="s">
        <v>7799</v>
      </c>
      <c r="C3727" s="10" t="s">
        <v>7800</v>
      </c>
      <c r="D3727" s="11">
        <v>42781.896574074075</v>
      </c>
      <c r="E3727" s="10" t="s">
        <v>683</v>
      </c>
    </row>
    <row r="3728" spans="1:5">
      <c r="A3728" s="11">
        <v>42781</v>
      </c>
      <c r="B3728" s="10" t="s">
        <v>7801</v>
      </c>
      <c r="C3728" s="10" t="s">
        <v>7802</v>
      </c>
      <c r="D3728" s="11">
        <v>42781.896967592591</v>
      </c>
      <c r="E3728" s="10" t="s">
        <v>902</v>
      </c>
    </row>
    <row r="3729" spans="1:5">
      <c r="A3729" s="11">
        <v>42781</v>
      </c>
      <c r="B3729" s="10" t="s">
        <v>7803</v>
      </c>
      <c r="C3729" s="10" t="s">
        <v>7804</v>
      </c>
      <c r="D3729" s="11">
        <v>42781.897557870368</v>
      </c>
      <c r="E3729" s="10" t="s">
        <v>209</v>
      </c>
    </row>
    <row r="3730" spans="1:5">
      <c r="A3730" s="11">
        <v>42781</v>
      </c>
      <c r="B3730" s="10" t="s">
        <v>7805</v>
      </c>
      <c r="C3730" s="10" t="s">
        <v>7806</v>
      </c>
      <c r="D3730" s="11">
        <v>42781.8987037037</v>
      </c>
      <c r="E3730" s="10" t="s">
        <v>707</v>
      </c>
    </row>
    <row r="3731" spans="1:5">
      <c r="A3731" s="11">
        <v>42781</v>
      </c>
      <c r="B3731" s="10" t="s">
        <v>7807</v>
      </c>
      <c r="C3731" s="10" t="s">
        <v>7808</v>
      </c>
      <c r="D3731" s="11">
        <v>42781.899895833332</v>
      </c>
      <c r="E3731" s="10" t="s">
        <v>193</v>
      </c>
    </row>
    <row r="3732" spans="1:5">
      <c r="A3732" s="11">
        <v>42781</v>
      </c>
      <c r="B3732" s="10" t="s">
        <v>7809</v>
      </c>
      <c r="C3732" s="10" t="s">
        <v>7810</v>
      </c>
      <c r="D3732" s="11">
        <v>42781.900092592594</v>
      </c>
      <c r="E3732" s="10" t="s">
        <v>422</v>
      </c>
    </row>
    <row r="3733" spans="1:5">
      <c r="A3733" s="11">
        <v>42781</v>
      </c>
      <c r="B3733" s="10" t="s">
        <v>7811</v>
      </c>
      <c r="C3733" s="10" t="s">
        <v>7812</v>
      </c>
      <c r="D3733" s="11">
        <v>42781.900289351855</v>
      </c>
      <c r="E3733" s="10" t="s">
        <v>422</v>
      </c>
    </row>
    <row r="3734" spans="1:5">
      <c r="A3734" s="11">
        <v>42781</v>
      </c>
      <c r="B3734" s="10" t="s">
        <v>7813</v>
      </c>
      <c r="C3734" s="10" t="s">
        <v>7814</v>
      </c>
      <c r="D3734" s="11">
        <v>42781.900393518517</v>
      </c>
      <c r="E3734" s="10" t="s">
        <v>193</v>
      </c>
    </row>
    <row r="3735" spans="1:5">
      <c r="A3735" s="11">
        <v>42781</v>
      </c>
      <c r="B3735" s="10" t="s">
        <v>7815</v>
      </c>
      <c r="C3735" s="10" t="s">
        <v>7816</v>
      </c>
      <c r="D3735" s="11">
        <v>42781.901365740741</v>
      </c>
      <c r="E3735" s="10" t="s">
        <v>707</v>
      </c>
    </row>
    <row r="3736" spans="1:5">
      <c r="A3736" s="11">
        <v>42781</v>
      </c>
      <c r="B3736" s="10" t="s">
        <v>7817</v>
      </c>
      <c r="C3736" s="10" t="s">
        <v>7818</v>
      </c>
      <c r="D3736" s="11">
        <v>42781.901493055557</v>
      </c>
      <c r="E3736" s="10" t="s">
        <v>3550</v>
      </c>
    </row>
    <row r="3737" spans="1:5">
      <c r="A3737" s="11">
        <v>42781</v>
      </c>
      <c r="B3737" s="10" t="s">
        <v>7819</v>
      </c>
      <c r="C3737" s="10" t="s">
        <v>7820</v>
      </c>
      <c r="D3737" s="11">
        <v>42781.901666666665</v>
      </c>
      <c r="E3737" s="10" t="s">
        <v>152</v>
      </c>
    </row>
    <row r="3738" spans="1:5">
      <c r="A3738" s="11">
        <v>42781</v>
      </c>
      <c r="B3738" s="10" t="s">
        <v>7821</v>
      </c>
      <c r="C3738" s="10" t="s">
        <v>7822</v>
      </c>
      <c r="D3738" s="11">
        <v>42781.902824074074</v>
      </c>
      <c r="E3738" s="10" t="s">
        <v>2180</v>
      </c>
    </row>
    <row r="3739" spans="1:5">
      <c r="A3739" s="11">
        <v>42781</v>
      </c>
      <c r="B3739" s="10" t="s">
        <v>7823</v>
      </c>
      <c r="C3739" s="10" t="s">
        <v>7824</v>
      </c>
      <c r="D3739" s="11">
        <v>42782.707071759258</v>
      </c>
      <c r="E3739" s="10" t="s">
        <v>122</v>
      </c>
    </row>
    <row r="3740" spans="1:5">
      <c r="A3740" s="11">
        <v>42781</v>
      </c>
      <c r="B3740" s="10" t="s">
        <v>7825</v>
      </c>
      <c r="C3740" s="10" t="s">
        <v>7826</v>
      </c>
      <c r="D3740" s="11">
        <v>42781.903009259258</v>
      </c>
      <c r="E3740" s="10" t="s">
        <v>656</v>
      </c>
    </row>
    <row r="3741" spans="1:5">
      <c r="A3741" s="11">
        <v>42781</v>
      </c>
      <c r="B3741" s="10" t="s">
        <v>7827</v>
      </c>
      <c r="C3741" s="10" t="s">
        <v>7828</v>
      </c>
      <c r="D3741" s="11">
        <v>42781.903113425928</v>
      </c>
      <c r="E3741" s="10" t="s">
        <v>2515</v>
      </c>
    </row>
    <row r="3742" spans="1:5">
      <c r="A3742" s="11">
        <v>42781</v>
      </c>
      <c r="B3742" s="10" t="s">
        <v>7829</v>
      </c>
      <c r="C3742" s="10" t="s">
        <v>7830</v>
      </c>
      <c r="D3742" s="11">
        <v>42781.903368055559</v>
      </c>
      <c r="E3742" s="10" t="s">
        <v>108</v>
      </c>
    </row>
    <row r="3743" spans="1:5">
      <c r="A3743" s="11">
        <v>42781</v>
      </c>
      <c r="B3743" s="10" t="s">
        <v>7831</v>
      </c>
      <c r="C3743" s="10" t="s">
        <v>7832</v>
      </c>
      <c r="D3743" s="11">
        <v>42782.650983796295</v>
      </c>
      <c r="E3743" s="10" t="s">
        <v>653</v>
      </c>
    </row>
    <row r="3744" spans="1:5">
      <c r="A3744" s="11">
        <v>42781</v>
      </c>
      <c r="B3744" s="10" t="s">
        <v>7833</v>
      </c>
      <c r="C3744" s="10" t="s">
        <v>7834</v>
      </c>
      <c r="D3744" s="11">
        <v>42781.904178240744</v>
      </c>
      <c r="E3744" s="10" t="s">
        <v>365</v>
      </c>
    </row>
    <row r="3745" spans="1:5">
      <c r="A3745" s="11">
        <v>42781</v>
      </c>
      <c r="B3745" s="10" t="s">
        <v>7835</v>
      </c>
      <c r="C3745" s="10" t="s">
        <v>7836</v>
      </c>
      <c r="D3745" s="11">
        <v>42781.904363425929</v>
      </c>
      <c r="E3745" s="10" t="s">
        <v>193</v>
      </c>
    </row>
    <row r="3746" spans="1:5">
      <c r="A3746" s="11">
        <v>42781</v>
      </c>
      <c r="B3746" s="10" t="s">
        <v>7837</v>
      </c>
      <c r="C3746" s="10" t="s">
        <v>7838</v>
      </c>
      <c r="D3746" s="11">
        <v>42781.904687499999</v>
      </c>
      <c r="E3746" s="10" t="s">
        <v>108</v>
      </c>
    </row>
    <row r="3747" spans="1:5">
      <c r="A3747" s="11">
        <v>42781</v>
      </c>
      <c r="B3747" s="10" t="s">
        <v>7839</v>
      </c>
      <c r="C3747" s="10" t="s">
        <v>7840</v>
      </c>
      <c r="D3747" s="11">
        <v>42781.904895833337</v>
      </c>
      <c r="E3747" s="10" t="s">
        <v>193</v>
      </c>
    </row>
    <row r="3748" spans="1:5">
      <c r="A3748" s="11">
        <v>42781</v>
      </c>
      <c r="B3748" s="10" t="s">
        <v>7841</v>
      </c>
      <c r="C3748" s="10" t="s">
        <v>7842</v>
      </c>
      <c r="D3748" s="11">
        <v>42781.90761574074</v>
      </c>
      <c r="E3748" s="10" t="s">
        <v>320</v>
      </c>
    </row>
    <row r="3749" spans="1:5">
      <c r="A3749" s="11">
        <v>42781</v>
      </c>
      <c r="B3749" s="10" t="s">
        <v>7843</v>
      </c>
      <c r="C3749" s="10" t="s">
        <v>7844</v>
      </c>
      <c r="D3749" s="11">
        <v>42781.90828703704</v>
      </c>
      <c r="E3749" s="10" t="s">
        <v>320</v>
      </c>
    </row>
    <row r="3750" spans="1:5">
      <c r="A3750" s="11">
        <v>42781</v>
      </c>
      <c r="B3750" s="10" t="s">
        <v>7845</v>
      </c>
      <c r="C3750" s="10" t="s">
        <v>7846</v>
      </c>
      <c r="D3750" s="11">
        <v>42781.909166666665</v>
      </c>
      <c r="E3750" s="10" t="s">
        <v>966</v>
      </c>
    </row>
    <row r="3751" spans="1:5">
      <c r="A3751" s="11">
        <v>42781</v>
      </c>
      <c r="B3751" s="10" t="s">
        <v>7847</v>
      </c>
      <c r="C3751" s="10" t="s">
        <v>7848</v>
      </c>
      <c r="D3751" s="11">
        <v>42781.909421296295</v>
      </c>
      <c r="E3751" s="10" t="s">
        <v>433</v>
      </c>
    </row>
    <row r="3752" spans="1:5">
      <c r="A3752" s="11">
        <v>42781</v>
      </c>
      <c r="B3752" s="10" t="s">
        <v>7849</v>
      </c>
      <c r="C3752" s="10" t="s">
        <v>7850</v>
      </c>
      <c r="D3752" s="11">
        <v>42781.909849537034</v>
      </c>
      <c r="E3752" s="10" t="s">
        <v>122</v>
      </c>
    </row>
    <row r="3753" spans="1:5">
      <c r="A3753" s="11">
        <v>42781</v>
      </c>
      <c r="B3753" s="10" t="s">
        <v>7851</v>
      </c>
      <c r="C3753" s="10" t="s">
        <v>7852</v>
      </c>
      <c r="D3753" s="11">
        <v>42781.910416666666</v>
      </c>
      <c r="E3753" s="10" t="s">
        <v>414</v>
      </c>
    </row>
    <row r="3754" spans="1:5">
      <c r="A3754" s="11">
        <v>42781</v>
      </c>
      <c r="B3754" s="10" t="s">
        <v>7853</v>
      </c>
      <c r="C3754" s="10" t="s">
        <v>7854</v>
      </c>
      <c r="D3754" s="11">
        <v>42781.911909722221</v>
      </c>
      <c r="E3754" s="10" t="s">
        <v>683</v>
      </c>
    </row>
    <row r="3755" spans="1:5">
      <c r="A3755" s="11">
        <v>42781</v>
      </c>
      <c r="B3755" s="10" t="s">
        <v>7855</v>
      </c>
      <c r="C3755" s="10" t="s">
        <v>7856</v>
      </c>
      <c r="D3755" s="11">
        <v>42781.911944444444</v>
      </c>
      <c r="E3755" s="10" t="s">
        <v>4898</v>
      </c>
    </row>
    <row r="3756" spans="1:5">
      <c r="A3756" s="11">
        <v>42781</v>
      </c>
      <c r="B3756" s="10" t="s">
        <v>7857</v>
      </c>
      <c r="C3756" s="10" t="s">
        <v>7858</v>
      </c>
      <c r="D3756" s="11">
        <v>42781.912673611114</v>
      </c>
      <c r="E3756" s="10" t="s">
        <v>240</v>
      </c>
    </row>
    <row r="3757" spans="1:5">
      <c r="A3757" s="11">
        <v>42781</v>
      </c>
      <c r="B3757" s="10" t="s">
        <v>7859</v>
      </c>
      <c r="C3757" s="10" t="s">
        <v>7860</v>
      </c>
      <c r="D3757" s="11">
        <v>42781.912719907406</v>
      </c>
      <c r="E3757" s="10" t="s">
        <v>320</v>
      </c>
    </row>
    <row r="3758" spans="1:5">
      <c r="A3758" s="11">
        <v>42781</v>
      </c>
      <c r="B3758" s="10" t="s">
        <v>7861</v>
      </c>
      <c r="C3758" s="10" t="s">
        <v>7862</v>
      </c>
      <c r="D3758" s="11">
        <v>42781.913113425922</v>
      </c>
      <c r="E3758" s="10" t="s">
        <v>193</v>
      </c>
    </row>
    <row r="3759" spans="1:5">
      <c r="A3759" s="11">
        <v>42781</v>
      </c>
      <c r="B3759" s="10" t="s">
        <v>7863</v>
      </c>
      <c r="C3759" s="10" t="s">
        <v>7864</v>
      </c>
      <c r="D3759" s="11">
        <v>42781.913425925923</v>
      </c>
      <c r="E3759" s="10" t="s">
        <v>152</v>
      </c>
    </row>
    <row r="3760" spans="1:5">
      <c r="A3760" s="11">
        <v>42781</v>
      </c>
      <c r="B3760" s="10" t="s">
        <v>7865</v>
      </c>
      <c r="C3760" s="10" t="s">
        <v>7866</v>
      </c>
      <c r="D3760" s="11">
        <v>42781.91375</v>
      </c>
      <c r="E3760" s="10" t="s">
        <v>240</v>
      </c>
    </row>
    <row r="3761" spans="1:5">
      <c r="A3761" s="11">
        <v>42781</v>
      </c>
      <c r="B3761" s="10" t="s">
        <v>7867</v>
      </c>
      <c r="C3761" s="10" t="s">
        <v>7868</v>
      </c>
      <c r="D3761" s="11">
        <v>42781.915127314816</v>
      </c>
      <c r="E3761" s="10" t="s">
        <v>240</v>
      </c>
    </row>
    <row r="3762" spans="1:5">
      <c r="A3762" s="11">
        <v>42781</v>
      </c>
      <c r="B3762" s="10" t="s">
        <v>7869</v>
      </c>
      <c r="C3762" s="10" t="s">
        <v>7870</v>
      </c>
      <c r="D3762" s="11">
        <v>42781.915439814817</v>
      </c>
      <c r="E3762" s="10" t="s">
        <v>707</v>
      </c>
    </row>
    <row r="3763" spans="1:5">
      <c r="A3763" s="11">
        <v>42781</v>
      </c>
      <c r="B3763" s="10" t="s">
        <v>7871</v>
      </c>
      <c r="C3763" s="10" t="s">
        <v>7872</v>
      </c>
      <c r="D3763" s="11">
        <v>42781.91609953704</v>
      </c>
      <c r="E3763" s="10" t="s">
        <v>977</v>
      </c>
    </row>
    <row r="3764" spans="1:5">
      <c r="A3764" s="11">
        <v>42781</v>
      </c>
      <c r="B3764" s="10" t="s">
        <v>7873</v>
      </c>
      <c r="C3764" s="10" t="s">
        <v>7874</v>
      </c>
      <c r="D3764" s="11">
        <v>42781.9221875</v>
      </c>
      <c r="E3764" s="10" t="s">
        <v>122</v>
      </c>
    </row>
    <row r="3765" spans="1:5">
      <c r="A3765" s="11">
        <v>42781</v>
      </c>
      <c r="B3765" s="10" t="s">
        <v>7875</v>
      </c>
      <c r="C3765" s="10" t="s">
        <v>7876</v>
      </c>
      <c r="D3765" s="11">
        <v>42781.922476851854</v>
      </c>
      <c r="E3765" s="10" t="s">
        <v>193</v>
      </c>
    </row>
    <row r="3766" spans="1:5" ht="21.6">
      <c r="A3766" s="11">
        <v>42781</v>
      </c>
      <c r="B3766" s="10" t="s">
        <v>7877</v>
      </c>
      <c r="C3766" s="10" t="s">
        <v>7878</v>
      </c>
      <c r="D3766" s="11">
        <v>42781.924363425926</v>
      </c>
      <c r="E3766" s="10" t="s">
        <v>3027</v>
      </c>
    </row>
    <row r="3767" spans="1:5">
      <c r="A3767" s="11">
        <v>42781</v>
      </c>
      <c r="B3767" s="10" t="s">
        <v>7879</v>
      </c>
      <c r="C3767" s="10" t="s">
        <v>7880</v>
      </c>
      <c r="D3767" s="11">
        <v>42781.924803240741</v>
      </c>
      <c r="E3767" s="10" t="s">
        <v>320</v>
      </c>
    </row>
    <row r="3768" spans="1:5">
      <c r="A3768" s="11">
        <v>42781</v>
      </c>
      <c r="B3768" s="10" t="s">
        <v>7881</v>
      </c>
      <c r="C3768" s="10" t="s">
        <v>7882</v>
      </c>
      <c r="D3768" s="11">
        <v>42781.927048611113</v>
      </c>
      <c r="E3768" s="10" t="s">
        <v>320</v>
      </c>
    </row>
    <row r="3769" spans="1:5">
      <c r="A3769" s="11">
        <v>42781</v>
      </c>
      <c r="B3769" s="10" t="s">
        <v>7883</v>
      </c>
      <c r="C3769" s="10" t="s">
        <v>7884</v>
      </c>
      <c r="D3769" s="11">
        <v>42781.927395833336</v>
      </c>
      <c r="E3769" s="10" t="s">
        <v>240</v>
      </c>
    </row>
    <row r="3770" spans="1:5">
      <c r="A3770" s="11">
        <v>42781</v>
      </c>
      <c r="B3770" s="10" t="s">
        <v>7885</v>
      </c>
      <c r="C3770" s="10" t="s">
        <v>7886</v>
      </c>
      <c r="D3770" s="11">
        <v>42782.482349537036</v>
      </c>
      <c r="E3770" s="10" t="s">
        <v>292</v>
      </c>
    </row>
    <row r="3771" spans="1:5">
      <c r="A3771" s="11">
        <v>42781</v>
      </c>
      <c r="B3771" s="10" t="s">
        <v>7887</v>
      </c>
      <c r="C3771" s="10" t="s">
        <v>7888</v>
      </c>
      <c r="D3771" s="11">
        <v>42781.929629629631</v>
      </c>
      <c r="E3771" s="10" t="s">
        <v>193</v>
      </c>
    </row>
    <row r="3772" spans="1:5">
      <c r="A3772" s="11">
        <v>42781</v>
      </c>
      <c r="B3772" s="10" t="s">
        <v>7889</v>
      </c>
      <c r="C3772" s="10" t="s">
        <v>7890</v>
      </c>
      <c r="D3772" s="11">
        <v>42781.929768518516</v>
      </c>
      <c r="E3772" s="10" t="s">
        <v>433</v>
      </c>
    </row>
    <row r="3773" spans="1:5">
      <c r="A3773" s="11">
        <v>42781</v>
      </c>
      <c r="B3773" s="10" t="s">
        <v>7891</v>
      </c>
      <c r="C3773" s="10" t="s">
        <v>7892</v>
      </c>
      <c r="D3773" s="11">
        <v>42782.39707175926</v>
      </c>
      <c r="E3773" s="10" t="s">
        <v>138</v>
      </c>
    </row>
    <row r="3774" spans="1:5">
      <c r="A3774" s="11">
        <v>42781</v>
      </c>
      <c r="B3774" s="10" t="s">
        <v>7893</v>
      </c>
      <c r="C3774" s="10" t="s">
        <v>7894</v>
      </c>
      <c r="D3774" s="11">
        <v>42781.931076388886</v>
      </c>
      <c r="E3774" s="10" t="s">
        <v>2865</v>
      </c>
    </row>
    <row r="3775" spans="1:5">
      <c r="A3775" s="11">
        <v>42781</v>
      </c>
      <c r="B3775" s="10" t="s">
        <v>7895</v>
      </c>
      <c r="C3775" s="10" t="s">
        <v>7896</v>
      </c>
      <c r="D3775" s="11">
        <v>42781.931261574071</v>
      </c>
      <c r="E3775" s="10" t="s">
        <v>320</v>
      </c>
    </row>
    <row r="3776" spans="1:5">
      <c r="A3776" s="11">
        <v>42781</v>
      </c>
      <c r="B3776" s="10" t="s">
        <v>7897</v>
      </c>
      <c r="C3776" s="10" t="s">
        <v>7898</v>
      </c>
      <c r="D3776" s="11">
        <v>42782.002824074072</v>
      </c>
      <c r="E3776" s="10" t="s">
        <v>422</v>
      </c>
    </row>
    <row r="3777" spans="1:5">
      <c r="A3777" s="11">
        <v>42781</v>
      </c>
      <c r="B3777" s="10" t="s">
        <v>7899</v>
      </c>
      <c r="C3777" s="10" t="s">
        <v>7900</v>
      </c>
      <c r="D3777" s="11">
        <v>42781.931516203702</v>
      </c>
      <c r="E3777" s="10" t="s">
        <v>193</v>
      </c>
    </row>
    <row r="3778" spans="1:5">
      <c r="A3778" s="11">
        <v>42781</v>
      </c>
      <c r="B3778" s="10" t="s">
        <v>7901</v>
      </c>
      <c r="C3778" s="10" t="s">
        <v>7902</v>
      </c>
      <c r="D3778" s="11">
        <v>42781.931527777779</v>
      </c>
      <c r="E3778" s="10" t="s">
        <v>479</v>
      </c>
    </row>
    <row r="3779" spans="1:5">
      <c r="A3779" s="11">
        <v>42781</v>
      </c>
      <c r="B3779" s="10" t="s">
        <v>7903</v>
      </c>
      <c r="C3779" s="10" t="s">
        <v>7904</v>
      </c>
      <c r="D3779" s="11">
        <v>42781.932604166665</v>
      </c>
      <c r="E3779" s="10" t="s">
        <v>433</v>
      </c>
    </row>
    <row r="3780" spans="1:5">
      <c r="A3780" s="11">
        <v>42781</v>
      </c>
      <c r="B3780" s="10" t="s">
        <v>7905</v>
      </c>
      <c r="C3780" s="10" t="s">
        <v>7906</v>
      </c>
      <c r="D3780" s="11">
        <v>42781.970034722224</v>
      </c>
      <c r="E3780" s="10" t="s">
        <v>433</v>
      </c>
    </row>
    <row r="3781" spans="1:5">
      <c r="A3781" s="11">
        <v>42781</v>
      </c>
      <c r="B3781" s="10" t="s">
        <v>7907</v>
      </c>
      <c r="C3781" s="10" t="s">
        <v>7908</v>
      </c>
      <c r="D3781" s="11">
        <v>42781.933761574073</v>
      </c>
      <c r="E3781" s="10" t="s">
        <v>320</v>
      </c>
    </row>
    <row r="3782" spans="1:5">
      <c r="A3782" s="11">
        <v>42781</v>
      </c>
      <c r="B3782" s="10" t="s">
        <v>7909</v>
      </c>
      <c r="C3782" s="10" t="s">
        <v>7910</v>
      </c>
      <c r="D3782" s="11">
        <v>42781.93377314815</v>
      </c>
      <c r="E3782" s="10" t="s">
        <v>152</v>
      </c>
    </row>
    <row r="3783" spans="1:5">
      <c r="A3783" s="11">
        <v>42781</v>
      </c>
      <c r="B3783" s="10" t="s">
        <v>7911</v>
      </c>
      <c r="C3783" s="10" t="s">
        <v>7912</v>
      </c>
      <c r="D3783" s="11">
        <v>42781.935324074075</v>
      </c>
      <c r="E3783" s="10" t="s">
        <v>422</v>
      </c>
    </row>
    <row r="3784" spans="1:5">
      <c r="A3784" s="11">
        <v>42781</v>
      </c>
      <c r="B3784" s="10" t="s">
        <v>7913</v>
      </c>
      <c r="C3784" s="10" t="s">
        <v>7914</v>
      </c>
      <c r="D3784" s="11">
        <v>42781.935879629629</v>
      </c>
      <c r="E3784" s="10" t="s">
        <v>320</v>
      </c>
    </row>
    <row r="3785" spans="1:5">
      <c r="A3785" s="11">
        <v>42781</v>
      </c>
      <c r="B3785" s="10" t="s">
        <v>7915</v>
      </c>
      <c r="C3785" s="10" t="s">
        <v>7916</v>
      </c>
      <c r="D3785" s="11">
        <v>42781.935914351852</v>
      </c>
      <c r="E3785" s="10" t="s">
        <v>152</v>
      </c>
    </row>
    <row r="3786" spans="1:5">
      <c r="A3786" s="11">
        <v>42781</v>
      </c>
      <c r="B3786" s="10" t="s">
        <v>7917</v>
      </c>
      <c r="C3786" s="10" t="s">
        <v>7918</v>
      </c>
      <c r="D3786" s="11">
        <v>42781.936331018522</v>
      </c>
      <c r="E3786" s="10" t="s">
        <v>122</v>
      </c>
    </row>
    <row r="3787" spans="1:5">
      <c r="A3787" s="11">
        <v>42781</v>
      </c>
      <c r="B3787" s="10" t="s">
        <v>7919</v>
      </c>
      <c r="C3787" s="10" t="s">
        <v>7920</v>
      </c>
      <c r="D3787" s="11">
        <v>42781.936388888891</v>
      </c>
      <c r="E3787" s="10" t="s">
        <v>320</v>
      </c>
    </row>
    <row r="3788" spans="1:5">
      <c r="A3788" s="11">
        <v>42781</v>
      </c>
      <c r="B3788" s="10" t="s">
        <v>7921</v>
      </c>
      <c r="C3788" s="10" t="s">
        <v>7922</v>
      </c>
      <c r="D3788" s="11">
        <v>42781.936805555553</v>
      </c>
      <c r="E3788" s="10" t="s">
        <v>433</v>
      </c>
    </row>
    <row r="3789" spans="1:5">
      <c r="A3789" s="11">
        <v>42781</v>
      </c>
      <c r="B3789" s="10" t="s">
        <v>7923</v>
      </c>
      <c r="C3789" s="10" t="s">
        <v>7924</v>
      </c>
      <c r="D3789" s="11">
        <v>42781.936828703707</v>
      </c>
      <c r="E3789" s="10" t="s">
        <v>422</v>
      </c>
    </row>
    <row r="3790" spans="1:5">
      <c r="A3790" s="11">
        <v>42781</v>
      </c>
      <c r="B3790" s="10" t="s">
        <v>7925</v>
      </c>
      <c r="C3790" s="10" t="s">
        <v>7926</v>
      </c>
      <c r="D3790" s="11">
        <v>42781.937291666669</v>
      </c>
      <c r="E3790" s="10" t="s">
        <v>320</v>
      </c>
    </row>
    <row r="3791" spans="1:5">
      <c r="A3791" s="11">
        <v>42781</v>
      </c>
      <c r="B3791" s="10" t="s">
        <v>7927</v>
      </c>
      <c r="C3791" s="10" t="s">
        <v>7928</v>
      </c>
      <c r="D3791" s="11">
        <v>42782.596724537034</v>
      </c>
      <c r="E3791" s="10" t="s">
        <v>237</v>
      </c>
    </row>
    <row r="3792" spans="1:5">
      <c r="A3792" s="11">
        <v>42781</v>
      </c>
      <c r="B3792" s="10" t="s">
        <v>7929</v>
      </c>
      <c r="C3792" s="10" t="s">
        <v>7930</v>
      </c>
      <c r="D3792" s="11">
        <v>42781.937789351854</v>
      </c>
      <c r="E3792" s="10" t="s">
        <v>320</v>
      </c>
    </row>
    <row r="3793" spans="1:5">
      <c r="A3793" s="11">
        <v>42781</v>
      </c>
      <c r="B3793" s="10" t="s">
        <v>7931</v>
      </c>
      <c r="C3793" s="10" t="s">
        <v>7932</v>
      </c>
      <c r="D3793" s="11">
        <v>42781.939398148148</v>
      </c>
      <c r="E3793" s="10" t="s">
        <v>707</v>
      </c>
    </row>
    <row r="3794" spans="1:5">
      <c r="A3794" s="11">
        <v>42781</v>
      </c>
      <c r="B3794" s="10" t="s">
        <v>7933</v>
      </c>
      <c r="C3794" s="10" t="s">
        <v>7934</v>
      </c>
      <c r="D3794" s="11">
        <v>42781.94021990741</v>
      </c>
      <c r="E3794" s="10" t="s">
        <v>625</v>
      </c>
    </row>
    <row r="3795" spans="1:5">
      <c r="A3795" s="11">
        <v>42781</v>
      </c>
      <c r="B3795" s="10" t="s">
        <v>7935</v>
      </c>
      <c r="C3795" s="10" t="s">
        <v>7936</v>
      </c>
      <c r="D3795" s="11">
        <v>42781.940671296295</v>
      </c>
      <c r="E3795" s="10" t="s">
        <v>308</v>
      </c>
    </row>
    <row r="3796" spans="1:5">
      <c r="A3796" s="11">
        <v>42781</v>
      </c>
      <c r="B3796" s="10" t="s">
        <v>7937</v>
      </c>
      <c r="C3796" s="10" t="s">
        <v>7938</v>
      </c>
      <c r="D3796" s="11">
        <v>42781.940891203703</v>
      </c>
      <c r="E3796" s="10" t="s">
        <v>2180</v>
      </c>
    </row>
    <row r="3797" spans="1:5">
      <c r="A3797" s="11">
        <v>42781</v>
      </c>
      <c r="B3797" s="10" t="s">
        <v>7939</v>
      </c>
      <c r="C3797" s="10" t="s">
        <v>7940</v>
      </c>
      <c r="D3797" s="11">
        <v>42781.940925925926</v>
      </c>
      <c r="E3797" s="10" t="s">
        <v>2688</v>
      </c>
    </row>
    <row r="3798" spans="1:5">
      <c r="A3798" s="11">
        <v>42781</v>
      </c>
      <c r="B3798" s="10" t="s">
        <v>7941</v>
      </c>
      <c r="C3798" s="10" t="s">
        <v>7942</v>
      </c>
      <c r="D3798" s="11">
        <v>42781.941064814811</v>
      </c>
      <c r="E3798" s="10" t="s">
        <v>2688</v>
      </c>
    </row>
    <row r="3799" spans="1:5" ht="21.6">
      <c r="A3799" s="11">
        <v>42781</v>
      </c>
      <c r="B3799" s="10" t="s">
        <v>7943</v>
      </c>
      <c r="C3799" s="10" t="s">
        <v>7944</v>
      </c>
      <c r="D3799" s="11">
        <v>42781.941631944443</v>
      </c>
      <c r="E3799" s="10" t="s">
        <v>966</v>
      </c>
    </row>
    <row r="3800" spans="1:5">
      <c r="A3800" s="11">
        <v>42781</v>
      </c>
      <c r="B3800" s="10" t="s">
        <v>7945</v>
      </c>
      <c r="C3800" s="10" t="s">
        <v>7946</v>
      </c>
      <c r="D3800" s="11">
        <v>42782.528773148151</v>
      </c>
      <c r="E3800" s="10" t="s">
        <v>3570</v>
      </c>
    </row>
    <row r="3801" spans="1:5">
      <c r="A3801" s="11">
        <v>42781</v>
      </c>
      <c r="B3801" s="10" t="s">
        <v>7947</v>
      </c>
      <c r="C3801" s="10" t="s">
        <v>7948</v>
      </c>
      <c r="D3801" s="11">
        <v>42781.942164351851</v>
      </c>
      <c r="E3801" s="10" t="s">
        <v>707</v>
      </c>
    </row>
    <row r="3802" spans="1:5">
      <c r="A3802" s="11">
        <v>42781</v>
      </c>
      <c r="B3802" s="10" t="s">
        <v>7949</v>
      </c>
      <c r="C3802" s="10" t="s">
        <v>7950</v>
      </c>
      <c r="D3802" s="11">
        <v>42781.942754629628</v>
      </c>
      <c r="E3802" s="10" t="s">
        <v>625</v>
      </c>
    </row>
    <row r="3803" spans="1:5">
      <c r="A3803" s="11">
        <v>42781</v>
      </c>
      <c r="B3803" s="10" t="s">
        <v>7951</v>
      </c>
      <c r="C3803" s="10" t="s">
        <v>7952</v>
      </c>
      <c r="D3803" s="11">
        <v>42781.943101851852</v>
      </c>
      <c r="E3803" s="10" t="s">
        <v>414</v>
      </c>
    </row>
    <row r="3804" spans="1:5">
      <c r="A3804" s="11">
        <v>42781</v>
      </c>
      <c r="B3804" s="10" t="s">
        <v>7953</v>
      </c>
      <c r="C3804" s="10" t="s">
        <v>7954</v>
      </c>
      <c r="D3804" s="11">
        <v>42781.94332175926</v>
      </c>
      <c r="E3804" s="10" t="s">
        <v>152</v>
      </c>
    </row>
    <row r="3805" spans="1:5">
      <c r="A3805" s="11">
        <v>42781</v>
      </c>
      <c r="B3805" s="10" t="s">
        <v>7955</v>
      </c>
      <c r="C3805" s="10" t="s">
        <v>7956</v>
      </c>
      <c r="D3805" s="11">
        <v>42782.488564814812</v>
      </c>
      <c r="E3805" s="10" t="s">
        <v>4898</v>
      </c>
    </row>
    <row r="3806" spans="1:5">
      <c r="A3806" s="11">
        <v>42781</v>
      </c>
      <c r="B3806" s="10" t="s">
        <v>7957</v>
      </c>
      <c r="C3806" s="10" t="s">
        <v>7958</v>
      </c>
      <c r="D3806" s="11">
        <v>42781.944895833331</v>
      </c>
      <c r="E3806" s="10" t="s">
        <v>122</v>
      </c>
    </row>
    <row r="3807" spans="1:5">
      <c r="A3807" s="11">
        <v>42781</v>
      </c>
      <c r="B3807" s="10" t="s">
        <v>7959</v>
      </c>
      <c r="C3807" s="10" t="s">
        <v>7960</v>
      </c>
      <c r="D3807" s="11">
        <v>42782.574456018519</v>
      </c>
      <c r="E3807" s="10" t="s">
        <v>108</v>
      </c>
    </row>
    <row r="3808" spans="1:5">
      <c r="A3808" s="11">
        <v>42781</v>
      </c>
      <c r="B3808" s="10" t="s">
        <v>7961</v>
      </c>
      <c r="C3808" s="10" t="s">
        <v>7962</v>
      </c>
      <c r="D3808" s="11">
        <v>42781.945659722223</v>
      </c>
      <c r="E3808" s="10" t="s">
        <v>707</v>
      </c>
    </row>
    <row r="3809" spans="1:5">
      <c r="A3809" s="11">
        <v>42781</v>
      </c>
      <c r="B3809" s="10" t="s">
        <v>7963</v>
      </c>
      <c r="C3809" s="10" t="s">
        <v>7964</v>
      </c>
      <c r="D3809" s="11">
        <v>42781.945763888885</v>
      </c>
      <c r="E3809" s="10" t="s">
        <v>96</v>
      </c>
    </row>
    <row r="3810" spans="1:5">
      <c r="A3810" s="11">
        <v>42781</v>
      </c>
      <c r="B3810" s="10" t="s">
        <v>7965</v>
      </c>
      <c r="C3810" s="10" t="s">
        <v>7966</v>
      </c>
      <c r="D3810" s="11">
        <v>42781.946180555555</v>
      </c>
      <c r="E3810" s="10" t="s">
        <v>707</v>
      </c>
    </row>
    <row r="3811" spans="1:5">
      <c r="A3811" s="11">
        <v>42781</v>
      </c>
      <c r="B3811" s="10" t="s">
        <v>7967</v>
      </c>
      <c r="C3811" s="10" t="s">
        <v>7968</v>
      </c>
      <c r="D3811" s="11">
        <v>42781.946400462963</v>
      </c>
      <c r="E3811" s="10" t="s">
        <v>707</v>
      </c>
    </row>
    <row r="3812" spans="1:5">
      <c r="A3812" s="11">
        <v>42781</v>
      </c>
      <c r="B3812" s="10" t="s">
        <v>7969</v>
      </c>
      <c r="C3812" s="10" t="s">
        <v>7970</v>
      </c>
      <c r="D3812" s="11">
        <v>42781.947627314818</v>
      </c>
      <c r="E3812" s="10" t="s">
        <v>683</v>
      </c>
    </row>
    <row r="3813" spans="1:5">
      <c r="A3813" s="11">
        <v>42781</v>
      </c>
      <c r="B3813" s="10" t="s">
        <v>7971</v>
      </c>
      <c r="C3813" s="10" t="s">
        <v>7972</v>
      </c>
      <c r="D3813" s="11">
        <v>42781.948865740742</v>
      </c>
      <c r="E3813" s="10" t="s">
        <v>433</v>
      </c>
    </row>
    <row r="3814" spans="1:5">
      <c r="A3814" s="11">
        <v>42781</v>
      </c>
      <c r="B3814" s="10" t="s">
        <v>7973</v>
      </c>
      <c r="C3814" s="10" t="s">
        <v>7974</v>
      </c>
      <c r="D3814" s="11">
        <v>42781.948946759258</v>
      </c>
      <c r="E3814" s="10" t="s">
        <v>422</v>
      </c>
    </row>
    <row r="3815" spans="1:5">
      <c r="A3815" s="11">
        <v>42781</v>
      </c>
      <c r="B3815" s="10" t="s">
        <v>7975</v>
      </c>
      <c r="C3815" s="10" t="s">
        <v>7976</v>
      </c>
      <c r="D3815" s="11">
        <v>42781.949247685188</v>
      </c>
      <c r="E3815" s="10" t="s">
        <v>380</v>
      </c>
    </row>
    <row r="3816" spans="1:5">
      <c r="A3816" s="11">
        <v>42781</v>
      </c>
      <c r="B3816" s="10" t="s">
        <v>7977</v>
      </c>
      <c r="C3816" s="10" t="s">
        <v>7978</v>
      </c>
      <c r="D3816" s="11">
        <v>42781.949895833335</v>
      </c>
      <c r="E3816" s="10" t="s">
        <v>414</v>
      </c>
    </row>
    <row r="3817" spans="1:5">
      <c r="A3817" s="11">
        <v>42781</v>
      </c>
      <c r="B3817" s="10" t="s">
        <v>7979</v>
      </c>
      <c r="C3817" s="10" t="s">
        <v>7980</v>
      </c>
      <c r="D3817" s="11">
        <v>42781.949953703705</v>
      </c>
      <c r="E3817" s="10" t="s">
        <v>683</v>
      </c>
    </row>
    <row r="3818" spans="1:5">
      <c r="A3818" s="11">
        <v>42781</v>
      </c>
      <c r="B3818" s="10" t="s">
        <v>7981</v>
      </c>
      <c r="C3818" s="10" t="s">
        <v>7982</v>
      </c>
      <c r="D3818" s="11">
        <v>42782.688981481479</v>
      </c>
      <c r="E3818" s="10" t="s">
        <v>683</v>
      </c>
    </row>
    <row r="3819" spans="1:5">
      <c r="A3819" s="11">
        <v>42781</v>
      </c>
      <c r="B3819" s="10" t="s">
        <v>7983</v>
      </c>
      <c r="C3819" s="10" t="s">
        <v>7984</v>
      </c>
      <c r="D3819" s="11">
        <v>42781.953159722223</v>
      </c>
      <c r="E3819" s="10" t="s">
        <v>122</v>
      </c>
    </row>
    <row r="3820" spans="1:5">
      <c r="A3820" s="11">
        <v>42781</v>
      </c>
      <c r="B3820" s="10" t="s">
        <v>7985</v>
      </c>
      <c r="C3820" s="10" t="s">
        <v>7986</v>
      </c>
      <c r="D3820" s="11">
        <v>42781.953692129631</v>
      </c>
      <c r="E3820" s="10" t="s">
        <v>683</v>
      </c>
    </row>
    <row r="3821" spans="1:5">
      <c r="A3821" s="11">
        <v>42781</v>
      </c>
      <c r="B3821" s="10" t="s">
        <v>7987</v>
      </c>
      <c r="C3821" s="10" t="s">
        <v>7988</v>
      </c>
      <c r="D3821" s="11">
        <v>42781.954502314817</v>
      </c>
      <c r="E3821" s="10" t="s">
        <v>422</v>
      </c>
    </row>
    <row r="3822" spans="1:5">
      <c r="A3822" s="11">
        <v>42781</v>
      </c>
      <c r="B3822" s="10" t="s">
        <v>7989</v>
      </c>
      <c r="C3822" s="10" t="s">
        <v>7990</v>
      </c>
      <c r="D3822" s="11">
        <v>42781.955462962964</v>
      </c>
      <c r="E3822" s="10" t="s">
        <v>122</v>
      </c>
    </row>
    <row r="3823" spans="1:5">
      <c r="A3823" s="11">
        <v>42781</v>
      </c>
      <c r="B3823" s="10" t="s">
        <v>7991</v>
      </c>
      <c r="C3823" s="10" t="s">
        <v>7992</v>
      </c>
      <c r="D3823" s="11">
        <v>42781.955960648149</v>
      </c>
      <c r="E3823" s="10" t="s">
        <v>122</v>
      </c>
    </row>
    <row r="3824" spans="1:5">
      <c r="A3824" s="11">
        <v>42781</v>
      </c>
      <c r="B3824" s="10" t="s">
        <v>7993</v>
      </c>
      <c r="C3824" s="10" t="s">
        <v>7994</v>
      </c>
      <c r="D3824" s="11">
        <v>42781.956226851849</v>
      </c>
      <c r="E3824" s="10" t="s">
        <v>902</v>
      </c>
    </row>
    <row r="3825" spans="1:5">
      <c r="A3825" s="11">
        <v>42781</v>
      </c>
      <c r="B3825" s="10" t="s">
        <v>7995</v>
      </c>
      <c r="C3825" s="10" t="s">
        <v>7996</v>
      </c>
      <c r="D3825" s="11">
        <v>42781.957777777781</v>
      </c>
      <c r="E3825" s="10" t="s">
        <v>2234</v>
      </c>
    </row>
    <row r="3826" spans="1:5">
      <c r="A3826" s="11">
        <v>42781</v>
      </c>
      <c r="B3826" s="10" t="s">
        <v>7997</v>
      </c>
      <c r="C3826" s="10" t="s">
        <v>7998</v>
      </c>
      <c r="D3826" s="11">
        <v>42781.958067129628</v>
      </c>
      <c r="E3826" s="10" t="s">
        <v>122</v>
      </c>
    </row>
    <row r="3827" spans="1:5">
      <c r="A3827" s="11">
        <v>42781</v>
      </c>
      <c r="B3827" s="10" t="s">
        <v>7999</v>
      </c>
      <c r="C3827" s="10" t="s">
        <v>8000</v>
      </c>
      <c r="D3827" s="11">
        <v>42781.959826388891</v>
      </c>
      <c r="E3827" s="10" t="s">
        <v>433</v>
      </c>
    </row>
    <row r="3828" spans="1:5">
      <c r="A3828" s="11">
        <v>42781</v>
      </c>
      <c r="B3828" s="10" t="s">
        <v>8001</v>
      </c>
      <c r="C3828" s="10" t="s">
        <v>8002</v>
      </c>
      <c r="D3828" s="11">
        <v>42781.960011574076</v>
      </c>
      <c r="E3828" s="10" t="s">
        <v>977</v>
      </c>
    </row>
    <row r="3829" spans="1:5">
      <c r="A3829" s="11">
        <v>42781</v>
      </c>
      <c r="B3829" s="10" t="s">
        <v>8003</v>
      </c>
      <c r="C3829" s="10" t="s">
        <v>8004</v>
      </c>
      <c r="D3829" s="11">
        <v>42781.960358796299</v>
      </c>
      <c r="E3829" s="10" t="s">
        <v>707</v>
      </c>
    </row>
    <row r="3830" spans="1:5">
      <c r="A3830" s="11">
        <v>42781</v>
      </c>
      <c r="B3830" s="10" t="s">
        <v>8005</v>
      </c>
      <c r="C3830" s="10" t="s">
        <v>8006</v>
      </c>
      <c r="D3830" s="11">
        <v>42781.961180555554</v>
      </c>
      <c r="E3830" s="10" t="s">
        <v>422</v>
      </c>
    </row>
    <row r="3831" spans="1:5">
      <c r="A3831" s="11">
        <v>42781</v>
      </c>
      <c r="B3831" s="10" t="s">
        <v>8007</v>
      </c>
      <c r="C3831" s="10" t="s">
        <v>8008</v>
      </c>
      <c r="D3831" s="11">
        <v>42781.961608796293</v>
      </c>
      <c r="E3831" s="10" t="s">
        <v>8009</v>
      </c>
    </row>
    <row r="3832" spans="1:5">
      <c r="A3832" s="11">
        <v>42781</v>
      </c>
      <c r="B3832" s="10" t="s">
        <v>8010</v>
      </c>
      <c r="C3832" s="10" t="s">
        <v>8011</v>
      </c>
      <c r="D3832" s="11">
        <v>42781.96197916667</v>
      </c>
      <c r="E3832" s="10" t="s">
        <v>859</v>
      </c>
    </row>
    <row r="3833" spans="1:5">
      <c r="A3833" s="11">
        <v>42781</v>
      </c>
      <c r="B3833" s="10" t="s">
        <v>8012</v>
      </c>
      <c r="C3833" s="10" t="s">
        <v>8013</v>
      </c>
      <c r="D3833" s="11">
        <v>42781.962106481478</v>
      </c>
      <c r="E3833" s="10" t="s">
        <v>479</v>
      </c>
    </row>
    <row r="3834" spans="1:5">
      <c r="A3834" s="11">
        <v>42781</v>
      </c>
      <c r="B3834" s="10" t="s">
        <v>8014</v>
      </c>
      <c r="C3834" s="10" t="s">
        <v>8015</v>
      </c>
      <c r="D3834" s="11">
        <v>42781.966550925928</v>
      </c>
      <c r="E3834" s="10" t="s">
        <v>2515</v>
      </c>
    </row>
    <row r="3835" spans="1:5">
      <c r="A3835" s="11">
        <v>42781</v>
      </c>
      <c r="B3835" s="10" t="s">
        <v>8016</v>
      </c>
      <c r="C3835" s="10" t="s">
        <v>8017</v>
      </c>
      <c r="D3835" s="11">
        <v>42781.967106481483</v>
      </c>
      <c r="E3835" s="10" t="s">
        <v>433</v>
      </c>
    </row>
    <row r="3836" spans="1:5">
      <c r="A3836" s="11">
        <v>42781</v>
      </c>
      <c r="B3836" s="10" t="s">
        <v>8018</v>
      </c>
      <c r="C3836" s="10" t="s">
        <v>8019</v>
      </c>
      <c r="D3836" s="11">
        <v>42781.967303240737</v>
      </c>
      <c r="E3836" s="10" t="s">
        <v>433</v>
      </c>
    </row>
    <row r="3837" spans="1:5">
      <c r="A3837" s="11">
        <v>42781</v>
      </c>
      <c r="B3837" s="10" t="s">
        <v>8020</v>
      </c>
      <c r="C3837" s="10" t="s">
        <v>8021</v>
      </c>
      <c r="D3837" s="11">
        <v>42781.967488425929</v>
      </c>
      <c r="E3837" s="10" t="s">
        <v>433</v>
      </c>
    </row>
    <row r="3838" spans="1:5" ht="21.6">
      <c r="A3838" s="11">
        <v>42781</v>
      </c>
      <c r="B3838" s="10" t="s">
        <v>8022</v>
      </c>
      <c r="C3838" s="10" t="s">
        <v>8023</v>
      </c>
      <c r="D3838" s="11">
        <v>42782.614479166667</v>
      </c>
      <c r="E3838" s="10" t="s">
        <v>1316</v>
      </c>
    </row>
    <row r="3839" spans="1:5">
      <c r="A3839" s="11">
        <v>42781</v>
      </c>
      <c r="B3839" s="10" t="s">
        <v>8024</v>
      </c>
      <c r="C3839" s="10" t="s">
        <v>8025</v>
      </c>
      <c r="D3839" s="11">
        <v>42781.972511574073</v>
      </c>
      <c r="E3839" s="10" t="s">
        <v>122</v>
      </c>
    </row>
    <row r="3840" spans="1:5">
      <c r="A3840" s="11">
        <v>42781</v>
      </c>
      <c r="B3840" s="10" t="s">
        <v>8026</v>
      </c>
      <c r="C3840" s="10" t="s">
        <v>8027</v>
      </c>
      <c r="D3840" s="11">
        <v>42781.972557870373</v>
      </c>
      <c r="E3840" s="10" t="s">
        <v>240</v>
      </c>
    </row>
    <row r="3841" spans="1:5">
      <c r="A3841" s="11">
        <v>42781</v>
      </c>
      <c r="B3841" s="10" t="s">
        <v>8028</v>
      </c>
      <c r="C3841" s="10" t="s">
        <v>8029</v>
      </c>
      <c r="D3841" s="11">
        <v>42781.972800925927</v>
      </c>
      <c r="E3841" s="10" t="s">
        <v>902</v>
      </c>
    </row>
    <row r="3842" spans="1:5">
      <c r="A3842" s="11">
        <v>42781</v>
      </c>
      <c r="B3842" s="10" t="s">
        <v>8030</v>
      </c>
      <c r="C3842" s="10" t="s">
        <v>8031</v>
      </c>
      <c r="D3842" s="11">
        <v>42781.975821759261</v>
      </c>
      <c r="E3842" s="10" t="s">
        <v>422</v>
      </c>
    </row>
    <row r="3843" spans="1:5">
      <c r="A3843" s="11">
        <v>42781</v>
      </c>
      <c r="B3843" s="10" t="s">
        <v>8032</v>
      </c>
      <c r="C3843" s="10" t="s">
        <v>8033</v>
      </c>
      <c r="D3843" s="11">
        <v>42781.976504629631</v>
      </c>
      <c r="E3843" s="10" t="s">
        <v>4898</v>
      </c>
    </row>
    <row r="3844" spans="1:5">
      <c r="A3844" s="11">
        <v>42781</v>
      </c>
      <c r="B3844" s="10" t="s">
        <v>8034</v>
      </c>
      <c r="C3844" s="10" t="s">
        <v>8035</v>
      </c>
      <c r="D3844" s="11">
        <v>42781.976747685185</v>
      </c>
      <c r="E3844" s="10" t="s">
        <v>308</v>
      </c>
    </row>
    <row r="3845" spans="1:5">
      <c r="A3845" s="11">
        <v>42781</v>
      </c>
      <c r="B3845" s="10" t="s">
        <v>8036</v>
      </c>
      <c r="C3845" s="10" t="s">
        <v>8037</v>
      </c>
      <c r="D3845" s="11">
        <v>42781.979641203703</v>
      </c>
      <c r="E3845" s="10" t="s">
        <v>2515</v>
      </c>
    </row>
    <row r="3846" spans="1:5">
      <c r="A3846" s="11">
        <v>42781</v>
      </c>
      <c r="B3846" s="10" t="s">
        <v>8038</v>
      </c>
      <c r="C3846" s="10" t="s">
        <v>8039</v>
      </c>
      <c r="D3846" s="11">
        <v>42781.980081018519</v>
      </c>
      <c r="E3846" s="10" t="s">
        <v>122</v>
      </c>
    </row>
    <row r="3847" spans="1:5">
      <c r="A3847" s="11">
        <v>42781</v>
      </c>
      <c r="B3847" s="10" t="s">
        <v>8040</v>
      </c>
      <c r="C3847" s="10" t="s">
        <v>8041</v>
      </c>
      <c r="D3847" s="11">
        <v>42781.981840277775</v>
      </c>
      <c r="E3847" s="10" t="s">
        <v>122</v>
      </c>
    </row>
    <row r="3848" spans="1:5">
      <c r="A3848" s="11">
        <v>42781</v>
      </c>
      <c r="B3848" s="10" t="s">
        <v>8042</v>
      </c>
      <c r="C3848" s="10" t="s">
        <v>8043</v>
      </c>
      <c r="D3848" s="11">
        <v>42781.982534722221</v>
      </c>
      <c r="E3848" s="10" t="s">
        <v>193</v>
      </c>
    </row>
    <row r="3849" spans="1:5">
      <c r="A3849" s="11">
        <v>42781</v>
      </c>
      <c r="B3849" s="10" t="s">
        <v>8044</v>
      </c>
      <c r="C3849" s="10" t="s">
        <v>8045</v>
      </c>
      <c r="D3849" s="11">
        <v>42781.983043981483</v>
      </c>
      <c r="E3849" s="10" t="s">
        <v>6183</v>
      </c>
    </row>
    <row r="3850" spans="1:5">
      <c r="A3850" s="11">
        <v>42781</v>
      </c>
      <c r="B3850" s="10" t="s">
        <v>8046</v>
      </c>
      <c r="C3850" s="10" t="s">
        <v>8047</v>
      </c>
      <c r="D3850" s="11">
        <v>42781.983194444445</v>
      </c>
      <c r="E3850" s="10" t="s">
        <v>96</v>
      </c>
    </row>
    <row r="3851" spans="1:5">
      <c r="A3851" s="11">
        <v>42781</v>
      </c>
      <c r="B3851" s="10" t="s">
        <v>8048</v>
      </c>
      <c r="C3851" s="10" t="s">
        <v>8049</v>
      </c>
      <c r="D3851" s="11">
        <v>42781.983217592591</v>
      </c>
      <c r="E3851" s="10" t="s">
        <v>2180</v>
      </c>
    </row>
    <row r="3852" spans="1:5">
      <c r="A3852" s="11">
        <v>42781</v>
      </c>
      <c r="B3852" s="10" t="s">
        <v>8050</v>
      </c>
      <c r="C3852" s="10" t="s">
        <v>8051</v>
      </c>
      <c r="D3852" s="11">
        <v>42781.983518518522</v>
      </c>
      <c r="E3852" s="10" t="s">
        <v>96</v>
      </c>
    </row>
    <row r="3853" spans="1:5">
      <c r="A3853" s="11">
        <v>42781</v>
      </c>
      <c r="B3853" s="10" t="s">
        <v>8052</v>
      </c>
      <c r="C3853" s="10" t="s">
        <v>8053</v>
      </c>
      <c r="D3853" s="11">
        <v>42781.984652777777</v>
      </c>
      <c r="E3853" s="10" t="s">
        <v>2688</v>
      </c>
    </row>
    <row r="3854" spans="1:5">
      <c r="A3854" s="11">
        <v>42781</v>
      </c>
      <c r="B3854" s="10" t="s">
        <v>8054</v>
      </c>
      <c r="C3854" s="10" t="s">
        <v>8055</v>
      </c>
      <c r="D3854" s="11">
        <v>42781.986712962964</v>
      </c>
      <c r="E3854" s="10" t="s">
        <v>2515</v>
      </c>
    </row>
    <row r="3855" spans="1:5">
      <c r="A3855" s="11">
        <v>42781</v>
      </c>
      <c r="B3855" s="10" t="s">
        <v>8056</v>
      </c>
      <c r="C3855" s="10" t="s">
        <v>8057</v>
      </c>
      <c r="D3855" s="11">
        <v>42781.987511574072</v>
      </c>
      <c r="E3855" s="10" t="s">
        <v>152</v>
      </c>
    </row>
    <row r="3856" spans="1:5">
      <c r="A3856" s="11">
        <v>42781</v>
      </c>
      <c r="B3856" s="10" t="s">
        <v>8058</v>
      </c>
      <c r="C3856" s="10" t="s">
        <v>8059</v>
      </c>
      <c r="D3856" s="11">
        <v>42782.400601851848</v>
      </c>
      <c r="E3856" s="10" t="s">
        <v>4865</v>
      </c>
    </row>
    <row r="3857" spans="1:5">
      <c r="A3857" s="11">
        <v>42781</v>
      </c>
      <c r="B3857" s="10" t="s">
        <v>8060</v>
      </c>
      <c r="C3857" s="10" t="s">
        <v>8061</v>
      </c>
      <c r="D3857" s="11">
        <v>42781.990335648145</v>
      </c>
      <c r="E3857" s="10" t="s">
        <v>2515</v>
      </c>
    </row>
    <row r="3858" spans="1:5">
      <c r="A3858" s="11">
        <v>42781</v>
      </c>
      <c r="B3858" s="10" t="s">
        <v>8062</v>
      </c>
      <c r="C3858" s="10" t="s">
        <v>8063</v>
      </c>
      <c r="D3858" s="11">
        <v>42782.664351851854</v>
      </c>
      <c r="E3858" s="10" t="s">
        <v>122</v>
      </c>
    </row>
    <row r="3859" spans="1:5">
      <c r="A3859" s="11">
        <v>42781</v>
      </c>
      <c r="B3859" s="10" t="s">
        <v>8064</v>
      </c>
      <c r="C3859" s="10" t="s">
        <v>8065</v>
      </c>
      <c r="D3859" s="11">
        <v>42781.992465277777</v>
      </c>
      <c r="E3859" s="10" t="s">
        <v>122</v>
      </c>
    </row>
    <row r="3860" spans="1:5">
      <c r="A3860" s="11">
        <v>42781</v>
      </c>
      <c r="B3860" s="10" t="s">
        <v>8066</v>
      </c>
      <c r="C3860" s="10" t="s">
        <v>8067</v>
      </c>
      <c r="D3860" s="11">
        <v>42781.992708333331</v>
      </c>
      <c r="E3860" s="10" t="s">
        <v>422</v>
      </c>
    </row>
    <row r="3861" spans="1:5">
      <c r="A3861" s="11">
        <v>42781</v>
      </c>
      <c r="B3861" s="10" t="s">
        <v>8068</v>
      </c>
      <c r="C3861" s="10" t="s">
        <v>8069</v>
      </c>
      <c r="D3861" s="11">
        <v>42781.993055555555</v>
      </c>
      <c r="E3861" s="10" t="s">
        <v>625</v>
      </c>
    </row>
    <row r="3862" spans="1:5">
      <c r="A3862" s="11">
        <v>42781</v>
      </c>
      <c r="B3862" s="10" t="s">
        <v>8070</v>
      </c>
      <c r="C3862" s="10" t="s">
        <v>8071</v>
      </c>
      <c r="D3862" s="11">
        <v>42781.994664351849</v>
      </c>
      <c r="E3862" s="10" t="s">
        <v>707</v>
      </c>
    </row>
    <row r="3863" spans="1:5">
      <c r="A3863" s="11">
        <v>42781</v>
      </c>
      <c r="B3863" s="10" t="s">
        <v>8072</v>
      </c>
      <c r="C3863" s="10" t="s">
        <v>8073</v>
      </c>
      <c r="D3863" s="11">
        <v>42781.994930555556</v>
      </c>
      <c r="E3863" s="10" t="s">
        <v>859</v>
      </c>
    </row>
    <row r="3864" spans="1:5">
      <c r="A3864" s="11">
        <v>42781</v>
      </c>
      <c r="B3864" s="10" t="s">
        <v>8074</v>
      </c>
      <c r="C3864" s="10" t="s">
        <v>8075</v>
      </c>
      <c r="D3864" s="11">
        <v>42781.996354166666</v>
      </c>
      <c r="E3864" s="10" t="s">
        <v>2180</v>
      </c>
    </row>
    <row r="3865" spans="1:5">
      <c r="A3865" s="11">
        <v>42781</v>
      </c>
      <c r="B3865" s="10" t="s">
        <v>8076</v>
      </c>
      <c r="C3865" s="10" t="s">
        <v>8077</v>
      </c>
      <c r="D3865" s="11">
        <v>42781.999050925922</v>
      </c>
      <c r="E3865" s="10" t="s">
        <v>193</v>
      </c>
    </row>
    <row r="3866" spans="1:5">
      <c r="A3866" s="11">
        <v>42782</v>
      </c>
      <c r="B3866" s="10" t="s">
        <v>8078</v>
      </c>
      <c r="C3866" s="10" t="s">
        <v>8079</v>
      </c>
      <c r="D3866" s="11">
        <v>42782.004814814813</v>
      </c>
      <c r="E3866" s="10" t="s">
        <v>670</v>
      </c>
    </row>
    <row r="3867" spans="1:5">
      <c r="A3867" s="11">
        <v>42782</v>
      </c>
      <c r="B3867" s="10" t="s">
        <v>8080</v>
      </c>
      <c r="C3867" s="10" t="s">
        <v>8081</v>
      </c>
      <c r="D3867" s="11">
        <v>42782.004826388889</v>
      </c>
      <c r="E3867" s="10" t="s">
        <v>902</v>
      </c>
    </row>
    <row r="3868" spans="1:5">
      <c r="A3868" s="11">
        <v>42782</v>
      </c>
      <c r="B3868" s="10" t="s">
        <v>8082</v>
      </c>
      <c r="C3868" s="10" t="s">
        <v>8083</v>
      </c>
      <c r="D3868" s="11">
        <v>42782.006701388891</v>
      </c>
      <c r="E3868" s="10" t="s">
        <v>122</v>
      </c>
    </row>
    <row r="3869" spans="1:5">
      <c r="A3869" s="11">
        <v>42782</v>
      </c>
      <c r="B3869" s="10" t="s">
        <v>8084</v>
      </c>
      <c r="C3869" s="10" t="s">
        <v>8085</v>
      </c>
      <c r="D3869" s="11">
        <v>42782.017731481479</v>
      </c>
      <c r="E3869" s="10" t="s">
        <v>707</v>
      </c>
    </row>
    <row r="3870" spans="1:5">
      <c r="A3870" s="11">
        <v>42782</v>
      </c>
      <c r="B3870" s="10" t="s">
        <v>8086</v>
      </c>
      <c r="C3870" s="10" t="s">
        <v>8087</v>
      </c>
      <c r="D3870" s="11">
        <v>42782.017812500002</v>
      </c>
      <c r="E3870" s="10" t="s">
        <v>193</v>
      </c>
    </row>
    <row r="3871" spans="1:5">
      <c r="A3871" s="11">
        <v>42782</v>
      </c>
      <c r="B3871" s="10" t="s">
        <v>8088</v>
      </c>
      <c r="C3871" s="10" t="s">
        <v>8089</v>
      </c>
      <c r="D3871" s="11">
        <v>42782.020995370367</v>
      </c>
      <c r="E3871" s="10" t="s">
        <v>683</v>
      </c>
    </row>
    <row r="3872" spans="1:5">
      <c r="A3872" s="11">
        <v>42782</v>
      </c>
      <c r="B3872" s="10" t="s">
        <v>8090</v>
      </c>
      <c r="C3872" s="10" t="s">
        <v>8091</v>
      </c>
      <c r="D3872" s="11">
        <v>42782.0237037037</v>
      </c>
      <c r="E3872" s="10" t="s">
        <v>218</v>
      </c>
    </row>
    <row r="3873" spans="1:5">
      <c r="A3873" s="11">
        <v>42782</v>
      </c>
      <c r="B3873" s="10" t="s">
        <v>8092</v>
      </c>
      <c r="C3873" s="10" t="s">
        <v>8093</v>
      </c>
      <c r="D3873" s="11">
        <v>42782.027442129627</v>
      </c>
      <c r="E3873" s="10" t="s">
        <v>320</v>
      </c>
    </row>
    <row r="3874" spans="1:5">
      <c r="A3874" s="11">
        <v>42782</v>
      </c>
      <c r="B3874" s="10" t="s">
        <v>8094</v>
      </c>
      <c r="C3874" s="10" t="s">
        <v>8095</v>
      </c>
      <c r="D3874" s="11">
        <v>42782.025856481479</v>
      </c>
      <c r="E3874" s="10" t="s">
        <v>193</v>
      </c>
    </row>
    <row r="3875" spans="1:5">
      <c r="A3875" s="11">
        <v>42782</v>
      </c>
      <c r="B3875" s="10" t="s">
        <v>8096</v>
      </c>
      <c r="C3875" s="10" t="s">
        <v>8097</v>
      </c>
      <c r="D3875" s="11">
        <v>42782.022905092592</v>
      </c>
      <c r="E3875" s="10" t="s">
        <v>2515</v>
      </c>
    </row>
    <row r="3876" spans="1:5">
      <c r="A3876" s="11">
        <v>42782</v>
      </c>
      <c r="B3876" s="10" t="s">
        <v>8098</v>
      </c>
      <c r="C3876" s="10" t="s">
        <v>8099</v>
      </c>
      <c r="D3876" s="11">
        <v>42782.017476851855</v>
      </c>
      <c r="E3876" s="10" t="s">
        <v>122</v>
      </c>
    </row>
    <row r="3877" spans="1:5">
      <c r="A3877" s="11">
        <v>42782</v>
      </c>
      <c r="B3877" s="10" t="s">
        <v>8100</v>
      </c>
      <c r="C3877" s="10" t="s">
        <v>8101</v>
      </c>
      <c r="D3877" s="11">
        <v>42782.030046296299</v>
      </c>
      <c r="E3877" s="10" t="s">
        <v>152</v>
      </c>
    </row>
    <row r="3878" spans="1:5">
      <c r="A3878" s="11">
        <v>42782</v>
      </c>
      <c r="B3878" s="10" t="s">
        <v>8102</v>
      </c>
      <c r="C3878" s="10" t="s">
        <v>8103</v>
      </c>
      <c r="D3878" s="11">
        <v>42782.030462962961</v>
      </c>
      <c r="E3878" s="10" t="s">
        <v>2865</v>
      </c>
    </row>
    <row r="3879" spans="1:5">
      <c r="A3879" s="11">
        <v>42782</v>
      </c>
      <c r="B3879" s="10" t="s">
        <v>8104</v>
      </c>
      <c r="C3879" s="10" t="s">
        <v>8105</v>
      </c>
      <c r="D3879" s="11">
        <v>42782.011203703703</v>
      </c>
      <c r="E3879" s="10" t="s">
        <v>380</v>
      </c>
    </row>
    <row r="3880" spans="1:5">
      <c r="A3880" s="11">
        <v>42782</v>
      </c>
      <c r="B3880" s="10" t="s">
        <v>8106</v>
      </c>
      <c r="C3880" s="10" t="s">
        <v>8107</v>
      </c>
      <c r="D3880" s="11">
        <v>42782.022581018522</v>
      </c>
      <c r="E3880" s="10" t="s">
        <v>2180</v>
      </c>
    </row>
    <row r="3881" spans="1:5">
      <c r="A3881" s="11">
        <v>42782</v>
      </c>
      <c r="B3881" s="10" t="s">
        <v>8108</v>
      </c>
      <c r="C3881" s="10" t="s">
        <v>8109</v>
      </c>
      <c r="D3881" s="11">
        <v>42782.030347222222</v>
      </c>
      <c r="E3881" s="10" t="s">
        <v>152</v>
      </c>
    </row>
    <row r="3882" spans="1:5">
      <c r="A3882" s="11">
        <v>42782</v>
      </c>
      <c r="B3882" s="10" t="s">
        <v>8110</v>
      </c>
      <c r="C3882" s="10" t="s">
        <v>8111</v>
      </c>
      <c r="D3882" s="11">
        <v>42782.031307870369</v>
      </c>
      <c r="E3882" s="10" t="s">
        <v>902</v>
      </c>
    </row>
    <row r="3883" spans="1:5">
      <c r="A3883" s="11">
        <v>42782</v>
      </c>
      <c r="B3883" s="10" t="s">
        <v>8112</v>
      </c>
      <c r="C3883" s="10" t="s">
        <v>8113</v>
      </c>
      <c r="D3883" s="11">
        <v>42782.019479166665</v>
      </c>
      <c r="E3883" s="10" t="s">
        <v>433</v>
      </c>
    </row>
    <row r="3884" spans="1:5">
      <c r="A3884" s="11">
        <v>42782</v>
      </c>
      <c r="B3884" s="10" t="s">
        <v>8114</v>
      </c>
      <c r="C3884" s="10" t="s">
        <v>8115</v>
      </c>
      <c r="D3884" s="11">
        <v>42782.03392361111</v>
      </c>
      <c r="E3884" s="10" t="s">
        <v>209</v>
      </c>
    </row>
    <row r="3885" spans="1:5">
      <c r="A3885" s="11">
        <v>42782</v>
      </c>
      <c r="B3885" s="10" t="s">
        <v>8116</v>
      </c>
      <c r="C3885" s="10" t="s">
        <v>8117</v>
      </c>
      <c r="D3885" s="11">
        <v>42782.032986111109</v>
      </c>
      <c r="E3885" s="10" t="s">
        <v>4865</v>
      </c>
    </row>
    <row r="3886" spans="1:5">
      <c r="A3886" s="11">
        <v>42782</v>
      </c>
      <c r="B3886" s="10" t="s">
        <v>8118</v>
      </c>
      <c r="C3886" s="10" t="s">
        <v>8119</v>
      </c>
      <c r="D3886" s="11">
        <v>42782.032812500001</v>
      </c>
      <c r="E3886" s="10" t="s">
        <v>122</v>
      </c>
    </row>
    <row r="3887" spans="1:5">
      <c r="A3887" s="11">
        <v>42782</v>
      </c>
      <c r="B3887" s="10" t="s">
        <v>8120</v>
      </c>
      <c r="C3887" s="10" t="s">
        <v>8121</v>
      </c>
      <c r="D3887" s="11">
        <v>42782.029351851852</v>
      </c>
      <c r="E3887" s="10" t="s">
        <v>237</v>
      </c>
    </row>
    <row r="3888" spans="1:5">
      <c r="A3888" s="11">
        <v>42782</v>
      </c>
      <c r="B3888" s="10" t="s">
        <v>8122</v>
      </c>
      <c r="C3888" s="10" t="s">
        <v>8123</v>
      </c>
      <c r="D3888" s="11">
        <v>42782.038969907408</v>
      </c>
      <c r="E3888" s="10" t="s">
        <v>308</v>
      </c>
    </row>
    <row r="3889" spans="1:5">
      <c r="A3889" s="11">
        <v>42782</v>
      </c>
      <c r="B3889" s="10" t="s">
        <v>8124</v>
      </c>
      <c r="C3889" s="10" t="s">
        <v>8125</v>
      </c>
      <c r="D3889" s="11">
        <v>42782.00608796296</v>
      </c>
      <c r="E3889" s="10" t="s">
        <v>422</v>
      </c>
    </row>
    <row r="3890" spans="1:5">
      <c r="A3890" s="11">
        <v>42782</v>
      </c>
      <c r="B3890" s="10" t="s">
        <v>8126</v>
      </c>
      <c r="C3890" s="10" t="s">
        <v>8127</v>
      </c>
      <c r="D3890" s="11">
        <v>42782.014953703707</v>
      </c>
      <c r="E3890" s="10" t="s">
        <v>237</v>
      </c>
    </row>
    <row r="3891" spans="1:5">
      <c r="A3891" s="11">
        <v>42782</v>
      </c>
      <c r="B3891" s="10" t="s">
        <v>8128</v>
      </c>
      <c r="C3891" s="10" t="s">
        <v>8129</v>
      </c>
      <c r="D3891" s="11">
        <v>42782.04310185185</v>
      </c>
      <c r="E3891" s="10" t="s">
        <v>122</v>
      </c>
    </row>
    <row r="3892" spans="1:5">
      <c r="A3892" s="11">
        <v>42782</v>
      </c>
      <c r="B3892" s="10" t="s">
        <v>8130</v>
      </c>
      <c r="C3892" s="10" t="s">
        <v>8131</v>
      </c>
      <c r="D3892" s="11">
        <v>42782.036423611113</v>
      </c>
      <c r="E3892" s="10" t="s">
        <v>152</v>
      </c>
    </row>
    <row r="3893" spans="1:5">
      <c r="A3893" s="11">
        <v>42782</v>
      </c>
      <c r="B3893" s="10" t="s">
        <v>8132</v>
      </c>
      <c r="C3893" s="10" t="s">
        <v>8133</v>
      </c>
      <c r="D3893" s="11">
        <v>42782.030127314814</v>
      </c>
      <c r="E3893" s="10" t="s">
        <v>2865</v>
      </c>
    </row>
    <row r="3894" spans="1:5">
      <c r="A3894" s="11">
        <v>42782</v>
      </c>
      <c r="B3894" s="10" t="s">
        <v>8134</v>
      </c>
      <c r="C3894" s="10" t="s">
        <v>8135</v>
      </c>
      <c r="D3894" s="11">
        <v>42782.060439814813</v>
      </c>
      <c r="E3894" s="10" t="s">
        <v>8136</v>
      </c>
    </row>
    <row r="3895" spans="1:5">
      <c r="A3895" s="11">
        <v>42782</v>
      </c>
      <c r="B3895" s="10" t="s">
        <v>8137</v>
      </c>
      <c r="C3895" s="10" t="s">
        <v>8138</v>
      </c>
      <c r="D3895" s="11">
        <v>42782.062199074076</v>
      </c>
      <c r="E3895" s="10" t="s">
        <v>152</v>
      </c>
    </row>
    <row r="3896" spans="1:5">
      <c r="A3896" s="11">
        <v>42782</v>
      </c>
      <c r="B3896" s="10" t="s">
        <v>8139</v>
      </c>
      <c r="C3896" s="10" t="s">
        <v>8140</v>
      </c>
      <c r="D3896" s="11">
        <v>42782.047511574077</v>
      </c>
      <c r="E3896" s="10" t="s">
        <v>373</v>
      </c>
    </row>
    <row r="3897" spans="1:5">
      <c r="A3897" s="11">
        <v>42782</v>
      </c>
      <c r="B3897" s="10" t="s">
        <v>8141</v>
      </c>
      <c r="C3897" s="10" t="s">
        <v>8142</v>
      </c>
      <c r="D3897" s="11">
        <v>42782.073750000003</v>
      </c>
      <c r="E3897" s="10" t="s">
        <v>2234</v>
      </c>
    </row>
    <row r="3898" spans="1:5">
      <c r="A3898" s="11">
        <v>42782</v>
      </c>
      <c r="B3898" s="10" t="s">
        <v>8143</v>
      </c>
      <c r="C3898" s="10" t="s">
        <v>8144</v>
      </c>
      <c r="D3898" s="11">
        <v>42782.079224537039</v>
      </c>
      <c r="E3898" s="10" t="s">
        <v>479</v>
      </c>
    </row>
    <row r="3899" spans="1:5">
      <c r="A3899" s="11">
        <v>42782</v>
      </c>
      <c r="B3899" s="10" t="s">
        <v>8145</v>
      </c>
      <c r="C3899" s="10" t="s">
        <v>8146</v>
      </c>
      <c r="D3899" s="11">
        <v>42782.708124999997</v>
      </c>
      <c r="E3899" s="10" t="s">
        <v>380</v>
      </c>
    </row>
    <row r="3900" spans="1:5" ht="21.6">
      <c r="A3900" s="11">
        <v>42782</v>
      </c>
      <c r="B3900" s="10" t="s">
        <v>8147</v>
      </c>
      <c r="C3900" s="10" t="s">
        <v>8148</v>
      </c>
      <c r="D3900" s="11">
        <v>42782.086516203701</v>
      </c>
      <c r="E3900" s="10" t="s">
        <v>1316</v>
      </c>
    </row>
    <row r="3901" spans="1:5">
      <c r="A3901" s="11">
        <v>42782</v>
      </c>
      <c r="B3901" s="10" t="s">
        <v>8149</v>
      </c>
      <c r="C3901" s="10" t="s">
        <v>8150</v>
      </c>
      <c r="D3901" s="11">
        <v>42782.105636574073</v>
      </c>
      <c r="E3901" s="10" t="s">
        <v>7557</v>
      </c>
    </row>
    <row r="3902" spans="1:5">
      <c r="A3902" s="11">
        <v>42782</v>
      </c>
      <c r="B3902" s="10" t="s">
        <v>8151</v>
      </c>
      <c r="C3902" s="10" t="s">
        <v>8152</v>
      </c>
      <c r="D3902" s="11">
        <v>42782.107314814813</v>
      </c>
      <c r="E3902" s="10" t="s">
        <v>433</v>
      </c>
    </row>
    <row r="3903" spans="1:5">
      <c r="A3903" s="11">
        <v>42782</v>
      </c>
      <c r="B3903" s="10" t="s">
        <v>8153</v>
      </c>
      <c r="C3903" s="10" t="s">
        <v>8154</v>
      </c>
      <c r="D3903" s="11">
        <v>42782.307164351849</v>
      </c>
      <c r="E3903" s="10" t="s">
        <v>237</v>
      </c>
    </row>
    <row r="3904" spans="1:5">
      <c r="A3904" s="11">
        <v>42782</v>
      </c>
      <c r="B3904" s="10" t="s">
        <v>8155</v>
      </c>
      <c r="C3904" s="10" t="s">
        <v>8156</v>
      </c>
      <c r="D3904" s="11">
        <v>42782.125405092593</v>
      </c>
      <c r="E3904" s="10" t="s">
        <v>237</v>
      </c>
    </row>
    <row r="3905" spans="1:5">
      <c r="A3905" s="11">
        <v>42782</v>
      </c>
      <c r="B3905" s="10" t="s">
        <v>8157</v>
      </c>
      <c r="C3905" s="10" t="s">
        <v>8158</v>
      </c>
      <c r="D3905" s="11">
        <v>42782.126597222225</v>
      </c>
      <c r="E3905" s="10" t="s">
        <v>683</v>
      </c>
    </row>
    <row r="3906" spans="1:5">
      <c r="A3906" s="11">
        <v>42782</v>
      </c>
      <c r="B3906" s="10" t="s">
        <v>8159</v>
      </c>
      <c r="C3906" s="10" t="s">
        <v>8160</v>
      </c>
      <c r="D3906" s="11">
        <v>42782.151712962965</v>
      </c>
      <c r="E3906" s="10" t="s">
        <v>292</v>
      </c>
    </row>
    <row r="3907" spans="1:5">
      <c r="A3907" s="11">
        <v>42782</v>
      </c>
      <c r="B3907" s="10" t="s">
        <v>8161</v>
      </c>
      <c r="C3907" s="10" t="s">
        <v>8162</v>
      </c>
      <c r="D3907" s="11">
        <v>42782.152418981481</v>
      </c>
      <c r="E3907" s="10" t="s">
        <v>122</v>
      </c>
    </row>
    <row r="3908" spans="1:5">
      <c r="A3908" s="11">
        <v>42782</v>
      </c>
      <c r="B3908" s="10" t="s">
        <v>8163</v>
      </c>
      <c r="C3908" s="10" t="s">
        <v>8164</v>
      </c>
      <c r="D3908" s="11">
        <v>42782.201689814814</v>
      </c>
      <c r="E3908" s="10" t="s">
        <v>152</v>
      </c>
    </row>
    <row r="3909" spans="1:5">
      <c r="A3909" s="11">
        <v>42782</v>
      </c>
      <c r="B3909" s="10" t="s">
        <v>8165</v>
      </c>
      <c r="C3909" s="10" t="s">
        <v>8166</v>
      </c>
      <c r="D3909" s="11">
        <v>42782.204861111109</v>
      </c>
      <c r="E3909" s="10" t="s">
        <v>122</v>
      </c>
    </row>
    <row r="3910" spans="1:5">
      <c r="A3910" s="11">
        <v>42782</v>
      </c>
      <c r="B3910" s="10" t="s">
        <v>8167</v>
      </c>
      <c r="C3910" s="10" t="s">
        <v>8168</v>
      </c>
      <c r="D3910" s="11">
        <v>42782.214224537034</v>
      </c>
      <c r="E3910" s="10" t="s">
        <v>308</v>
      </c>
    </row>
    <row r="3911" spans="1:5">
      <c r="A3911" s="11">
        <v>42782</v>
      </c>
      <c r="B3911" s="10" t="s">
        <v>8169</v>
      </c>
      <c r="C3911" s="10" t="s">
        <v>8170</v>
      </c>
      <c r="D3911" s="11">
        <v>42782.224699074075</v>
      </c>
      <c r="E3911" s="10" t="s">
        <v>122</v>
      </c>
    </row>
    <row r="3912" spans="1:5">
      <c r="A3912" s="11">
        <v>42782</v>
      </c>
      <c r="B3912" s="10" t="s">
        <v>8171</v>
      </c>
      <c r="C3912" s="10" t="s">
        <v>8172</v>
      </c>
      <c r="D3912" s="11">
        <v>42782.229398148149</v>
      </c>
      <c r="E3912" s="10" t="s">
        <v>3570</v>
      </c>
    </row>
    <row r="3913" spans="1:5">
      <c r="A3913" s="11">
        <v>42782</v>
      </c>
      <c r="B3913" s="10" t="s">
        <v>8173</v>
      </c>
      <c r="C3913" s="10" t="s">
        <v>8174</v>
      </c>
      <c r="D3913" s="11">
        <v>42782.230949074074</v>
      </c>
      <c r="E3913" s="10" t="s">
        <v>707</v>
      </c>
    </row>
    <row r="3914" spans="1:5">
      <c r="A3914" s="11">
        <v>42782</v>
      </c>
      <c r="B3914" s="10" t="s">
        <v>8175</v>
      </c>
      <c r="C3914" s="10" t="s">
        <v>8176</v>
      </c>
      <c r="D3914" s="11">
        <v>42782.23841435185</v>
      </c>
      <c r="E3914" s="10" t="s">
        <v>320</v>
      </c>
    </row>
    <row r="3915" spans="1:5">
      <c r="A3915" s="11">
        <v>42782</v>
      </c>
      <c r="B3915" s="10" t="s">
        <v>8177</v>
      </c>
      <c r="C3915" s="10" t="s">
        <v>8178</v>
      </c>
      <c r="D3915" s="11">
        <v>42782.211238425924</v>
      </c>
      <c r="E3915" s="10" t="s">
        <v>902</v>
      </c>
    </row>
    <row r="3916" spans="1:5">
      <c r="A3916" s="11">
        <v>42782</v>
      </c>
      <c r="B3916" s="10" t="s">
        <v>8179</v>
      </c>
      <c r="C3916" s="10" t="s">
        <v>8180</v>
      </c>
      <c r="D3916" s="11">
        <v>42782.266377314816</v>
      </c>
      <c r="E3916" s="10" t="s">
        <v>1758</v>
      </c>
    </row>
    <row r="3917" spans="1:5">
      <c r="A3917" s="11">
        <v>42782</v>
      </c>
      <c r="B3917" s="10" t="s">
        <v>8181</v>
      </c>
      <c r="C3917" s="10" t="s">
        <v>8182</v>
      </c>
      <c r="D3917" s="11">
        <v>42782.269780092596</v>
      </c>
      <c r="E3917" s="10" t="s">
        <v>380</v>
      </c>
    </row>
    <row r="3918" spans="1:5">
      <c r="A3918" s="11">
        <v>42782</v>
      </c>
      <c r="B3918" s="10" t="s">
        <v>8183</v>
      </c>
      <c r="C3918" s="10" t="s">
        <v>8184</v>
      </c>
      <c r="D3918" s="11">
        <v>42782.281215277777</v>
      </c>
      <c r="E3918" s="10" t="s">
        <v>4865</v>
      </c>
    </row>
    <row r="3919" spans="1:5">
      <c r="A3919" s="11">
        <v>42782</v>
      </c>
      <c r="B3919" s="10" t="s">
        <v>8185</v>
      </c>
      <c r="C3919" s="10" t="s">
        <v>8186</v>
      </c>
      <c r="D3919" s="11">
        <v>42782.676770833335</v>
      </c>
      <c r="E3919" s="10" t="s">
        <v>178</v>
      </c>
    </row>
    <row r="3920" spans="1:5">
      <c r="A3920" s="11">
        <v>42782</v>
      </c>
      <c r="B3920" s="10" t="s">
        <v>8187</v>
      </c>
      <c r="C3920" s="10" t="s">
        <v>8188</v>
      </c>
      <c r="D3920" s="11">
        <v>42782.288923611108</v>
      </c>
      <c r="E3920" s="10" t="s">
        <v>218</v>
      </c>
    </row>
    <row r="3921" spans="1:5">
      <c r="A3921" s="11">
        <v>42782</v>
      </c>
      <c r="B3921" s="10" t="s">
        <v>8189</v>
      </c>
      <c r="C3921" s="10" t="s">
        <v>8190</v>
      </c>
      <c r="D3921" s="11">
        <v>42782.288263888891</v>
      </c>
      <c r="E3921" s="10" t="s">
        <v>108</v>
      </c>
    </row>
    <row r="3922" spans="1:5">
      <c r="A3922" s="11">
        <v>42782</v>
      </c>
      <c r="B3922" s="10" t="s">
        <v>8191</v>
      </c>
      <c r="C3922" s="10" t="s">
        <v>8192</v>
      </c>
      <c r="D3922" s="11">
        <v>42782.294189814813</v>
      </c>
      <c r="E3922" s="10" t="s">
        <v>1103</v>
      </c>
    </row>
    <row r="3923" spans="1:5">
      <c r="A3923" s="11">
        <v>42782</v>
      </c>
      <c r="B3923" s="10" t="s">
        <v>8193</v>
      </c>
      <c r="C3923" s="10" t="s">
        <v>8194</v>
      </c>
      <c r="D3923" s="11">
        <v>42782.293854166666</v>
      </c>
      <c r="E3923" s="10" t="s">
        <v>1361</v>
      </c>
    </row>
    <row r="3924" spans="1:5">
      <c r="A3924" s="11">
        <v>42782</v>
      </c>
      <c r="B3924" s="10" t="s">
        <v>8195</v>
      </c>
      <c r="C3924" s="10" t="s">
        <v>8196</v>
      </c>
      <c r="D3924" s="11">
        <v>42782.620520833334</v>
      </c>
      <c r="E3924" s="10" t="s">
        <v>122</v>
      </c>
    </row>
    <row r="3925" spans="1:5">
      <c r="A3925" s="11">
        <v>42782</v>
      </c>
      <c r="B3925" s="10" t="s">
        <v>8197</v>
      </c>
      <c r="C3925" s="10" t="s">
        <v>8198</v>
      </c>
      <c r="D3925" s="11">
        <v>42782.310289351852</v>
      </c>
      <c r="E3925" s="10" t="s">
        <v>122</v>
      </c>
    </row>
    <row r="3926" spans="1:5">
      <c r="A3926" s="11">
        <v>42782</v>
      </c>
      <c r="B3926" s="10" t="s">
        <v>8199</v>
      </c>
      <c r="C3926" s="10" t="s">
        <v>8200</v>
      </c>
      <c r="D3926" s="11">
        <v>42782.31527777778</v>
      </c>
      <c r="E3926" s="10" t="s">
        <v>122</v>
      </c>
    </row>
    <row r="3927" spans="1:5">
      <c r="A3927" s="11">
        <v>42782</v>
      </c>
      <c r="B3927" s="10" t="s">
        <v>8201</v>
      </c>
      <c r="C3927" s="10" t="s">
        <v>8202</v>
      </c>
      <c r="D3927" s="11">
        <v>42782.310185185182</v>
      </c>
      <c r="E3927" s="10" t="s">
        <v>193</v>
      </c>
    </row>
    <row r="3928" spans="1:5">
      <c r="A3928" s="11">
        <v>42782</v>
      </c>
      <c r="B3928" s="10" t="s">
        <v>8203</v>
      </c>
      <c r="C3928" s="10" t="s">
        <v>8204</v>
      </c>
      <c r="D3928" s="11">
        <v>42782.32476851852</v>
      </c>
      <c r="E3928" s="10" t="s">
        <v>122</v>
      </c>
    </row>
    <row r="3929" spans="1:5">
      <c r="A3929" s="11">
        <v>42782</v>
      </c>
      <c r="B3929" s="10" t="s">
        <v>8205</v>
      </c>
      <c r="C3929" s="10" t="s">
        <v>8206</v>
      </c>
      <c r="D3929" s="11">
        <v>42782.308946759258</v>
      </c>
      <c r="E3929" s="10" t="s">
        <v>193</v>
      </c>
    </row>
    <row r="3930" spans="1:5">
      <c r="A3930" s="11">
        <v>42782</v>
      </c>
      <c r="B3930" s="10" t="s">
        <v>8207</v>
      </c>
      <c r="C3930" s="10" t="s">
        <v>8208</v>
      </c>
      <c r="D3930" s="11">
        <v>42782.325462962966</v>
      </c>
      <c r="E3930" s="10" t="s">
        <v>479</v>
      </c>
    </row>
    <row r="3931" spans="1:5">
      <c r="A3931" s="11">
        <v>42782</v>
      </c>
      <c r="B3931" s="10" t="s">
        <v>8209</v>
      </c>
      <c r="C3931" s="10" t="s">
        <v>8210</v>
      </c>
      <c r="D3931" s="11">
        <v>42782.325601851851</v>
      </c>
      <c r="E3931" s="10" t="s">
        <v>625</v>
      </c>
    </row>
    <row r="3932" spans="1:5">
      <c r="A3932" s="11">
        <v>42782</v>
      </c>
      <c r="B3932" s="10" t="s">
        <v>8211</v>
      </c>
      <c r="C3932" s="10" t="s">
        <v>8212</v>
      </c>
      <c r="D3932" s="11">
        <v>42782.325925925928</v>
      </c>
      <c r="E3932" s="10" t="s">
        <v>96</v>
      </c>
    </row>
    <row r="3933" spans="1:5">
      <c r="A3933" s="11">
        <v>42782</v>
      </c>
      <c r="B3933" s="10" t="s">
        <v>8213</v>
      </c>
      <c r="C3933" s="10" t="s">
        <v>8214</v>
      </c>
      <c r="D3933" s="11">
        <v>42782.32917824074</v>
      </c>
      <c r="E3933" s="10" t="s">
        <v>122</v>
      </c>
    </row>
    <row r="3934" spans="1:5">
      <c r="A3934" s="11">
        <v>42782</v>
      </c>
      <c r="B3934" s="10" t="s">
        <v>8215</v>
      </c>
      <c r="C3934" s="10" t="s">
        <v>8216</v>
      </c>
      <c r="D3934" s="11">
        <v>42782.330046296294</v>
      </c>
      <c r="E3934" s="10" t="s">
        <v>320</v>
      </c>
    </row>
    <row r="3935" spans="1:5">
      <c r="A3935" s="11">
        <v>42782</v>
      </c>
      <c r="B3935" s="10" t="s">
        <v>8217</v>
      </c>
      <c r="C3935" s="10" t="s">
        <v>8218</v>
      </c>
      <c r="D3935" s="11">
        <v>42782.331574074073</v>
      </c>
      <c r="E3935" s="10" t="s">
        <v>2442</v>
      </c>
    </row>
    <row r="3936" spans="1:5">
      <c r="A3936" s="11">
        <v>42782</v>
      </c>
      <c r="B3936" s="10" t="s">
        <v>8219</v>
      </c>
      <c r="C3936" s="10" t="s">
        <v>8220</v>
      </c>
      <c r="D3936" s="11">
        <v>42782.332071759258</v>
      </c>
      <c r="E3936" s="10" t="s">
        <v>433</v>
      </c>
    </row>
    <row r="3937" spans="1:5">
      <c r="A3937" s="11">
        <v>42782</v>
      </c>
      <c r="B3937" s="10" t="s">
        <v>8221</v>
      </c>
      <c r="C3937" s="10" t="s">
        <v>8222</v>
      </c>
      <c r="D3937" s="11">
        <v>42782.702731481484</v>
      </c>
      <c r="E3937" s="10" t="s">
        <v>380</v>
      </c>
    </row>
    <row r="3938" spans="1:5">
      <c r="A3938" s="11">
        <v>42782</v>
      </c>
      <c r="B3938" s="10" t="s">
        <v>8223</v>
      </c>
      <c r="C3938" s="10" t="s">
        <v>8224</v>
      </c>
      <c r="D3938" s="11">
        <v>42782.332812499997</v>
      </c>
      <c r="E3938" s="10" t="s">
        <v>902</v>
      </c>
    </row>
    <row r="3939" spans="1:5">
      <c r="A3939" s="11">
        <v>42782</v>
      </c>
      <c r="B3939" s="10" t="s">
        <v>8225</v>
      </c>
      <c r="C3939" s="10" t="s">
        <v>8226</v>
      </c>
      <c r="D3939" s="11">
        <v>42782.334618055553</v>
      </c>
      <c r="E3939" s="10" t="s">
        <v>122</v>
      </c>
    </row>
    <row r="3940" spans="1:5">
      <c r="A3940" s="11">
        <v>42782</v>
      </c>
      <c r="B3940" s="10" t="s">
        <v>8227</v>
      </c>
      <c r="C3940" s="10" t="s">
        <v>8228</v>
      </c>
      <c r="D3940" s="11">
        <v>42782.335092592592</v>
      </c>
      <c r="E3940" s="10" t="s">
        <v>193</v>
      </c>
    </row>
    <row r="3941" spans="1:5">
      <c r="A3941" s="11">
        <v>42782</v>
      </c>
      <c r="B3941" s="10" t="s">
        <v>8229</v>
      </c>
      <c r="C3941" s="10" t="s">
        <v>8230</v>
      </c>
      <c r="D3941" s="11">
        <v>42782.320254629631</v>
      </c>
      <c r="E3941" s="10" t="s">
        <v>2688</v>
      </c>
    </row>
    <row r="3942" spans="1:5">
      <c r="A3942" s="11">
        <v>42782</v>
      </c>
      <c r="B3942" s="10" t="s">
        <v>8231</v>
      </c>
      <c r="C3942" s="10" t="s">
        <v>8232</v>
      </c>
      <c r="D3942" s="11">
        <v>42782.336076388892</v>
      </c>
      <c r="E3942" s="10" t="s">
        <v>193</v>
      </c>
    </row>
    <row r="3943" spans="1:5">
      <c r="A3943" s="11">
        <v>42782</v>
      </c>
      <c r="B3943" s="10" t="s">
        <v>8233</v>
      </c>
      <c r="C3943" s="10" t="s">
        <v>8234</v>
      </c>
      <c r="D3943" s="11">
        <v>42782.337962962964</v>
      </c>
      <c r="E3943" s="10" t="s">
        <v>96</v>
      </c>
    </row>
    <row r="3944" spans="1:5">
      <c r="A3944" s="11">
        <v>42782</v>
      </c>
      <c r="B3944" s="10" t="s">
        <v>8235</v>
      </c>
      <c r="C3944" s="10" t="s">
        <v>8236</v>
      </c>
      <c r="D3944" s="11">
        <v>42782.340578703705</v>
      </c>
      <c r="E3944" s="10" t="s">
        <v>707</v>
      </c>
    </row>
    <row r="3945" spans="1:5">
      <c r="A3945" s="11">
        <v>42782</v>
      </c>
      <c r="B3945" s="10" t="s">
        <v>8237</v>
      </c>
      <c r="C3945" s="10" t="s">
        <v>8238</v>
      </c>
      <c r="D3945" s="11">
        <v>42782.346828703703</v>
      </c>
      <c r="E3945" s="10" t="s">
        <v>2688</v>
      </c>
    </row>
    <row r="3946" spans="1:5">
      <c r="A3946" s="11">
        <v>42782</v>
      </c>
      <c r="B3946" s="10" t="s">
        <v>8239</v>
      </c>
      <c r="C3946" s="10" t="s">
        <v>8240</v>
      </c>
      <c r="D3946" s="11">
        <v>42782.346145833333</v>
      </c>
      <c r="E3946" s="10" t="s">
        <v>209</v>
      </c>
    </row>
    <row r="3947" spans="1:5">
      <c r="A3947" s="11">
        <v>42782</v>
      </c>
      <c r="B3947" s="10" t="s">
        <v>8241</v>
      </c>
      <c r="C3947" s="10" t="s">
        <v>8242</v>
      </c>
      <c r="D3947" s="11">
        <v>42782.349166666667</v>
      </c>
      <c r="E3947" s="10" t="s">
        <v>108</v>
      </c>
    </row>
    <row r="3948" spans="1:5">
      <c r="A3948" s="11">
        <v>42782</v>
      </c>
      <c r="B3948" s="10" t="s">
        <v>8243</v>
      </c>
      <c r="C3948" s="10" t="s">
        <v>8244</v>
      </c>
      <c r="D3948" s="11">
        <v>42782.34957175926</v>
      </c>
      <c r="E3948" s="10" t="s">
        <v>122</v>
      </c>
    </row>
    <row r="3949" spans="1:5">
      <c r="A3949" s="11">
        <v>42782</v>
      </c>
      <c r="B3949" s="10" t="s">
        <v>8245</v>
      </c>
      <c r="C3949" s="10" t="s">
        <v>8246</v>
      </c>
      <c r="D3949" s="11">
        <v>42782.349652777775</v>
      </c>
      <c r="E3949" s="10" t="s">
        <v>320</v>
      </c>
    </row>
    <row r="3950" spans="1:5">
      <c r="A3950" s="11">
        <v>42782</v>
      </c>
      <c r="B3950" s="10" t="s">
        <v>8247</v>
      </c>
      <c r="C3950" s="10" t="s">
        <v>8248</v>
      </c>
      <c r="D3950" s="11">
        <v>42782.350092592591</v>
      </c>
      <c r="E3950" s="10" t="s">
        <v>320</v>
      </c>
    </row>
    <row r="3951" spans="1:5">
      <c r="A3951" s="11">
        <v>42782</v>
      </c>
      <c r="B3951" s="10" t="s">
        <v>8249</v>
      </c>
      <c r="C3951" s="10" t="s">
        <v>8250</v>
      </c>
      <c r="D3951" s="11">
        <v>42782.350763888891</v>
      </c>
      <c r="E3951" s="10" t="s">
        <v>433</v>
      </c>
    </row>
    <row r="3952" spans="1:5">
      <c r="A3952" s="11">
        <v>42782</v>
      </c>
      <c r="B3952" s="10" t="s">
        <v>8251</v>
      </c>
      <c r="C3952" s="10" t="s">
        <v>8252</v>
      </c>
      <c r="D3952" s="11">
        <v>42782.350925925923</v>
      </c>
      <c r="E3952" s="10" t="s">
        <v>613</v>
      </c>
    </row>
    <row r="3953" spans="1:5">
      <c r="A3953" s="11">
        <v>42782</v>
      </c>
      <c r="B3953" s="10" t="s">
        <v>8253</v>
      </c>
      <c r="C3953" s="10" t="s">
        <v>8254</v>
      </c>
      <c r="D3953" s="11">
        <v>42782.348252314812</v>
      </c>
      <c r="E3953" s="10" t="s">
        <v>373</v>
      </c>
    </row>
    <row r="3954" spans="1:5">
      <c r="A3954" s="11">
        <v>42782</v>
      </c>
      <c r="B3954" s="10" t="s">
        <v>8255</v>
      </c>
      <c r="C3954" s="10" t="s">
        <v>8256</v>
      </c>
      <c r="D3954" s="11">
        <v>42782.351365740738</v>
      </c>
      <c r="E3954" s="10" t="s">
        <v>292</v>
      </c>
    </row>
    <row r="3955" spans="1:5">
      <c r="A3955" s="11">
        <v>42782</v>
      </c>
      <c r="B3955" s="10" t="s">
        <v>8257</v>
      </c>
      <c r="C3955" s="10" t="s">
        <v>8258</v>
      </c>
      <c r="D3955" s="11">
        <v>42782.352349537039</v>
      </c>
      <c r="E3955" s="10" t="s">
        <v>4898</v>
      </c>
    </row>
    <row r="3956" spans="1:5">
      <c r="A3956" s="11">
        <v>42782</v>
      </c>
      <c r="B3956" s="10" t="s">
        <v>8259</v>
      </c>
      <c r="C3956" s="10" t="s">
        <v>8260</v>
      </c>
      <c r="D3956" s="11">
        <v>42782.352951388886</v>
      </c>
      <c r="E3956" s="10" t="s">
        <v>4898</v>
      </c>
    </row>
    <row r="3957" spans="1:5">
      <c r="A3957" s="11">
        <v>42782</v>
      </c>
      <c r="B3957" s="10" t="s">
        <v>8261</v>
      </c>
      <c r="C3957" s="10" t="s">
        <v>8262</v>
      </c>
      <c r="D3957" s="11">
        <v>42782.352719907409</v>
      </c>
      <c r="E3957" s="10" t="s">
        <v>4300</v>
      </c>
    </row>
    <row r="3958" spans="1:5">
      <c r="A3958" s="11">
        <v>42782</v>
      </c>
      <c r="B3958" s="10" t="s">
        <v>8263</v>
      </c>
      <c r="C3958" s="10" t="s">
        <v>8264</v>
      </c>
      <c r="D3958" s="11">
        <v>42782.353148148148</v>
      </c>
      <c r="E3958" s="10" t="s">
        <v>433</v>
      </c>
    </row>
    <row r="3959" spans="1:5">
      <c r="A3959" s="11">
        <v>42782</v>
      </c>
      <c r="B3959" s="10" t="s">
        <v>8265</v>
      </c>
      <c r="C3959" s="10" t="s">
        <v>8266</v>
      </c>
      <c r="D3959" s="11">
        <v>42782.353391203702</v>
      </c>
      <c r="E3959" s="10" t="s">
        <v>433</v>
      </c>
    </row>
    <row r="3960" spans="1:5">
      <c r="A3960" s="11">
        <v>42782</v>
      </c>
      <c r="B3960" s="10" t="s">
        <v>8267</v>
      </c>
      <c r="C3960" s="10" t="s">
        <v>8268</v>
      </c>
      <c r="D3960" s="11">
        <v>42782.355902777781</v>
      </c>
      <c r="E3960" s="10" t="s">
        <v>240</v>
      </c>
    </row>
    <row r="3961" spans="1:5">
      <c r="A3961" s="11">
        <v>42782</v>
      </c>
      <c r="B3961" s="10" t="s">
        <v>8269</v>
      </c>
      <c r="C3961" s="10" t="s">
        <v>8270</v>
      </c>
      <c r="D3961" s="11">
        <v>42782.356759259259</v>
      </c>
      <c r="E3961" s="10" t="s">
        <v>2688</v>
      </c>
    </row>
    <row r="3962" spans="1:5">
      <c r="A3962" s="11">
        <v>42782</v>
      </c>
      <c r="B3962" s="10" t="s">
        <v>8271</v>
      </c>
      <c r="C3962" s="10" t="s">
        <v>8272</v>
      </c>
      <c r="D3962" s="11">
        <v>42782.357245370367</v>
      </c>
      <c r="E3962" s="10" t="s">
        <v>193</v>
      </c>
    </row>
    <row r="3963" spans="1:5">
      <c r="A3963" s="11">
        <v>42782</v>
      </c>
      <c r="B3963" s="10" t="s">
        <v>8273</v>
      </c>
      <c r="C3963" s="10" t="s">
        <v>8274</v>
      </c>
      <c r="D3963" s="11">
        <v>42782.351875</v>
      </c>
      <c r="E3963" s="10" t="s">
        <v>949</v>
      </c>
    </row>
    <row r="3964" spans="1:5" ht="21.6">
      <c r="A3964" s="11">
        <v>42782</v>
      </c>
      <c r="B3964" s="10" t="s">
        <v>8275</v>
      </c>
      <c r="C3964" s="10" t="s">
        <v>8276</v>
      </c>
      <c r="D3964" s="11">
        <v>42782.347812499997</v>
      </c>
      <c r="E3964" s="10" t="s">
        <v>203</v>
      </c>
    </row>
    <row r="3965" spans="1:5">
      <c r="A3965" s="11">
        <v>42782</v>
      </c>
      <c r="B3965" s="10" t="s">
        <v>8277</v>
      </c>
      <c r="C3965" s="10" t="s">
        <v>8278</v>
      </c>
      <c r="D3965" s="11">
        <v>42782.358773148146</v>
      </c>
      <c r="E3965" s="10" t="s">
        <v>122</v>
      </c>
    </row>
    <row r="3966" spans="1:5">
      <c r="A3966" s="11">
        <v>42782</v>
      </c>
      <c r="B3966" s="10" t="s">
        <v>8279</v>
      </c>
      <c r="C3966" s="10" t="s">
        <v>8280</v>
      </c>
      <c r="D3966" s="11">
        <v>42782.359803240739</v>
      </c>
      <c r="E3966" s="10" t="s">
        <v>2688</v>
      </c>
    </row>
    <row r="3967" spans="1:5">
      <c r="A3967" s="11">
        <v>42782</v>
      </c>
      <c r="B3967" s="10" t="s">
        <v>8281</v>
      </c>
      <c r="C3967" s="10" t="s">
        <v>8282</v>
      </c>
      <c r="D3967" s="11">
        <v>42782.360243055555</v>
      </c>
      <c r="E3967" s="10" t="s">
        <v>152</v>
      </c>
    </row>
    <row r="3968" spans="1:5">
      <c r="A3968" s="11">
        <v>42782</v>
      </c>
      <c r="B3968" s="10" t="s">
        <v>8283</v>
      </c>
      <c r="C3968" s="10" t="s">
        <v>8284</v>
      </c>
      <c r="D3968" s="11">
        <v>42782.361203703702</v>
      </c>
      <c r="E3968" s="10" t="s">
        <v>1103</v>
      </c>
    </row>
    <row r="3969" spans="1:5">
      <c r="A3969" s="11">
        <v>42782</v>
      </c>
      <c r="B3969" s="10" t="s">
        <v>8285</v>
      </c>
      <c r="C3969" s="10" t="s">
        <v>8286</v>
      </c>
      <c r="D3969" s="11">
        <v>42782.361261574071</v>
      </c>
      <c r="E3969" s="10" t="s">
        <v>122</v>
      </c>
    </row>
    <row r="3970" spans="1:5">
      <c r="A3970" s="11">
        <v>42782</v>
      </c>
      <c r="B3970" s="10" t="s">
        <v>8287</v>
      </c>
      <c r="C3970" s="10" t="s">
        <v>8288</v>
      </c>
      <c r="D3970" s="11">
        <v>42782.361446759256</v>
      </c>
      <c r="E3970" s="10" t="s">
        <v>320</v>
      </c>
    </row>
    <row r="3971" spans="1:5">
      <c r="A3971" s="11">
        <v>42782</v>
      </c>
      <c r="B3971" s="10" t="s">
        <v>8289</v>
      </c>
      <c r="C3971" s="10" t="s">
        <v>8290</v>
      </c>
      <c r="D3971" s="11">
        <v>42782.461805555555</v>
      </c>
      <c r="E3971" s="10" t="s">
        <v>6178</v>
      </c>
    </row>
    <row r="3972" spans="1:5">
      <c r="A3972" s="11">
        <v>42782</v>
      </c>
      <c r="B3972" s="10" t="s">
        <v>8291</v>
      </c>
      <c r="C3972" s="10" t="s">
        <v>8292</v>
      </c>
      <c r="D3972" s="11">
        <v>42782.686412037037</v>
      </c>
      <c r="E3972" s="10" t="s">
        <v>122</v>
      </c>
    </row>
    <row r="3973" spans="1:5">
      <c r="A3973" s="11">
        <v>42782</v>
      </c>
      <c r="B3973" s="10" t="s">
        <v>8293</v>
      </c>
      <c r="C3973" s="10" t="s">
        <v>8294</v>
      </c>
      <c r="D3973" s="11">
        <v>42782.362592592595</v>
      </c>
      <c r="E3973" s="10" t="s">
        <v>320</v>
      </c>
    </row>
    <row r="3974" spans="1:5">
      <c r="A3974" s="11">
        <v>42782</v>
      </c>
      <c r="B3974" s="10" t="s">
        <v>8295</v>
      </c>
      <c r="C3974" s="10" t="s">
        <v>8296</v>
      </c>
      <c r="D3974" s="11">
        <v>42782.359768518516</v>
      </c>
      <c r="E3974" s="10" t="s">
        <v>193</v>
      </c>
    </row>
    <row r="3975" spans="1:5">
      <c r="A3975" s="11">
        <v>42782</v>
      </c>
      <c r="B3975" s="10" t="s">
        <v>8297</v>
      </c>
      <c r="C3975" s="10" t="s">
        <v>8298</v>
      </c>
      <c r="D3975" s="11">
        <v>42782.363553240742</v>
      </c>
      <c r="E3975" s="10" t="s">
        <v>218</v>
      </c>
    </row>
    <row r="3976" spans="1:5">
      <c r="A3976" s="11">
        <v>42782</v>
      </c>
      <c r="B3976" s="10" t="s">
        <v>8299</v>
      </c>
      <c r="C3976" s="10" t="s">
        <v>8300</v>
      </c>
      <c r="D3976" s="11">
        <v>42782.363680555558</v>
      </c>
      <c r="E3976" s="10" t="s">
        <v>656</v>
      </c>
    </row>
    <row r="3977" spans="1:5">
      <c r="A3977" s="11">
        <v>42782</v>
      </c>
      <c r="B3977" s="10" t="s">
        <v>8301</v>
      </c>
      <c r="C3977" s="10" t="s">
        <v>8302</v>
      </c>
      <c r="D3977" s="11">
        <v>42782.360972222225</v>
      </c>
      <c r="E3977" s="10" t="s">
        <v>240</v>
      </c>
    </row>
    <row r="3978" spans="1:5">
      <c r="A3978" s="11">
        <v>42782</v>
      </c>
      <c r="B3978" s="10" t="s">
        <v>8303</v>
      </c>
      <c r="C3978" s="10" t="s">
        <v>8304</v>
      </c>
      <c r="D3978" s="11">
        <v>42782.357268518521</v>
      </c>
      <c r="E3978" s="10" t="s">
        <v>96</v>
      </c>
    </row>
    <row r="3979" spans="1:5">
      <c r="A3979" s="11">
        <v>42782</v>
      </c>
      <c r="B3979" s="10" t="s">
        <v>8305</v>
      </c>
      <c r="C3979" s="10" t="s">
        <v>8306</v>
      </c>
      <c r="D3979" s="11">
        <v>42782.364699074074</v>
      </c>
      <c r="E3979" s="10" t="s">
        <v>122</v>
      </c>
    </row>
    <row r="3980" spans="1:5">
      <c r="A3980" s="11">
        <v>42782</v>
      </c>
      <c r="B3980" s="10" t="s">
        <v>8307</v>
      </c>
      <c r="C3980" s="10" t="s">
        <v>8308</v>
      </c>
      <c r="D3980" s="11">
        <v>42782.36478009259</v>
      </c>
      <c r="E3980" s="10" t="s">
        <v>122</v>
      </c>
    </row>
    <row r="3981" spans="1:5">
      <c r="A3981" s="11">
        <v>42782</v>
      </c>
      <c r="B3981" s="10" t="s">
        <v>8309</v>
      </c>
      <c r="C3981" s="10" t="s">
        <v>8310</v>
      </c>
      <c r="D3981" s="11">
        <v>42782.366585648146</v>
      </c>
      <c r="E3981" s="10" t="s">
        <v>2515</v>
      </c>
    </row>
    <row r="3982" spans="1:5">
      <c r="A3982" s="11">
        <v>42782</v>
      </c>
      <c r="B3982" s="10" t="s">
        <v>8311</v>
      </c>
      <c r="C3982" s="10" t="s">
        <v>8312</v>
      </c>
      <c r="D3982" s="11">
        <v>42782.367222222223</v>
      </c>
      <c r="E3982" s="10" t="s">
        <v>656</v>
      </c>
    </row>
    <row r="3983" spans="1:5">
      <c r="A3983" s="11">
        <v>42782</v>
      </c>
      <c r="B3983" s="10" t="s">
        <v>8313</v>
      </c>
      <c r="C3983" s="10" t="s">
        <v>8314</v>
      </c>
      <c r="D3983" s="11">
        <v>42782.367650462962</v>
      </c>
      <c r="E3983" s="10" t="s">
        <v>656</v>
      </c>
    </row>
    <row r="3984" spans="1:5">
      <c r="A3984" s="11">
        <v>42782</v>
      </c>
      <c r="B3984" s="10" t="s">
        <v>8315</v>
      </c>
      <c r="C3984" s="10" t="s">
        <v>8316</v>
      </c>
      <c r="D3984" s="11">
        <v>42782.36314814815</v>
      </c>
      <c r="E3984" s="10" t="s">
        <v>218</v>
      </c>
    </row>
    <row r="3985" spans="1:5">
      <c r="A3985" s="11">
        <v>42782</v>
      </c>
      <c r="B3985" s="10" t="s">
        <v>8317</v>
      </c>
      <c r="C3985" s="10" t="s">
        <v>8318</v>
      </c>
      <c r="D3985" s="11">
        <v>42782.369166666664</v>
      </c>
      <c r="E3985" s="10" t="s">
        <v>320</v>
      </c>
    </row>
    <row r="3986" spans="1:5">
      <c r="A3986" s="11">
        <v>42782</v>
      </c>
      <c r="B3986" s="10" t="s">
        <v>8319</v>
      </c>
      <c r="C3986" s="10" t="s">
        <v>8320</v>
      </c>
      <c r="D3986" s="11">
        <v>42782.353229166663</v>
      </c>
      <c r="E3986" s="10" t="s">
        <v>229</v>
      </c>
    </row>
    <row r="3987" spans="1:5">
      <c r="A3987" s="11">
        <v>42782</v>
      </c>
      <c r="B3987" s="10" t="s">
        <v>8321</v>
      </c>
      <c r="C3987" s="10" t="s">
        <v>8322</v>
      </c>
      <c r="D3987" s="11">
        <v>42782.369201388887</v>
      </c>
      <c r="E3987" s="10" t="s">
        <v>433</v>
      </c>
    </row>
    <row r="3988" spans="1:5">
      <c r="A3988" s="11">
        <v>42782</v>
      </c>
      <c r="B3988" s="10" t="s">
        <v>8323</v>
      </c>
      <c r="C3988" s="10" t="s">
        <v>8324</v>
      </c>
      <c r="D3988" s="11">
        <v>42782.369490740741</v>
      </c>
      <c r="E3988" s="10" t="s">
        <v>2201</v>
      </c>
    </row>
    <row r="3989" spans="1:5">
      <c r="A3989" s="11">
        <v>42782</v>
      </c>
      <c r="B3989" s="10" t="s">
        <v>8325</v>
      </c>
      <c r="C3989" s="10" t="s">
        <v>8326</v>
      </c>
      <c r="D3989" s="11">
        <v>42782.369571759256</v>
      </c>
      <c r="E3989" s="10" t="s">
        <v>433</v>
      </c>
    </row>
    <row r="3990" spans="1:5">
      <c r="A3990" s="11">
        <v>42782</v>
      </c>
      <c r="B3990" s="10" t="s">
        <v>8327</v>
      </c>
      <c r="C3990" s="10" t="s">
        <v>8328</v>
      </c>
      <c r="D3990" s="11">
        <v>42782.369768518518</v>
      </c>
      <c r="E3990" s="10" t="s">
        <v>2688</v>
      </c>
    </row>
    <row r="3991" spans="1:5">
      <c r="A3991" s="11">
        <v>42782</v>
      </c>
      <c r="B3991" s="10" t="s">
        <v>8329</v>
      </c>
      <c r="C3991" s="10" t="s">
        <v>8330</v>
      </c>
      <c r="D3991" s="11">
        <v>42782.369837962964</v>
      </c>
      <c r="E3991" s="10" t="s">
        <v>411</v>
      </c>
    </row>
    <row r="3992" spans="1:5">
      <c r="A3992" s="11">
        <v>42782</v>
      </c>
      <c r="B3992" s="10" t="s">
        <v>8331</v>
      </c>
      <c r="C3992" s="10" t="s">
        <v>8332</v>
      </c>
      <c r="D3992" s="11">
        <v>42782.369884259257</v>
      </c>
      <c r="E3992" s="10" t="s">
        <v>5406</v>
      </c>
    </row>
    <row r="3993" spans="1:5">
      <c r="A3993" s="11">
        <v>42782</v>
      </c>
      <c r="B3993" s="10" t="s">
        <v>8333</v>
      </c>
      <c r="C3993" s="10" t="s">
        <v>8334</v>
      </c>
      <c r="D3993" s="11">
        <v>42782.365567129629</v>
      </c>
      <c r="E3993" s="10" t="s">
        <v>218</v>
      </c>
    </row>
    <row r="3994" spans="1:5">
      <c r="A3994" s="11">
        <v>42782</v>
      </c>
      <c r="B3994" s="10" t="s">
        <v>8335</v>
      </c>
      <c r="C3994" s="10" t="s">
        <v>8336</v>
      </c>
      <c r="D3994" s="11">
        <v>42782.370868055557</v>
      </c>
      <c r="E3994" s="10" t="s">
        <v>433</v>
      </c>
    </row>
    <row r="3995" spans="1:5">
      <c r="A3995" s="11">
        <v>42782</v>
      </c>
      <c r="B3995" s="10" t="s">
        <v>8337</v>
      </c>
      <c r="C3995" s="10" t="s">
        <v>8338</v>
      </c>
      <c r="D3995" s="11">
        <v>42782.360532407409</v>
      </c>
      <c r="E3995" s="10" t="s">
        <v>373</v>
      </c>
    </row>
    <row r="3996" spans="1:5">
      <c r="A3996" s="11">
        <v>42782</v>
      </c>
      <c r="B3996" s="10" t="s">
        <v>8339</v>
      </c>
      <c r="C3996" s="10" t="s">
        <v>8340</v>
      </c>
      <c r="D3996" s="11">
        <v>42782.356458333335</v>
      </c>
      <c r="E3996" s="10" t="s">
        <v>2688</v>
      </c>
    </row>
    <row r="3997" spans="1:5">
      <c r="A3997" s="11">
        <v>42782</v>
      </c>
      <c r="B3997" s="10" t="s">
        <v>8341</v>
      </c>
      <c r="C3997" s="10" t="s">
        <v>8342</v>
      </c>
      <c r="D3997" s="11">
        <v>42782.371365740742</v>
      </c>
      <c r="E3997" s="10" t="s">
        <v>152</v>
      </c>
    </row>
    <row r="3998" spans="1:5">
      <c r="A3998" s="11">
        <v>42782</v>
      </c>
      <c r="B3998" s="10" t="s">
        <v>8343</v>
      </c>
      <c r="C3998" s="10" t="s">
        <v>8344</v>
      </c>
      <c r="D3998" s="11">
        <v>42782.367696759262</v>
      </c>
      <c r="E3998" s="10" t="s">
        <v>122</v>
      </c>
    </row>
    <row r="3999" spans="1:5">
      <c r="A3999" s="11">
        <v>42782</v>
      </c>
      <c r="B3999" s="10" t="s">
        <v>8345</v>
      </c>
      <c r="C3999" s="10" t="s">
        <v>8346</v>
      </c>
      <c r="D3999" s="11">
        <v>42782.372094907405</v>
      </c>
      <c r="E3999" s="10" t="s">
        <v>656</v>
      </c>
    </row>
    <row r="4000" spans="1:5">
      <c r="A4000" s="11">
        <v>42782</v>
      </c>
      <c r="B4000" s="10" t="s">
        <v>8347</v>
      </c>
      <c r="C4000" s="10" t="s">
        <v>8348</v>
      </c>
      <c r="D4000" s="11">
        <v>42782.372152777774</v>
      </c>
      <c r="E4000" s="10" t="s">
        <v>373</v>
      </c>
    </row>
    <row r="4001" spans="1:5">
      <c r="A4001" s="11">
        <v>42782</v>
      </c>
      <c r="B4001" s="10" t="s">
        <v>8349</v>
      </c>
      <c r="C4001" s="10" t="s">
        <v>8350</v>
      </c>
      <c r="D4001" s="11">
        <v>42782.456423611111</v>
      </c>
      <c r="E4001" s="10" t="s">
        <v>380</v>
      </c>
    </row>
    <row r="4002" spans="1:5">
      <c r="A4002" s="11">
        <v>42782</v>
      </c>
      <c r="B4002" s="10" t="s">
        <v>8351</v>
      </c>
      <c r="C4002" s="10" t="s">
        <v>8352</v>
      </c>
      <c r="D4002" s="11">
        <v>42782.357303240744</v>
      </c>
      <c r="E4002" s="10" t="s">
        <v>218</v>
      </c>
    </row>
    <row r="4003" spans="1:5">
      <c r="A4003" s="11">
        <v>42782</v>
      </c>
      <c r="B4003" s="10" t="s">
        <v>8353</v>
      </c>
      <c r="C4003" s="10" t="s">
        <v>8354</v>
      </c>
      <c r="D4003" s="11">
        <v>42782.598634259259</v>
      </c>
      <c r="E4003" s="10" t="s">
        <v>308</v>
      </c>
    </row>
    <row r="4004" spans="1:5">
      <c r="A4004" s="11">
        <v>42782</v>
      </c>
      <c r="B4004" s="10" t="s">
        <v>8355</v>
      </c>
      <c r="C4004" s="10" t="s">
        <v>8356</v>
      </c>
      <c r="D4004" s="11">
        <v>42782.356516203705</v>
      </c>
      <c r="E4004" s="10" t="s">
        <v>218</v>
      </c>
    </row>
    <row r="4005" spans="1:5">
      <c r="A4005" s="11">
        <v>42782</v>
      </c>
      <c r="B4005" s="10" t="s">
        <v>8357</v>
      </c>
      <c r="C4005" s="10" t="s">
        <v>8358</v>
      </c>
      <c r="D4005" s="11">
        <v>42782.37332175926</v>
      </c>
      <c r="E4005" s="10" t="s">
        <v>656</v>
      </c>
    </row>
    <row r="4006" spans="1:5">
      <c r="A4006" s="11">
        <v>42782</v>
      </c>
      <c r="B4006" s="10" t="s">
        <v>8359</v>
      </c>
      <c r="C4006" s="10" t="s">
        <v>8360</v>
      </c>
      <c r="D4006" s="11">
        <v>42782.355763888889</v>
      </c>
      <c r="E4006" s="10" t="s">
        <v>433</v>
      </c>
    </row>
    <row r="4007" spans="1:5">
      <c r="A4007" s="11">
        <v>42782</v>
      </c>
      <c r="B4007" s="10" t="s">
        <v>8361</v>
      </c>
      <c r="C4007" s="10" t="s">
        <v>8362</v>
      </c>
      <c r="D4007" s="11">
        <v>42782.374479166669</v>
      </c>
      <c r="E4007" s="10" t="s">
        <v>2124</v>
      </c>
    </row>
    <row r="4008" spans="1:5">
      <c r="A4008" s="11">
        <v>42782</v>
      </c>
      <c r="B4008" s="10" t="s">
        <v>8363</v>
      </c>
      <c r="C4008" s="10" t="s">
        <v>8364</v>
      </c>
      <c r="D4008" s="11">
        <v>42782.369652777779</v>
      </c>
      <c r="E4008" s="10" t="s">
        <v>656</v>
      </c>
    </row>
    <row r="4009" spans="1:5">
      <c r="A4009" s="11">
        <v>42782</v>
      </c>
      <c r="B4009" s="10" t="s">
        <v>8365</v>
      </c>
      <c r="C4009" s="10" t="s">
        <v>8366</v>
      </c>
      <c r="D4009" s="11">
        <v>42782.374456018515</v>
      </c>
      <c r="E4009" s="10" t="s">
        <v>152</v>
      </c>
    </row>
    <row r="4010" spans="1:5">
      <c r="A4010" s="11">
        <v>42782</v>
      </c>
      <c r="B4010" s="10" t="s">
        <v>8367</v>
      </c>
      <c r="C4010" s="10" t="s">
        <v>8368</v>
      </c>
      <c r="D4010" s="11">
        <v>42782.385462962964</v>
      </c>
      <c r="E4010" s="10" t="s">
        <v>209</v>
      </c>
    </row>
    <row r="4011" spans="1:5">
      <c r="A4011" s="11">
        <v>42782</v>
      </c>
      <c r="B4011" s="10" t="s">
        <v>8369</v>
      </c>
      <c r="C4011" s="10" t="s">
        <v>8370</v>
      </c>
      <c r="D4011" s="11">
        <v>42782.363668981481</v>
      </c>
      <c r="E4011" s="10" t="s">
        <v>433</v>
      </c>
    </row>
    <row r="4012" spans="1:5">
      <c r="A4012" s="11">
        <v>42782</v>
      </c>
      <c r="B4012" s="10" t="s">
        <v>8371</v>
      </c>
      <c r="C4012" s="10" t="s">
        <v>8372</v>
      </c>
      <c r="D4012" s="11">
        <v>42782.375902777778</v>
      </c>
      <c r="E4012" s="10" t="s">
        <v>218</v>
      </c>
    </row>
    <row r="4013" spans="1:5">
      <c r="A4013" s="11">
        <v>42782</v>
      </c>
      <c r="B4013" s="10" t="s">
        <v>8373</v>
      </c>
      <c r="C4013" s="10" t="s">
        <v>8374</v>
      </c>
      <c r="D4013" s="11">
        <v>42782.373738425929</v>
      </c>
      <c r="E4013" s="10" t="s">
        <v>237</v>
      </c>
    </row>
    <row r="4014" spans="1:5">
      <c r="A4014" s="11">
        <v>42782</v>
      </c>
      <c r="B4014" s="10" t="s">
        <v>8375</v>
      </c>
      <c r="C4014" s="10" t="s">
        <v>8376</v>
      </c>
      <c r="D4014" s="11">
        <v>42782.376504629632</v>
      </c>
      <c r="E4014" s="10" t="s">
        <v>218</v>
      </c>
    </row>
    <row r="4015" spans="1:5">
      <c r="A4015" s="11">
        <v>42782</v>
      </c>
      <c r="B4015" s="10" t="s">
        <v>8377</v>
      </c>
      <c r="C4015" s="10" t="s">
        <v>8378</v>
      </c>
      <c r="D4015" s="11">
        <v>42782.355231481481</v>
      </c>
      <c r="E4015" s="10" t="s">
        <v>1092</v>
      </c>
    </row>
    <row r="4016" spans="1:5">
      <c r="A4016" s="11">
        <v>42782</v>
      </c>
      <c r="B4016" s="10" t="s">
        <v>8379</v>
      </c>
      <c r="C4016" s="10" t="s">
        <v>8380</v>
      </c>
      <c r="D4016" s="11">
        <v>42782.35460648148</v>
      </c>
      <c r="E4016" s="10" t="s">
        <v>240</v>
      </c>
    </row>
    <row r="4017" spans="1:5">
      <c r="A4017" s="11">
        <v>42782</v>
      </c>
      <c r="B4017" s="10" t="s">
        <v>8381</v>
      </c>
      <c r="C4017" s="10" t="s">
        <v>8382</v>
      </c>
      <c r="D4017" s="11">
        <v>42782.354571759257</v>
      </c>
      <c r="E4017" s="10" t="s">
        <v>240</v>
      </c>
    </row>
    <row r="4018" spans="1:5">
      <c r="A4018" s="11">
        <v>42782</v>
      </c>
      <c r="B4018" s="10" t="s">
        <v>8383</v>
      </c>
      <c r="C4018" s="10" t="s">
        <v>8384</v>
      </c>
      <c r="D4018" s="11">
        <v>42782.377685185187</v>
      </c>
      <c r="E4018" s="10" t="s">
        <v>2442</v>
      </c>
    </row>
    <row r="4019" spans="1:5">
      <c r="A4019" s="11">
        <v>42782</v>
      </c>
      <c r="B4019" s="10" t="s">
        <v>8385</v>
      </c>
      <c r="C4019" s="10" t="s">
        <v>8386</v>
      </c>
      <c r="D4019" s="11">
        <v>42782.379907407405</v>
      </c>
      <c r="E4019" s="10" t="s">
        <v>433</v>
      </c>
    </row>
    <row r="4020" spans="1:5">
      <c r="A4020" s="11">
        <v>42782</v>
      </c>
      <c r="B4020" s="10" t="s">
        <v>8387</v>
      </c>
      <c r="C4020" s="10" t="s">
        <v>8388</v>
      </c>
      <c r="D4020" s="11">
        <v>42782.38013888889</v>
      </c>
      <c r="E4020" s="10" t="s">
        <v>1867</v>
      </c>
    </row>
    <row r="4021" spans="1:5">
      <c r="A4021" s="11">
        <v>42782</v>
      </c>
      <c r="B4021" s="10" t="s">
        <v>8389</v>
      </c>
      <c r="C4021" s="10" t="s">
        <v>8390</v>
      </c>
      <c r="D4021" s="11">
        <v>42782.381388888891</v>
      </c>
      <c r="E4021" s="10" t="s">
        <v>152</v>
      </c>
    </row>
    <row r="4022" spans="1:5">
      <c r="A4022" s="11">
        <v>42782</v>
      </c>
      <c r="B4022" s="10" t="s">
        <v>8391</v>
      </c>
      <c r="C4022" s="10" t="s">
        <v>8392</v>
      </c>
      <c r="D4022" s="11">
        <v>42782.381516203706</v>
      </c>
      <c r="E4022" s="10" t="s">
        <v>683</v>
      </c>
    </row>
    <row r="4023" spans="1:5">
      <c r="A4023" s="11">
        <v>42782</v>
      </c>
      <c r="B4023" s="10" t="s">
        <v>8393</v>
      </c>
      <c r="C4023" s="10" t="s">
        <v>8394</v>
      </c>
      <c r="D4023" s="11">
        <v>42782.678391203706</v>
      </c>
      <c r="E4023" s="10" t="s">
        <v>122</v>
      </c>
    </row>
    <row r="4024" spans="1:5">
      <c r="A4024" s="11">
        <v>42782</v>
      </c>
      <c r="B4024" s="10" t="s">
        <v>8395</v>
      </c>
      <c r="C4024" s="10" t="s">
        <v>8396</v>
      </c>
      <c r="D4024" s="11">
        <v>42782.381504629629</v>
      </c>
      <c r="E4024" s="10" t="s">
        <v>433</v>
      </c>
    </row>
    <row r="4025" spans="1:5">
      <c r="A4025" s="11">
        <v>42782</v>
      </c>
      <c r="B4025" s="10" t="s">
        <v>8397</v>
      </c>
      <c r="C4025" s="10" t="s">
        <v>8398</v>
      </c>
      <c r="D4025" s="11">
        <v>42782.378553240742</v>
      </c>
      <c r="E4025" s="10" t="s">
        <v>308</v>
      </c>
    </row>
    <row r="4026" spans="1:5">
      <c r="A4026" s="11">
        <v>42782</v>
      </c>
      <c r="B4026" s="10" t="s">
        <v>8399</v>
      </c>
      <c r="C4026" s="10" t="s">
        <v>8400</v>
      </c>
      <c r="D4026" s="11">
        <v>42782.385000000002</v>
      </c>
      <c r="E4026" s="10" t="s">
        <v>218</v>
      </c>
    </row>
    <row r="4027" spans="1:5">
      <c r="A4027" s="11">
        <v>42782</v>
      </c>
      <c r="B4027" s="10" t="s">
        <v>8401</v>
      </c>
      <c r="C4027" s="10" t="s">
        <v>8402</v>
      </c>
      <c r="D4027" s="11">
        <v>42782.385243055556</v>
      </c>
      <c r="E4027" s="10" t="s">
        <v>218</v>
      </c>
    </row>
    <row r="4028" spans="1:5">
      <c r="A4028" s="11">
        <v>42782</v>
      </c>
      <c r="B4028" s="10" t="s">
        <v>8403</v>
      </c>
      <c r="C4028" s="10" t="s">
        <v>8404</v>
      </c>
      <c r="D4028" s="11">
        <v>42782.385578703703</v>
      </c>
      <c r="E4028" s="10" t="s">
        <v>433</v>
      </c>
    </row>
    <row r="4029" spans="1:5">
      <c r="A4029" s="11">
        <v>42782</v>
      </c>
      <c r="B4029" s="10" t="s">
        <v>8405</v>
      </c>
      <c r="C4029" s="10" t="s">
        <v>8406</v>
      </c>
      <c r="D4029" s="11">
        <v>42782.384768518517</v>
      </c>
      <c r="E4029" s="10" t="s">
        <v>215</v>
      </c>
    </row>
    <row r="4030" spans="1:5">
      <c r="A4030" s="11">
        <v>42782</v>
      </c>
      <c r="B4030" s="10" t="s">
        <v>8407</v>
      </c>
      <c r="C4030" s="10" t="s">
        <v>8408</v>
      </c>
      <c r="D4030" s="11">
        <v>42782.387314814812</v>
      </c>
      <c r="E4030" s="10" t="s">
        <v>433</v>
      </c>
    </row>
    <row r="4031" spans="1:5">
      <c r="A4031" s="11">
        <v>42782</v>
      </c>
      <c r="B4031" s="10" t="s">
        <v>8409</v>
      </c>
      <c r="C4031" s="10" t="s">
        <v>8410</v>
      </c>
      <c r="D4031" s="11">
        <v>42782.387569444443</v>
      </c>
      <c r="E4031" s="10" t="s">
        <v>433</v>
      </c>
    </row>
    <row r="4032" spans="1:5">
      <c r="A4032" s="11">
        <v>42782</v>
      </c>
      <c r="B4032" s="10" t="s">
        <v>8411</v>
      </c>
      <c r="C4032" s="10" t="s">
        <v>8412</v>
      </c>
      <c r="D4032" s="11">
        <v>42782.385185185187</v>
      </c>
      <c r="E4032" s="10" t="s">
        <v>240</v>
      </c>
    </row>
    <row r="4033" spans="1:5">
      <c r="A4033" s="11">
        <v>42782</v>
      </c>
      <c r="B4033" s="10" t="s">
        <v>8413</v>
      </c>
      <c r="C4033" s="10" t="s">
        <v>8414</v>
      </c>
      <c r="D4033" s="11">
        <v>42782.387662037036</v>
      </c>
      <c r="E4033" s="10" t="s">
        <v>2742</v>
      </c>
    </row>
    <row r="4034" spans="1:5">
      <c r="A4034" s="11">
        <v>42782</v>
      </c>
      <c r="B4034" s="10" t="s">
        <v>8415</v>
      </c>
      <c r="C4034" s="10" t="s">
        <v>8416</v>
      </c>
      <c r="D4034" s="11">
        <v>42782.387789351851</v>
      </c>
      <c r="E4034" s="10" t="s">
        <v>433</v>
      </c>
    </row>
    <row r="4035" spans="1:5">
      <c r="A4035" s="11">
        <v>42782</v>
      </c>
      <c r="B4035" s="10" t="s">
        <v>8417</v>
      </c>
      <c r="C4035" s="10" t="s">
        <v>8418</v>
      </c>
      <c r="D4035" s="11">
        <v>42782.388483796298</v>
      </c>
      <c r="E4035" s="10" t="s">
        <v>433</v>
      </c>
    </row>
    <row r="4036" spans="1:5">
      <c r="A4036" s="11">
        <v>42782</v>
      </c>
      <c r="B4036" s="10" t="s">
        <v>8419</v>
      </c>
      <c r="C4036" s="10" t="s">
        <v>8420</v>
      </c>
      <c r="D4036" s="11">
        <v>42782.388865740744</v>
      </c>
      <c r="E4036" s="10" t="s">
        <v>433</v>
      </c>
    </row>
    <row r="4037" spans="1:5">
      <c r="A4037" s="11">
        <v>42782</v>
      </c>
      <c r="B4037" s="10" t="s">
        <v>8421</v>
      </c>
      <c r="C4037" s="10" t="s">
        <v>8422</v>
      </c>
      <c r="D4037" s="11">
        <v>42782.388148148151</v>
      </c>
      <c r="E4037" s="10" t="s">
        <v>193</v>
      </c>
    </row>
    <row r="4038" spans="1:5">
      <c r="A4038" s="11">
        <v>42782</v>
      </c>
      <c r="B4038" s="10" t="s">
        <v>8423</v>
      </c>
      <c r="C4038" s="10" t="s">
        <v>8424</v>
      </c>
      <c r="D4038" s="11">
        <v>42782.389120370368</v>
      </c>
      <c r="E4038" s="10" t="s">
        <v>433</v>
      </c>
    </row>
    <row r="4039" spans="1:5">
      <c r="A4039" s="11">
        <v>42782</v>
      </c>
      <c r="B4039" s="10" t="s">
        <v>8425</v>
      </c>
      <c r="C4039" s="10" t="s">
        <v>8426</v>
      </c>
      <c r="D4039" s="11">
        <v>42782.389270833337</v>
      </c>
      <c r="E4039" s="10" t="s">
        <v>433</v>
      </c>
    </row>
    <row r="4040" spans="1:5">
      <c r="A4040" s="11">
        <v>42782</v>
      </c>
      <c r="B4040" s="10" t="s">
        <v>8427</v>
      </c>
      <c r="C4040" s="10" t="s">
        <v>8428</v>
      </c>
      <c r="D4040" s="11">
        <v>42782.658506944441</v>
      </c>
      <c r="E4040" s="10" t="s">
        <v>209</v>
      </c>
    </row>
    <row r="4041" spans="1:5">
      <c r="A4041" s="11">
        <v>42782</v>
      </c>
      <c r="B4041" s="10" t="s">
        <v>8429</v>
      </c>
      <c r="C4041" s="10" t="s">
        <v>8430</v>
      </c>
      <c r="D4041" s="11">
        <v>42782.606585648151</v>
      </c>
      <c r="E4041" s="10" t="s">
        <v>422</v>
      </c>
    </row>
    <row r="4042" spans="1:5">
      <c r="A4042" s="11">
        <v>42782</v>
      </c>
      <c r="B4042" s="10" t="s">
        <v>8431</v>
      </c>
      <c r="C4042" s="10" t="s">
        <v>8432</v>
      </c>
      <c r="D4042" s="11">
        <v>42782.390706018516</v>
      </c>
      <c r="E4042" s="10" t="s">
        <v>433</v>
      </c>
    </row>
    <row r="4043" spans="1:5">
      <c r="A4043" s="11">
        <v>42782</v>
      </c>
      <c r="B4043" s="10" t="s">
        <v>8433</v>
      </c>
      <c r="C4043" s="10" t="s">
        <v>8434</v>
      </c>
      <c r="D4043" s="11">
        <v>42782.390833333331</v>
      </c>
      <c r="E4043" s="10" t="s">
        <v>625</v>
      </c>
    </row>
    <row r="4044" spans="1:5">
      <c r="A4044" s="11">
        <v>42782</v>
      </c>
      <c r="B4044" s="10" t="s">
        <v>8435</v>
      </c>
      <c r="C4044" s="10" t="s">
        <v>8436</v>
      </c>
      <c r="D4044" s="11">
        <v>42782.390856481485</v>
      </c>
      <c r="E4044" s="10" t="s">
        <v>1361</v>
      </c>
    </row>
    <row r="4045" spans="1:5">
      <c r="A4045" s="11">
        <v>42782</v>
      </c>
      <c r="B4045" s="10" t="s">
        <v>8437</v>
      </c>
      <c r="C4045" s="10" t="s">
        <v>8438</v>
      </c>
      <c r="D4045" s="11">
        <v>42782.383553240739</v>
      </c>
      <c r="E4045" s="10" t="s">
        <v>433</v>
      </c>
    </row>
    <row r="4046" spans="1:5">
      <c r="A4046" s="11">
        <v>42782</v>
      </c>
      <c r="B4046" s="10" t="s">
        <v>8439</v>
      </c>
      <c r="C4046" s="10" t="s">
        <v>8440</v>
      </c>
      <c r="D4046" s="11">
        <v>42782.391446759262</v>
      </c>
      <c r="E4046" s="10" t="s">
        <v>433</v>
      </c>
    </row>
    <row r="4047" spans="1:5">
      <c r="A4047" s="11">
        <v>42782</v>
      </c>
      <c r="B4047" s="10" t="s">
        <v>8441</v>
      </c>
      <c r="C4047" s="10" t="s">
        <v>8442</v>
      </c>
      <c r="D4047" s="11">
        <v>42782.391689814816</v>
      </c>
      <c r="E4047" s="10" t="s">
        <v>433</v>
      </c>
    </row>
    <row r="4048" spans="1:5">
      <c r="A4048" s="11">
        <v>42782</v>
      </c>
      <c r="B4048" s="10" t="s">
        <v>8443</v>
      </c>
      <c r="C4048" s="10" t="s">
        <v>8444</v>
      </c>
      <c r="D4048" s="11">
        <v>42782.391828703701</v>
      </c>
      <c r="E4048" s="10" t="s">
        <v>433</v>
      </c>
    </row>
    <row r="4049" spans="1:5">
      <c r="A4049" s="11">
        <v>42782</v>
      </c>
      <c r="B4049" s="10" t="s">
        <v>8445</v>
      </c>
      <c r="C4049" s="10" t="s">
        <v>8446</v>
      </c>
      <c r="D4049" s="11">
        <v>42782.39199074074</v>
      </c>
      <c r="E4049" s="10" t="s">
        <v>433</v>
      </c>
    </row>
    <row r="4050" spans="1:5">
      <c r="A4050" s="11">
        <v>42782</v>
      </c>
      <c r="B4050" s="10" t="s">
        <v>8447</v>
      </c>
      <c r="C4050" s="10" t="s">
        <v>8448</v>
      </c>
      <c r="D4050" s="11">
        <v>42782.392129629632</v>
      </c>
      <c r="E4050" s="10" t="s">
        <v>433</v>
      </c>
    </row>
    <row r="4051" spans="1:5">
      <c r="A4051" s="11">
        <v>42782</v>
      </c>
      <c r="B4051" s="10" t="s">
        <v>8449</v>
      </c>
      <c r="C4051" s="10" t="s">
        <v>8450</v>
      </c>
      <c r="D4051" s="11">
        <v>42782.392280092594</v>
      </c>
      <c r="E4051" s="10" t="s">
        <v>433</v>
      </c>
    </row>
    <row r="4052" spans="1:5">
      <c r="A4052" s="11">
        <v>42782</v>
      </c>
      <c r="B4052" s="10" t="s">
        <v>8451</v>
      </c>
      <c r="C4052" s="10" t="s">
        <v>8452</v>
      </c>
      <c r="D4052" s="11">
        <v>42782.392650462964</v>
      </c>
      <c r="E4052" s="10" t="s">
        <v>433</v>
      </c>
    </row>
    <row r="4053" spans="1:5">
      <c r="A4053" s="11">
        <v>42782</v>
      </c>
      <c r="B4053" s="10" t="s">
        <v>8453</v>
      </c>
      <c r="C4053" s="10" t="s">
        <v>8454</v>
      </c>
      <c r="D4053" s="11">
        <v>42782.431631944448</v>
      </c>
      <c r="E4053" s="10" t="s">
        <v>2742</v>
      </c>
    </row>
    <row r="4054" spans="1:5">
      <c r="A4054" s="11">
        <v>42782</v>
      </c>
      <c r="B4054" s="10" t="s">
        <v>8455</v>
      </c>
      <c r="C4054" s="10" t="s">
        <v>8456</v>
      </c>
      <c r="D4054" s="11">
        <v>42782.392916666664</v>
      </c>
      <c r="E4054" s="10" t="s">
        <v>218</v>
      </c>
    </row>
    <row r="4055" spans="1:5">
      <c r="A4055" s="11">
        <v>42782</v>
      </c>
      <c r="B4055" s="10" t="s">
        <v>8457</v>
      </c>
      <c r="C4055" s="10" t="s">
        <v>8458</v>
      </c>
      <c r="D4055" s="11">
        <v>42782.389201388891</v>
      </c>
      <c r="E4055" s="10" t="s">
        <v>2124</v>
      </c>
    </row>
    <row r="4056" spans="1:5">
      <c r="A4056" s="11">
        <v>42782</v>
      </c>
      <c r="B4056" s="10" t="s">
        <v>8459</v>
      </c>
      <c r="C4056" s="10" t="s">
        <v>8460</v>
      </c>
      <c r="D4056" s="11">
        <v>42782.390543981484</v>
      </c>
      <c r="E4056" s="10" t="s">
        <v>2124</v>
      </c>
    </row>
    <row r="4057" spans="1:5">
      <c r="A4057" s="11">
        <v>42782</v>
      </c>
      <c r="B4057" s="10" t="s">
        <v>8461</v>
      </c>
      <c r="C4057" s="10" t="s">
        <v>8462</v>
      </c>
      <c r="D4057" s="11">
        <v>42782.694166666668</v>
      </c>
      <c r="E4057" s="10" t="s">
        <v>479</v>
      </c>
    </row>
    <row r="4058" spans="1:5">
      <c r="A4058" s="11">
        <v>42782</v>
      </c>
      <c r="B4058" s="10" t="s">
        <v>8463</v>
      </c>
      <c r="C4058" s="10" t="s">
        <v>8464</v>
      </c>
      <c r="D4058" s="11">
        <v>42782.426354166666</v>
      </c>
      <c r="E4058" s="10" t="s">
        <v>433</v>
      </c>
    </row>
    <row r="4059" spans="1:5">
      <c r="A4059" s="11">
        <v>42782</v>
      </c>
      <c r="B4059" s="10" t="s">
        <v>8465</v>
      </c>
      <c r="C4059" s="10" t="s">
        <v>8466</v>
      </c>
      <c r="D4059" s="11">
        <v>42782.393750000003</v>
      </c>
      <c r="E4059" s="10" t="s">
        <v>465</v>
      </c>
    </row>
    <row r="4060" spans="1:5">
      <c r="A4060" s="11">
        <v>42782</v>
      </c>
      <c r="B4060" s="10" t="s">
        <v>8467</v>
      </c>
      <c r="C4060" s="10" t="s">
        <v>8468</v>
      </c>
      <c r="D4060" s="11">
        <v>42782.394074074073</v>
      </c>
      <c r="E4060" s="10" t="s">
        <v>433</v>
      </c>
    </row>
    <row r="4061" spans="1:5">
      <c r="A4061" s="11">
        <v>42782</v>
      </c>
      <c r="B4061" s="10" t="s">
        <v>8469</v>
      </c>
      <c r="C4061" s="10" t="s">
        <v>8470</v>
      </c>
      <c r="D4061" s="11">
        <v>42782.394131944442</v>
      </c>
      <c r="E4061" s="10" t="s">
        <v>4865</v>
      </c>
    </row>
    <row r="4062" spans="1:5">
      <c r="A4062" s="11">
        <v>42782</v>
      </c>
      <c r="B4062" s="10" t="s">
        <v>8471</v>
      </c>
      <c r="C4062" s="10" t="s">
        <v>8472</v>
      </c>
      <c r="D4062" s="11">
        <v>42782.394513888888</v>
      </c>
      <c r="E4062" s="10" t="s">
        <v>433</v>
      </c>
    </row>
    <row r="4063" spans="1:5">
      <c r="A4063" s="11">
        <v>42782</v>
      </c>
      <c r="B4063" s="10" t="s">
        <v>8473</v>
      </c>
      <c r="C4063" s="10" t="s">
        <v>8474</v>
      </c>
      <c r="D4063" s="11">
        <v>42782.394687499997</v>
      </c>
      <c r="E4063" s="10" t="s">
        <v>433</v>
      </c>
    </row>
    <row r="4064" spans="1:5">
      <c r="A4064" s="11">
        <v>42782</v>
      </c>
      <c r="B4064" s="10" t="s">
        <v>8475</v>
      </c>
      <c r="C4064" s="10" t="s">
        <v>8476</v>
      </c>
      <c r="D4064" s="11">
        <v>42782.445520833331</v>
      </c>
      <c r="E4064" s="10" t="s">
        <v>152</v>
      </c>
    </row>
    <row r="4065" spans="1:5">
      <c r="A4065" s="11">
        <v>42782</v>
      </c>
      <c r="B4065" s="10" t="s">
        <v>8477</v>
      </c>
      <c r="C4065" s="10" t="s">
        <v>8478</v>
      </c>
      <c r="D4065" s="11">
        <v>42782.394861111112</v>
      </c>
      <c r="E4065" s="10" t="s">
        <v>433</v>
      </c>
    </row>
    <row r="4066" spans="1:5" ht="21.6">
      <c r="A4066" s="11">
        <v>42782</v>
      </c>
      <c r="B4066" s="10" t="s">
        <v>8479</v>
      </c>
      <c r="C4066" s="10" t="s">
        <v>8480</v>
      </c>
      <c r="D4066" s="11">
        <v>42782.394988425927</v>
      </c>
      <c r="E4066" s="10" t="s">
        <v>3577</v>
      </c>
    </row>
    <row r="4067" spans="1:5">
      <c r="A4067" s="11">
        <v>42782</v>
      </c>
      <c r="B4067" s="10" t="s">
        <v>8481</v>
      </c>
      <c r="C4067" s="10" t="s">
        <v>8482</v>
      </c>
      <c r="D4067" s="11">
        <v>42782.39502314815</v>
      </c>
      <c r="E4067" s="10" t="s">
        <v>433</v>
      </c>
    </row>
    <row r="4068" spans="1:5">
      <c r="A4068" s="11">
        <v>42782</v>
      </c>
      <c r="B4068" s="10" t="s">
        <v>8483</v>
      </c>
      <c r="C4068" s="10" t="s">
        <v>8484</v>
      </c>
      <c r="D4068" s="11">
        <v>42782.388842592591</v>
      </c>
      <c r="E4068" s="10" t="s">
        <v>902</v>
      </c>
    </row>
    <row r="4069" spans="1:5">
      <c r="A4069" s="11">
        <v>42782</v>
      </c>
      <c r="B4069" s="10" t="s">
        <v>8485</v>
      </c>
      <c r="C4069" s="10" t="s">
        <v>8486</v>
      </c>
      <c r="D4069" s="11">
        <v>42782.395231481481</v>
      </c>
      <c r="E4069" s="10" t="s">
        <v>433</v>
      </c>
    </row>
    <row r="4070" spans="1:5">
      <c r="A4070" s="11">
        <v>42782</v>
      </c>
      <c r="B4070" s="10" t="s">
        <v>8487</v>
      </c>
      <c r="C4070" s="10" t="s">
        <v>8488</v>
      </c>
      <c r="D4070" s="11">
        <v>42782.395405092589</v>
      </c>
      <c r="E4070" s="10" t="s">
        <v>433</v>
      </c>
    </row>
    <row r="4071" spans="1:5">
      <c r="A4071" s="11">
        <v>42782</v>
      </c>
      <c r="B4071" s="10" t="s">
        <v>8489</v>
      </c>
      <c r="C4071" s="10" t="s">
        <v>8490</v>
      </c>
      <c r="D4071" s="11">
        <v>42782.394282407404</v>
      </c>
      <c r="E4071" s="10" t="s">
        <v>218</v>
      </c>
    </row>
    <row r="4072" spans="1:5">
      <c r="A4072" s="11">
        <v>42782</v>
      </c>
      <c r="B4072" s="10" t="s">
        <v>8491</v>
      </c>
      <c r="C4072" s="10" t="s">
        <v>8492</v>
      </c>
      <c r="D4072" s="11">
        <v>42782.391817129632</v>
      </c>
      <c r="E4072" s="10" t="s">
        <v>656</v>
      </c>
    </row>
    <row r="4073" spans="1:5">
      <c r="A4073" s="11">
        <v>42782</v>
      </c>
      <c r="B4073" s="10" t="s">
        <v>8493</v>
      </c>
      <c r="C4073" s="10" t="s">
        <v>8494</v>
      </c>
      <c r="D4073" s="11">
        <v>42782.396817129629</v>
      </c>
      <c r="E4073" s="10" t="s">
        <v>1103</v>
      </c>
    </row>
    <row r="4074" spans="1:5">
      <c r="A4074" s="11">
        <v>42782</v>
      </c>
      <c r="B4074" s="10" t="s">
        <v>8495</v>
      </c>
      <c r="C4074" s="10" t="s">
        <v>8496</v>
      </c>
      <c r="D4074" s="11">
        <v>42782.397974537038</v>
      </c>
      <c r="E4074" s="10" t="s">
        <v>218</v>
      </c>
    </row>
    <row r="4075" spans="1:5">
      <c r="A4075" s="11">
        <v>42782</v>
      </c>
      <c r="B4075" s="10" t="s">
        <v>8497</v>
      </c>
      <c r="C4075" s="10" t="s">
        <v>8498</v>
      </c>
      <c r="D4075" s="11">
        <v>42782.398020833331</v>
      </c>
      <c r="E4075" s="10" t="s">
        <v>237</v>
      </c>
    </row>
    <row r="4076" spans="1:5">
      <c r="A4076" s="11">
        <v>42782</v>
      </c>
      <c r="B4076" s="10" t="s">
        <v>8499</v>
      </c>
      <c r="C4076" s="10" t="s">
        <v>8500</v>
      </c>
      <c r="D4076" s="11">
        <v>42782.398182870369</v>
      </c>
      <c r="E4076" s="10" t="s">
        <v>3434</v>
      </c>
    </row>
    <row r="4077" spans="1:5" ht="21.6">
      <c r="A4077" s="11">
        <v>42782</v>
      </c>
      <c r="B4077" s="10" t="s">
        <v>8501</v>
      </c>
      <c r="C4077" s="10" t="s">
        <v>8502</v>
      </c>
      <c r="D4077" s="11">
        <v>42782.392789351848</v>
      </c>
      <c r="E4077" s="10" t="s">
        <v>3577</v>
      </c>
    </row>
    <row r="4078" spans="1:5">
      <c r="A4078" s="11">
        <v>42782</v>
      </c>
      <c r="B4078" s="10" t="s">
        <v>8503</v>
      </c>
      <c r="C4078" s="10" t="s">
        <v>8504</v>
      </c>
      <c r="D4078" s="11">
        <v>42782.398888888885</v>
      </c>
      <c r="E4078" s="10" t="s">
        <v>373</v>
      </c>
    </row>
    <row r="4079" spans="1:5">
      <c r="A4079" s="11">
        <v>42782</v>
      </c>
      <c r="B4079" s="10" t="s">
        <v>8505</v>
      </c>
      <c r="C4079" s="10" t="s">
        <v>8506</v>
      </c>
      <c r="D4079" s="11">
        <v>42782.383518518516</v>
      </c>
      <c r="E4079" s="10" t="s">
        <v>4862</v>
      </c>
    </row>
    <row r="4080" spans="1:5">
      <c r="A4080" s="11">
        <v>42782</v>
      </c>
      <c r="B4080" s="10" t="s">
        <v>8507</v>
      </c>
      <c r="C4080" s="10" t="s">
        <v>8508</v>
      </c>
      <c r="D4080" s="11">
        <v>42782.399953703702</v>
      </c>
      <c r="E4080" s="10" t="s">
        <v>1103</v>
      </c>
    </row>
    <row r="4081" spans="1:5">
      <c r="A4081" s="11">
        <v>42782</v>
      </c>
      <c r="B4081" s="10" t="s">
        <v>8509</v>
      </c>
      <c r="C4081" s="10" t="s">
        <v>8510</v>
      </c>
      <c r="D4081" s="11">
        <v>42782.400104166663</v>
      </c>
      <c r="E4081" s="10" t="s">
        <v>433</v>
      </c>
    </row>
    <row r="4082" spans="1:5">
      <c r="A4082" s="11">
        <v>42782</v>
      </c>
      <c r="B4082" s="10" t="s">
        <v>8511</v>
      </c>
      <c r="C4082" s="10" t="s">
        <v>8512</v>
      </c>
      <c r="D4082" s="11">
        <v>42782.400243055556</v>
      </c>
      <c r="E4082" s="10" t="s">
        <v>433</v>
      </c>
    </row>
    <row r="4083" spans="1:5">
      <c r="A4083" s="11">
        <v>42782</v>
      </c>
      <c r="B4083" s="10" t="s">
        <v>8513</v>
      </c>
      <c r="C4083" s="10" t="s">
        <v>8514</v>
      </c>
      <c r="D4083" s="11">
        <v>42782.400231481479</v>
      </c>
      <c r="E4083" s="10" t="s">
        <v>1103</v>
      </c>
    </row>
    <row r="4084" spans="1:5">
      <c r="A4084" s="11">
        <v>42782</v>
      </c>
      <c r="B4084" s="10" t="s">
        <v>8515</v>
      </c>
      <c r="C4084" s="10" t="s">
        <v>8516</v>
      </c>
      <c r="D4084" s="11">
        <v>42782.400543981479</v>
      </c>
      <c r="E4084" s="10" t="s">
        <v>433</v>
      </c>
    </row>
    <row r="4085" spans="1:5">
      <c r="A4085" s="11">
        <v>42782</v>
      </c>
      <c r="B4085" s="10" t="s">
        <v>8517</v>
      </c>
      <c r="C4085" s="10" t="s">
        <v>8518</v>
      </c>
      <c r="D4085" s="11">
        <v>42782.386666666665</v>
      </c>
      <c r="E4085" s="10" t="s">
        <v>433</v>
      </c>
    </row>
    <row r="4086" spans="1:5">
      <c r="A4086" s="11">
        <v>42782</v>
      </c>
      <c r="B4086" s="10" t="s">
        <v>8519</v>
      </c>
      <c r="C4086" s="10" t="s">
        <v>8520</v>
      </c>
      <c r="D4086" s="11">
        <v>42782.394143518519</v>
      </c>
      <c r="E4086" s="10" t="s">
        <v>433</v>
      </c>
    </row>
    <row r="4087" spans="1:5">
      <c r="A4087" s="11">
        <v>42782</v>
      </c>
      <c r="B4087" s="10" t="s">
        <v>8521</v>
      </c>
      <c r="C4087" s="10" t="s">
        <v>8522</v>
      </c>
      <c r="D4087" s="11">
        <v>42782.392638888887</v>
      </c>
      <c r="E4087" s="10" t="s">
        <v>237</v>
      </c>
    </row>
    <row r="4088" spans="1:5">
      <c r="A4088" s="11">
        <v>42782</v>
      </c>
      <c r="B4088" s="10" t="s">
        <v>8523</v>
      </c>
      <c r="C4088" s="10" t="s">
        <v>8524</v>
      </c>
      <c r="D4088" s="11">
        <v>42782.395752314813</v>
      </c>
      <c r="E4088" s="10" t="s">
        <v>193</v>
      </c>
    </row>
    <row r="4089" spans="1:5">
      <c r="A4089" s="11">
        <v>42782</v>
      </c>
      <c r="B4089" s="10" t="s">
        <v>8525</v>
      </c>
      <c r="C4089" s="10" t="s">
        <v>8526</v>
      </c>
      <c r="D4089" s="11">
        <v>42782.403356481482</v>
      </c>
      <c r="E4089" s="10" t="s">
        <v>2180</v>
      </c>
    </row>
    <row r="4090" spans="1:5">
      <c r="A4090" s="11">
        <v>42782</v>
      </c>
      <c r="B4090" s="10" t="s">
        <v>8527</v>
      </c>
      <c r="C4090" s="10" t="s">
        <v>8528</v>
      </c>
      <c r="D4090" s="11">
        <v>42782.397187499999</v>
      </c>
      <c r="E4090" s="10" t="s">
        <v>433</v>
      </c>
    </row>
    <row r="4091" spans="1:5">
      <c r="A4091" s="11">
        <v>42782</v>
      </c>
      <c r="B4091" s="10" t="s">
        <v>8529</v>
      </c>
      <c r="C4091" s="10" t="s">
        <v>8530</v>
      </c>
      <c r="D4091" s="11">
        <v>42782.394328703704</v>
      </c>
      <c r="E4091" s="10" t="s">
        <v>433</v>
      </c>
    </row>
    <row r="4092" spans="1:5">
      <c r="A4092" s="11">
        <v>42782</v>
      </c>
      <c r="B4092" s="10" t="s">
        <v>8531</v>
      </c>
      <c r="C4092" s="10" t="s">
        <v>8532</v>
      </c>
      <c r="D4092" s="11">
        <v>42782.397465277776</v>
      </c>
      <c r="E4092" s="10" t="s">
        <v>6002</v>
      </c>
    </row>
    <row r="4093" spans="1:5">
      <c r="A4093" s="11">
        <v>42782</v>
      </c>
      <c r="B4093" s="10" t="s">
        <v>8533</v>
      </c>
      <c r="C4093" s="10" t="s">
        <v>8534</v>
      </c>
      <c r="D4093" s="11">
        <v>42782.404340277775</v>
      </c>
      <c r="E4093" s="10" t="s">
        <v>320</v>
      </c>
    </row>
    <row r="4094" spans="1:5">
      <c r="A4094" s="11">
        <v>42782</v>
      </c>
      <c r="B4094" s="10" t="s">
        <v>8535</v>
      </c>
      <c r="C4094" s="10" t="s">
        <v>8536</v>
      </c>
      <c r="D4094" s="11">
        <v>42782.404537037037</v>
      </c>
      <c r="E4094" s="10" t="s">
        <v>5026</v>
      </c>
    </row>
    <row r="4095" spans="1:5">
      <c r="A4095" s="11">
        <v>42782</v>
      </c>
      <c r="B4095" s="10" t="s">
        <v>8537</v>
      </c>
      <c r="C4095" s="10" t="s">
        <v>8538</v>
      </c>
      <c r="D4095" s="11">
        <v>42782.403738425928</v>
      </c>
      <c r="E4095" s="10" t="s">
        <v>902</v>
      </c>
    </row>
    <row r="4096" spans="1:5">
      <c r="A4096" s="11">
        <v>42782</v>
      </c>
      <c r="B4096" s="10" t="s">
        <v>8539</v>
      </c>
      <c r="C4096" s="10" t="s">
        <v>8540</v>
      </c>
      <c r="D4096" s="11">
        <v>42782.407152777778</v>
      </c>
      <c r="E4096" s="10" t="s">
        <v>193</v>
      </c>
    </row>
    <row r="4097" spans="1:5">
      <c r="A4097" s="11">
        <v>42782</v>
      </c>
      <c r="B4097" s="10" t="s">
        <v>8541</v>
      </c>
      <c r="C4097" s="10" t="s">
        <v>8542</v>
      </c>
      <c r="D4097" s="11">
        <v>42782.55363425926</v>
      </c>
      <c r="E4097" s="10" t="s">
        <v>6712</v>
      </c>
    </row>
    <row r="4098" spans="1:5">
      <c r="A4098" s="11">
        <v>42782</v>
      </c>
      <c r="B4098" s="10" t="s">
        <v>8543</v>
      </c>
      <c r="C4098" s="10" t="s">
        <v>8544</v>
      </c>
      <c r="D4098" s="11">
        <v>42782.405613425923</v>
      </c>
      <c r="E4098" s="10" t="s">
        <v>656</v>
      </c>
    </row>
    <row r="4099" spans="1:5">
      <c r="A4099" s="11">
        <v>42782</v>
      </c>
      <c r="B4099" s="10" t="s">
        <v>8545</v>
      </c>
      <c r="C4099" s="10" t="s">
        <v>8546</v>
      </c>
      <c r="D4099" s="11">
        <v>42782.401574074072</v>
      </c>
      <c r="E4099" s="10" t="s">
        <v>433</v>
      </c>
    </row>
    <row r="4100" spans="1:5">
      <c r="A4100" s="11">
        <v>42782</v>
      </c>
      <c r="B4100" s="10" t="s">
        <v>8547</v>
      </c>
      <c r="C4100" s="10" t="s">
        <v>8548</v>
      </c>
      <c r="D4100" s="11">
        <v>42782.409120370372</v>
      </c>
      <c r="E4100" s="10" t="s">
        <v>433</v>
      </c>
    </row>
    <row r="4101" spans="1:5">
      <c r="A4101" s="11">
        <v>42782</v>
      </c>
      <c r="B4101" s="10" t="s">
        <v>8549</v>
      </c>
      <c r="C4101" s="10" t="s">
        <v>8550</v>
      </c>
      <c r="D4101" s="11">
        <v>42782.403067129628</v>
      </c>
      <c r="E4101" s="10" t="s">
        <v>4865</v>
      </c>
    </row>
    <row r="4102" spans="1:5">
      <c r="A4102" s="11">
        <v>42782</v>
      </c>
      <c r="B4102" s="10" t="s">
        <v>8551</v>
      </c>
      <c r="C4102" s="10" t="s">
        <v>8552</v>
      </c>
      <c r="D4102" s="11">
        <v>42782.40792824074</v>
      </c>
      <c r="E4102" s="10" t="s">
        <v>335</v>
      </c>
    </row>
    <row r="4103" spans="1:5">
      <c r="A4103" s="11">
        <v>42782</v>
      </c>
      <c r="B4103" s="10" t="s">
        <v>8553</v>
      </c>
      <c r="C4103" s="10" t="s">
        <v>8554</v>
      </c>
      <c r="D4103" s="11">
        <v>42782.409918981481</v>
      </c>
      <c r="E4103" s="10" t="s">
        <v>433</v>
      </c>
    </row>
    <row r="4104" spans="1:5">
      <c r="A4104" s="11">
        <v>42782</v>
      </c>
      <c r="B4104" s="10" t="s">
        <v>8555</v>
      </c>
      <c r="C4104" s="10" t="s">
        <v>8556</v>
      </c>
      <c r="D4104" s="11">
        <v>42782.409918981481</v>
      </c>
      <c r="E4104" s="10" t="s">
        <v>178</v>
      </c>
    </row>
    <row r="4105" spans="1:5">
      <c r="A4105" s="11">
        <v>42782</v>
      </c>
      <c r="B4105" s="10" t="s">
        <v>8557</v>
      </c>
      <c r="C4105" s="10" t="s">
        <v>8558</v>
      </c>
      <c r="D4105" s="11">
        <v>42782.410300925927</v>
      </c>
      <c r="E4105" s="10" t="s">
        <v>193</v>
      </c>
    </row>
    <row r="4106" spans="1:5">
      <c r="A4106" s="11">
        <v>42782</v>
      </c>
      <c r="B4106" s="10" t="s">
        <v>8559</v>
      </c>
      <c r="C4106" s="10" t="s">
        <v>8560</v>
      </c>
      <c r="D4106" s="11">
        <v>42782.406863425924</v>
      </c>
      <c r="E4106" s="10" t="s">
        <v>977</v>
      </c>
    </row>
    <row r="4107" spans="1:5">
      <c r="A4107" s="11">
        <v>42782</v>
      </c>
      <c r="B4107" s="10" t="s">
        <v>8561</v>
      </c>
      <c r="C4107" s="10" t="s">
        <v>8562</v>
      </c>
      <c r="D4107" s="11">
        <v>42782.410925925928</v>
      </c>
      <c r="E4107" s="10" t="s">
        <v>433</v>
      </c>
    </row>
    <row r="4108" spans="1:5">
      <c r="A4108" s="11">
        <v>42782</v>
      </c>
      <c r="B4108" s="10" t="s">
        <v>8563</v>
      </c>
      <c r="C4108" s="10" t="s">
        <v>8564</v>
      </c>
      <c r="D4108" s="11">
        <v>42782.409039351849</v>
      </c>
      <c r="E4108" s="10" t="s">
        <v>422</v>
      </c>
    </row>
    <row r="4109" spans="1:5">
      <c r="A4109" s="11">
        <v>42782</v>
      </c>
      <c r="B4109" s="10" t="s">
        <v>8565</v>
      </c>
      <c r="C4109" s="10" t="s">
        <v>8566</v>
      </c>
      <c r="D4109" s="11">
        <v>42782.382592592592</v>
      </c>
      <c r="E4109" s="10" t="s">
        <v>433</v>
      </c>
    </row>
    <row r="4110" spans="1:5">
      <c r="A4110" s="11">
        <v>42782</v>
      </c>
      <c r="B4110" s="10" t="s">
        <v>8567</v>
      </c>
      <c r="C4110" s="10" t="s">
        <v>8568</v>
      </c>
      <c r="D4110" s="11">
        <v>42782.408125000002</v>
      </c>
      <c r="E4110" s="10" t="s">
        <v>2538</v>
      </c>
    </row>
    <row r="4111" spans="1:5">
      <c r="A4111" s="11">
        <v>42782</v>
      </c>
      <c r="B4111" s="10" t="s">
        <v>8569</v>
      </c>
      <c r="C4111" s="10" t="s">
        <v>8570</v>
      </c>
      <c r="D4111" s="11">
        <v>42782.411400462966</v>
      </c>
      <c r="E4111" s="10" t="s">
        <v>2688</v>
      </c>
    </row>
    <row r="4112" spans="1:5">
      <c r="A4112" s="11">
        <v>42782</v>
      </c>
      <c r="B4112" s="10" t="s">
        <v>8571</v>
      </c>
      <c r="C4112" s="10" t="s">
        <v>8572</v>
      </c>
      <c r="D4112" s="11">
        <v>42782.400416666664</v>
      </c>
      <c r="E4112" s="10" t="s">
        <v>433</v>
      </c>
    </row>
    <row r="4113" spans="1:5">
      <c r="A4113" s="11">
        <v>42782</v>
      </c>
      <c r="B4113" s="10" t="s">
        <v>8573</v>
      </c>
      <c r="C4113" s="10" t="s">
        <v>8574</v>
      </c>
      <c r="D4113" s="11">
        <v>42782.408009259256</v>
      </c>
      <c r="E4113" s="10" t="s">
        <v>240</v>
      </c>
    </row>
    <row r="4114" spans="1:5">
      <c r="A4114" s="11">
        <v>42782</v>
      </c>
      <c r="B4114" s="10" t="s">
        <v>8575</v>
      </c>
      <c r="C4114" s="10" t="s">
        <v>8576</v>
      </c>
      <c r="D4114" s="11">
        <v>42782.412048611113</v>
      </c>
      <c r="E4114" s="10" t="s">
        <v>308</v>
      </c>
    </row>
    <row r="4115" spans="1:5">
      <c r="A4115" s="11">
        <v>42782</v>
      </c>
      <c r="B4115" s="10" t="s">
        <v>8577</v>
      </c>
      <c r="C4115" s="10" t="s">
        <v>8578</v>
      </c>
      <c r="D4115" s="11">
        <v>42782.412951388891</v>
      </c>
      <c r="E4115" s="10" t="s">
        <v>215</v>
      </c>
    </row>
    <row r="4116" spans="1:5">
      <c r="A4116" s="11">
        <v>42782</v>
      </c>
      <c r="B4116" s="10" t="s">
        <v>8579</v>
      </c>
      <c r="C4116" s="10" t="s">
        <v>8580</v>
      </c>
      <c r="D4116" s="11">
        <v>42782.404918981483</v>
      </c>
      <c r="E4116" s="10" t="s">
        <v>122</v>
      </c>
    </row>
    <row r="4117" spans="1:5">
      <c r="A4117" s="11">
        <v>42782</v>
      </c>
      <c r="B4117" s="10" t="s">
        <v>8581</v>
      </c>
      <c r="C4117" s="10" t="s">
        <v>8582</v>
      </c>
      <c r="D4117" s="11">
        <v>42782.413136574076</v>
      </c>
      <c r="E4117" s="10" t="s">
        <v>433</v>
      </c>
    </row>
    <row r="4118" spans="1:5">
      <c r="A4118" s="11">
        <v>42782</v>
      </c>
      <c r="B4118" s="10" t="s">
        <v>8583</v>
      </c>
      <c r="C4118" s="10" t="s">
        <v>8584</v>
      </c>
      <c r="D4118" s="11">
        <v>42782.401782407411</v>
      </c>
      <c r="E4118" s="10" t="s">
        <v>122</v>
      </c>
    </row>
    <row r="4119" spans="1:5">
      <c r="A4119" s="11">
        <v>42782</v>
      </c>
      <c r="B4119" s="10" t="s">
        <v>8585</v>
      </c>
      <c r="C4119" s="10" t="s">
        <v>8586</v>
      </c>
      <c r="D4119" s="11">
        <v>42782.413275462961</v>
      </c>
      <c r="E4119" s="10" t="s">
        <v>433</v>
      </c>
    </row>
    <row r="4120" spans="1:5">
      <c r="A4120" s="11">
        <v>42782</v>
      </c>
      <c r="B4120" s="10" t="s">
        <v>8587</v>
      </c>
      <c r="C4120" s="10" t="s">
        <v>8588</v>
      </c>
      <c r="D4120" s="11">
        <v>42782.413425925923</v>
      </c>
      <c r="E4120" s="10" t="s">
        <v>433</v>
      </c>
    </row>
    <row r="4121" spans="1:5">
      <c r="A4121" s="11">
        <v>42782</v>
      </c>
      <c r="B4121" s="10" t="s">
        <v>8589</v>
      </c>
      <c r="C4121" s="10" t="s">
        <v>8590</v>
      </c>
      <c r="D4121" s="11">
        <v>42782.413472222222</v>
      </c>
      <c r="E4121" s="10" t="s">
        <v>433</v>
      </c>
    </row>
    <row r="4122" spans="1:5">
      <c r="A4122" s="11">
        <v>42782</v>
      </c>
      <c r="B4122" s="10" t="s">
        <v>8591</v>
      </c>
      <c r="C4122" s="10" t="s">
        <v>8592</v>
      </c>
      <c r="D4122" s="11">
        <v>42782.39539351852</v>
      </c>
      <c r="E4122" s="10" t="s">
        <v>966</v>
      </c>
    </row>
    <row r="4123" spans="1:5">
      <c r="A4123" s="11">
        <v>42782</v>
      </c>
      <c r="B4123" s="10" t="s">
        <v>8593</v>
      </c>
      <c r="C4123" s="10" t="s">
        <v>8594</v>
      </c>
      <c r="D4123" s="11">
        <v>42782.410173611112</v>
      </c>
      <c r="E4123" s="10" t="s">
        <v>240</v>
      </c>
    </row>
    <row r="4124" spans="1:5">
      <c r="A4124" s="11">
        <v>42782</v>
      </c>
      <c r="B4124" s="10" t="s">
        <v>8595</v>
      </c>
      <c r="C4124" s="10" t="s">
        <v>8596</v>
      </c>
      <c r="D4124" s="11">
        <v>42782.413576388892</v>
      </c>
      <c r="E4124" s="10" t="s">
        <v>433</v>
      </c>
    </row>
    <row r="4125" spans="1:5">
      <c r="A4125" s="11">
        <v>42782</v>
      </c>
      <c r="B4125" s="10" t="s">
        <v>8597</v>
      </c>
      <c r="C4125" s="10" t="s">
        <v>8598</v>
      </c>
      <c r="D4125" s="11">
        <v>42782.413726851853</v>
      </c>
      <c r="E4125" s="10" t="s">
        <v>433</v>
      </c>
    </row>
    <row r="4126" spans="1:5">
      <c r="A4126" s="11">
        <v>42782</v>
      </c>
      <c r="B4126" s="10" t="s">
        <v>8599</v>
      </c>
      <c r="C4126" s="10" t="s">
        <v>8600</v>
      </c>
      <c r="D4126" s="11">
        <v>42782.413900462961</v>
      </c>
      <c r="E4126" s="10" t="s">
        <v>433</v>
      </c>
    </row>
    <row r="4127" spans="1:5">
      <c r="A4127" s="11">
        <v>42782</v>
      </c>
      <c r="B4127" s="10" t="s">
        <v>8601</v>
      </c>
      <c r="C4127" s="10" t="s">
        <v>8602</v>
      </c>
      <c r="D4127" s="11">
        <v>42782.405902777777</v>
      </c>
      <c r="E4127" s="10" t="s">
        <v>482</v>
      </c>
    </row>
    <row r="4128" spans="1:5">
      <c r="A4128" s="11">
        <v>42782</v>
      </c>
      <c r="B4128" s="10" t="s">
        <v>8603</v>
      </c>
      <c r="C4128" s="10" t="s">
        <v>8604</v>
      </c>
      <c r="D4128" s="11">
        <v>42782.407326388886</v>
      </c>
      <c r="E4128" s="10" t="s">
        <v>707</v>
      </c>
    </row>
    <row r="4129" spans="1:5">
      <c r="A4129" s="11">
        <v>42782</v>
      </c>
      <c r="B4129" s="10" t="s">
        <v>8605</v>
      </c>
      <c r="C4129" s="10" t="s">
        <v>8606</v>
      </c>
      <c r="D4129" s="11">
        <v>42782.409108796295</v>
      </c>
      <c r="E4129" s="10" t="s">
        <v>683</v>
      </c>
    </row>
    <row r="4130" spans="1:5">
      <c r="A4130" s="11">
        <v>42782</v>
      </c>
      <c r="B4130" s="10" t="s">
        <v>8607</v>
      </c>
      <c r="C4130" s="10" t="s">
        <v>8608</v>
      </c>
      <c r="D4130" s="11">
        <v>42782.410567129627</v>
      </c>
      <c r="E4130" s="10" t="s">
        <v>292</v>
      </c>
    </row>
    <row r="4131" spans="1:5">
      <c r="A4131" s="11">
        <v>42782</v>
      </c>
      <c r="B4131" s="10" t="s">
        <v>8609</v>
      </c>
      <c r="C4131" s="10" t="s">
        <v>8610</v>
      </c>
      <c r="D4131" s="11">
        <v>42782.379050925927</v>
      </c>
      <c r="E4131" s="10" t="s">
        <v>122</v>
      </c>
    </row>
    <row r="4132" spans="1:5">
      <c r="A4132" s="11">
        <v>42782</v>
      </c>
      <c r="B4132" s="10" t="s">
        <v>8611</v>
      </c>
      <c r="C4132" s="10" t="s">
        <v>8612</v>
      </c>
      <c r="D4132" s="11">
        <v>42782.41474537037</v>
      </c>
      <c r="E4132" s="10" t="s">
        <v>433</v>
      </c>
    </row>
    <row r="4133" spans="1:5">
      <c r="A4133" s="11">
        <v>42782</v>
      </c>
      <c r="B4133" s="10" t="s">
        <v>8613</v>
      </c>
      <c r="C4133" s="10" t="s">
        <v>8614</v>
      </c>
      <c r="D4133" s="11">
        <v>42782.415173611109</v>
      </c>
      <c r="E4133" s="10" t="s">
        <v>2299</v>
      </c>
    </row>
    <row r="4134" spans="1:5">
      <c r="A4134" s="11">
        <v>42782</v>
      </c>
      <c r="B4134" s="10" t="s">
        <v>8615</v>
      </c>
      <c r="C4134" s="10" t="s">
        <v>8616</v>
      </c>
      <c r="D4134" s="11">
        <v>42782.415219907409</v>
      </c>
      <c r="E4134" s="10" t="s">
        <v>99</v>
      </c>
    </row>
    <row r="4135" spans="1:5">
      <c r="A4135" s="11">
        <v>42782</v>
      </c>
      <c r="B4135" s="10" t="s">
        <v>8617</v>
      </c>
      <c r="C4135" s="10" t="s">
        <v>8618</v>
      </c>
      <c r="D4135" s="11">
        <v>42782.413611111115</v>
      </c>
      <c r="E4135" s="10" t="s">
        <v>237</v>
      </c>
    </row>
    <row r="4136" spans="1:5">
      <c r="A4136" s="11">
        <v>42782</v>
      </c>
      <c r="B4136" s="10" t="s">
        <v>8619</v>
      </c>
      <c r="C4136" s="10" t="s">
        <v>8620</v>
      </c>
      <c r="D4136" s="11">
        <v>42782.403124999997</v>
      </c>
      <c r="E4136" s="10" t="s">
        <v>3550</v>
      </c>
    </row>
    <row r="4137" spans="1:5">
      <c r="A4137" s="11">
        <v>42782</v>
      </c>
      <c r="B4137" s="10" t="s">
        <v>8621</v>
      </c>
      <c r="C4137" s="10" t="s">
        <v>8622</v>
      </c>
      <c r="D4137" s="11">
        <v>42782.415358796294</v>
      </c>
      <c r="E4137" s="10" t="s">
        <v>433</v>
      </c>
    </row>
    <row r="4138" spans="1:5">
      <c r="A4138" s="11">
        <v>42782</v>
      </c>
      <c r="B4138" s="10" t="s">
        <v>8623</v>
      </c>
      <c r="C4138" s="10" t="s">
        <v>8624</v>
      </c>
      <c r="D4138" s="11">
        <v>42782.409502314818</v>
      </c>
      <c r="E4138" s="10" t="s">
        <v>656</v>
      </c>
    </row>
    <row r="4139" spans="1:5">
      <c r="A4139" s="11">
        <v>42782</v>
      </c>
      <c r="B4139" s="10" t="s">
        <v>8625</v>
      </c>
      <c r="C4139" s="10" t="s">
        <v>8626</v>
      </c>
      <c r="D4139" s="11">
        <v>42782.415509259263</v>
      </c>
      <c r="E4139" s="10" t="s">
        <v>433</v>
      </c>
    </row>
    <row r="4140" spans="1:5">
      <c r="A4140" s="11">
        <v>42782</v>
      </c>
      <c r="B4140" s="10" t="s">
        <v>8627</v>
      </c>
      <c r="C4140" s="10" t="s">
        <v>8628</v>
      </c>
      <c r="D4140" s="11">
        <v>42782.416435185187</v>
      </c>
      <c r="E4140" s="10" t="s">
        <v>335</v>
      </c>
    </row>
    <row r="4141" spans="1:5">
      <c r="A4141" s="11">
        <v>42782</v>
      </c>
      <c r="B4141" s="10" t="s">
        <v>8629</v>
      </c>
      <c r="C4141" s="10" t="s">
        <v>8630</v>
      </c>
      <c r="D4141" s="11">
        <v>42782.416250000002</v>
      </c>
      <c r="E4141" s="10" t="s">
        <v>1103</v>
      </c>
    </row>
    <row r="4142" spans="1:5">
      <c r="A4142" s="11">
        <v>42782</v>
      </c>
      <c r="B4142" s="10" t="s">
        <v>8631</v>
      </c>
      <c r="C4142" s="10" t="s">
        <v>8632</v>
      </c>
      <c r="D4142" s="11">
        <v>42782.416504629633</v>
      </c>
      <c r="E4142" s="10" t="s">
        <v>240</v>
      </c>
    </row>
    <row r="4143" spans="1:5">
      <c r="A4143" s="11">
        <v>42782</v>
      </c>
      <c r="B4143" s="10" t="s">
        <v>8633</v>
      </c>
      <c r="C4143" s="10" t="s">
        <v>8634</v>
      </c>
      <c r="D4143" s="11">
        <v>42782.416550925926</v>
      </c>
      <c r="E4143" s="10" t="s">
        <v>422</v>
      </c>
    </row>
    <row r="4144" spans="1:5">
      <c r="A4144" s="11">
        <v>42782</v>
      </c>
      <c r="B4144" s="10" t="s">
        <v>8635</v>
      </c>
      <c r="C4144" s="10" t="s">
        <v>8636</v>
      </c>
      <c r="D4144" s="11">
        <v>42782.710138888891</v>
      </c>
      <c r="E4144" s="10" t="s">
        <v>237</v>
      </c>
    </row>
    <row r="4145" spans="1:5">
      <c r="A4145" s="11">
        <v>42782</v>
      </c>
      <c r="B4145" s="10" t="s">
        <v>8637</v>
      </c>
      <c r="C4145" s="10" t="s">
        <v>8638</v>
      </c>
      <c r="D4145" s="11">
        <v>42782.410868055558</v>
      </c>
      <c r="E4145" s="10" t="s">
        <v>240</v>
      </c>
    </row>
    <row r="4146" spans="1:5">
      <c r="A4146" s="11">
        <v>42782</v>
      </c>
      <c r="B4146" s="10" t="s">
        <v>8639</v>
      </c>
      <c r="C4146" s="10" t="s">
        <v>8640</v>
      </c>
      <c r="D4146" s="11">
        <v>42782.701307870368</v>
      </c>
      <c r="E4146" s="10" t="s">
        <v>902</v>
      </c>
    </row>
    <row r="4147" spans="1:5">
      <c r="A4147" s="11">
        <v>42782</v>
      </c>
      <c r="B4147" s="10" t="s">
        <v>8641</v>
      </c>
      <c r="C4147" s="10" t="s">
        <v>8642</v>
      </c>
      <c r="D4147" s="11">
        <v>42782.389780092592</v>
      </c>
      <c r="E4147" s="10" t="s">
        <v>240</v>
      </c>
    </row>
    <row r="4148" spans="1:5">
      <c r="A4148" s="11">
        <v>42782</v>
      </c>
      <c r="B4148" s="10" t="s">
        <v>8643</v>
      </c>
      <c r="C4148" s="10" t="s">
        <v>8644</v>
      </c>
      <c r="D4148" s="11">
        <v>42782.404293981483</v>
      </c>
      <c r="E4148" s="10" t="s">
        <v>656</v>
      </c>
    </row>
    <row r="4149" spans="1:5">
      <c r="A4149" s="11">
        <v>42782</v>
      </c>
      <c r="B4149" s="10" t="s">
        <v>8645</v>
      </c>
      <c r="C4149" s="10" t="s">
        <v>8646</v>
      </c>
      <c r="D4149" s="11">
        <v>42782.417280092595</v>
      </c>
      <c r="E4149" s="10" t="s">
        <v>433</v>
      </c>
    </row>
    <row r="4150" spans="1:5">
      <c r="A4150" s="11">
        <v>42782</v>
      </c>
      <c r="B4150" s="10" t="s">
        <v>8647</v>
      </c>
      <c r="C4150" s="10" t="s">
        <v>8648</v>
      </c>
      <c r="D4150" s="11">
        <v>42782.414571759262</v>
      </c>
      <c r="E4150" s="10" t="s">
        <v>193</v>
      </c>
    </row>
    <row r="4151" spans="1:5">
      <c r="A4151" s="11">
        <v>42782</v>
      </c>
      <c r="B4151" s="10" t="s">
        <v>8649</v>
      </c>
      <c r="C4151" s="10" t="s">
        <v>8650</v>
      </c>
      <c r="D4151" s="11">
        <v>42782.417939814812</v>
      </c>
      <c r="E4151" s="10" t="s">
        <v>193</v>
      </c>
    </row>
    <row r="4152" spans="1:5">
      <c r="A4152" s="11">
        <v>42782</v>
      </c>
      <c r="B4152" s="10" t="s">
        <v>8651</v>
      </c>
      <c r="C4152" s="10" t="s">
        <v>8652</v>
      </c>
      <c r="D4152" s="11">
        <v>42782.379861111112</v>
      </c>
      <c r="E4152" s="10" t="s">
        <v>707</v>
      </c>
    </row>
    <row r="4153" spans="1:5">
      <c r="A4153" s="11">
        <v>42782</v>
      </c>
      <c r="B4153" s="10" t="s">
        <v>8653</v>
      </c>
      <c r="C4153" s="10" t="s">
        <v>8654</v>
      </c>
      <c r="D4153" s="11">
        <v>42782.418298611112</v>
      </c>
      <c r="E4153" s="10" t="s">
        <v>433</v>
      </c>
    </row>
    <row r="4154" spans="1:5">
      <c r="A4154" s="11">
        <v>42782</v>
      </c>
      <c r="B4154" s="10" t="s">
        <v>8655</v>
      </c>
      <c r="C4154" s="10" t="s">
        <v>8656</v>
      </c>
      <c r="D4154" s="11">
        <v>42782.418391203704</v>
      </c>
      <c r="E4154" s="10" t="s">
        <v>308</v>
      </c>
    </row>
    <row r="4155" spans="1:5">
      <c r="A4155" s="11">
        <v>42782</v>
      </c>
      <c r="B4155" s="10" t="s">
        <v>8657</v>
      </c>
      <c r="C4155" s="10" t="s">
        <v>8658</v>
      </c>
      <c r="D4155" s="11">
        <v>42782.415914351855</v>
      </c>
      <c r="E4155" s="10" t="s">
        <v>308</v>
      </c>
    </row>
    <row r="4156" spans="1:5">
      <c r="A4156" s="11">
        <v>42782</v>
      </c>
      <c r="B4156" s="10" t="s">
        <v>8659</v>
      </c>
      <c r="C4156" s="10" t="s">
        <v>8660</v>
      </c>
      <c r="D4156" s="11">
        <v>42782.701539351852</v>
      </c>
      <c r="E4156" s="10" t="s">
        <v>946</v>
      </c>
    </row>
    <row r="4157" spans="1:5">
      <c r="A4157" s="11">
        <v>42782</v>
      </c>
      <c r="B4157" s="10" t="s">
        <v>8661</v>
      </c>
      <c r="C4157" s="10" t="s">
        <v>8662</v>
      </c>
      <c r="D4157" s="11">
        <v>42782.38621527778</v>
      </c>
      <c r="E4157" s="10" t="s">
        <v>2995</v>
      </c>
    </row>
    <row r="4158" spans="1:5">
      <c r="A4158" s="11">
        <v>42782</v>
      </c>
      <c r="B4158" s="10" t="s">
        <v>8663</v>
      </c>
      <c r="C4158" s="10" t="s">
        <v>8664</v>
      </c>
      <c r="D4158" s="11">
        <v>42782.407858796294</v>
      </c>
      <c r="E4158" s="10" t="s">
        <v>433</v>
      </c>
    </row>
    <row r="4159" spans="1:5">
      <c r="A4159" s="11">
        <v>42782</v>
      </c>
      <c r="B4159" s="10" t="s">
        <v>8665</v>
      </c>
      <c r="C4159" s="10" t="s">
        <v>8666</v>
      </c>
      <c r="D4159" s="11">
        <v>42782.688449074078</v>
      </c>
      <c r="E4159" s="10" t="s">
        <v>240</v>
      </c>
    </row>
    <row r="4160" spans="1:5">
      <c r="A4160" s="11">
        <v>42782</v>
      </c>
      <c r="B4160" s="10" t="s">
        <v>8667</v>
      </c>
      <c r="C4160" s="10" t="s">
        <v>8668</v>
      </c>
      <c r="D4160" s="11">
        <v>42782.413969907408</v>
      </c>
      <c r="E4160" s="10" t="s">
        <v>152</v>
      </c>
    </row>
    <row r="4161" spans="1:5">
      <c r="A4161" s="11">
        <v>42782</v>
      </c>
      <c r="B4161" s="10" t="s">
        <v>8669</v>
      </c>
      <c r="C4161" s="10" t="s">
        <v>8670</v>
      </c>
      <c r="D4161" s="11">
        <v>42782.40247685185</v>
      </c>
      <c r="E4161" s="10" t="s">
        <v>2299</v>
      </c>
    </row>
    <row r="4162" spans="1:5">
      <c r="A4162" s="11">
        <v>42782</v>
      </c>
      <c r="B4162" s="10" t="s">
        <v>8671</v>
      </c>
      <c r="C4162" s="10" t="s">
        <v>8672</v>
      </c>
      <c r="D4162" s="11">
        <v>42782.39875</v>
      </c>
      <c r="E4162" s="10" t="s">
        <v>2823</v>
      </c>
    </row>
    <row r="4163" spans="1:5">
      <c r="A4163" s="11">
        <v>42782</v>
      </c>
      <c r="B4163" s="10" t="s">
        <v>8673</v>
      </c>
      <c r="C4163" s="10" t="s">
        <v>8674</v>
      </c>
      <c r="D4163" s="11">
        <v>42782.393773148149</v>
      </c>
      <c r="E4163" s="10" t="s">
        <v>902</v>
      </c>
    </row>
    <row r="4164" spans="1:5">
      <c r="A4164" s="11">
        <v>42782</v>
      </c>
      <c r="B4164" s="10" t="s">
        <v>8675</v>
      </c>
      <c r="C4164" s="10" t="s">
        <v>8676</v>
      </c>
      <c r="D4164" s="11">
        <v>42782.419224537036</v>
      </c>
      <c r="E4164" s="10" t="s">
        <v>433</v>
      </c>
    </row>
    <row r="4165" spans="1:5">
      <c r="A4165" s="11">
        <v>42782</v>
      </c>
      <c r="B4165" s="10" t="s">
        <v>8677</v>
      </c>
      <c r="C4165" s="10" t="s">
        <v>8678</v>
      </c>
      <c r="D4165" s="11">
        <v>42782.419247685182</v>
      </c>
      <c r="E4165" s="10" t="s">
        <v>966</v>
      </c>
    </row>
    <row r="4166" spans="1:5">
      <c r="A4166" s="11">
        <v>42782</v>
      </c>
      <c r="B4166" s="10" t="s">
        <v>8679</v>
      </c>
      <c r="C4166" s="10" t="s">
        <v>8680</v>
      </c>
      <c r="D4166" s="11">
        <v>42782.420104166667</v>
      </c>
      <c r="E4166" s="10" t="s">
        <v>152</v>
      </c>
    </row>
    <row r="4167" spans="1:5">
      <c r="A4167" s="11">
        <v>42782</v>
      </c>
      <c r="B4167" s="10" t="s">
        <v>8681</v>
      </c>
      <c r="C4167" s="10" t="s">
        <v>8682</v>
      </c>
      <c r="D4167" s="11">
        <v>42782.42015046296</v>
      </c>
      <c r="E4167" s="10" t="s">
        <v>193</v>
      </c>
    </row>
    <row r="4168" spans="1:5">
      <c r="A4168" s="11">
        <v>42782</v>
      </c>
      <c r="B4168" s="10" t="s">
        <v>8683</v>
      </c>
      <c r="C4168" s="10" t="s">
        <v>8684</v>
      </c>
      <c r="D4168" s="11">
        <v>42782.423379629632</v>
      </c>
      <c r="E4168" s="10" t="s">
        <v>218</v>
      </c>
    </row>
    <row r="4169" spans="1:5">
      <c r="A4169" s="11">
        <v>42782</v>
      </c>
      <c r="B4169" s="10" t="s">
        <v>8685</v>
      </c>
      <c r="C4169" s="10" t="s">
        <v>8686</v>
      </c>
      <c r="D4169" s="11">
        <v>42782.427094907405</v>
      </c>
      <c r="E4169" s="10" t="s">
        <v>6178</v>
      </c>
    </row>
    <row r="4170" spans="1:5">
      <c r="A4170" s="11">
        <v>42782</v>
      </c>
      <c r="B4170" s="10" t="s">
        <v>8687</v>
      </c>
      <c r="C4170" s="10" t="s">
        <v>8688</v>
      </c>
      <c r="D4170" s="11">
        <v>42782.425104166665</v>
      </c>
      <c r="E4170" s="10" t="s">
        <v>152</v>
      </c>
    </row>
    <row r="4171" spans="1:5">
      <c r="A4171" s="11">
        <v>42782</v>
      </c>
      <c r="B4171" s="10" t="s">
        <v>8689</v>
      </c>
      <c r="C4171" s="10" t="s">
        <v>8690</v>
      </c>
      <c r="D4171" s="11">
        <v>42782.42527777778</v>
      </c>
      <c r="E4171" s="10" t="s">
        <v>178</v>
      </c>
    </row>
    <row r="4172" spans="1:5">
      <c r="A4172" s="11">
        <v>42782</v>
      </c>
      <c r="B4172" s="10" t="s">
        <v>8691</v>
      </c>
      <c r="C4172" s="10" t="s">
        <v>8692</v>
      </c>
      <c r="D4172" s="11">
        <v>42782.424861111111</v>
      </c>
      <c r="E4172" s="10" t="s">
        <v>3570</v>
      </c>
    </row>
    <row r="4173" spans="1:5">
      <c r="A4173" s="11">
        <v>42782</v>
      </c>
      <c r="B4173" s="10" t="s">
        <v>8693</v>
      </c>
      <c r="C4173" s="10" t="s">
        <v>8694</v>
      </c>
      <c r="D4173" s="11">
        <v>42782.423981481479</v>
      </c>
      <c r="E4173" s="10" t="s">
        <v>422</v>
      </c>
    </row>
    <row r="4174" spans="1:5">
      <c r="A4174" s="11">
        <v>42782</v>
      </c>
      <c r="B4174" s="10" t="s">
        <v>8695</v>
      </c>
      <c r="C4174" s="10" t="s">
        <v>8696</v>
      </c>
      <c r="D4174" s="11">
        <v>42782.427951388891</v>
      </c>
      <c r="E4174" s="10" t="s">
        <v>240</v>
      </c>
    </row>
    <row r="4175" spans="1:5">
      <c r="A4175" s="11">
        <v>42782</v>
      </c>
      <c r="B4175" s="10" t="s">
        <v>8697</v>
      </c>
      <c r="C4175" s="10" t="s">
        <v>8698</v>
      </c>
      <c r="D4175" s="11">
        <v>42782.428518518522</v>
      </c>
      <c r="E4175" s="10" t="s">
        <v>433</v>
      </c>
    </row>
    <row r="4176" spans="1:5">
      <c r="A4176" s="11">
        <v>42782</v>
      </c>
      <c r="B4176" s="10" t="s">
        <v>8699</v>
      </c>
      <c r="C4176" s="10" t="s">
        <v>8700</v>
      </c>
      <c r="D4176" s="11">
        <v>42782.705243055556</v>
      </c>
      <c r="E4176" s="10" t="s">
        <v>152</v>
      </c>
    </row>
    <row r="4177" spans="1:5">
      <c r="A4177" s="11">
        <v>42782</v>
      </c>
      <c r="B4177" s="10" t="s">
        <v>8701</v>
      </c>
      <c r="C4177" s="10" t="s">
        <v>8702</v>
      </c>
      <c r="D4177" s="11">
        <v>42782.428831018522</v>
      </c>
      <c r="E4177" s="10" t="s">
        <v>433</v>
      </c>
    </row>
    <row r="4178" spans="1:5">
      <c r="A4178" s="11">
        <v>42782</v>
      </c>
      <c r="B4178" s="10" t="s">
        <v>8703</v>
      </c>
      <c r="C4178" s="10" t="s">
        <v>8704</v>
      </c>
      <c r="D4178" s="11">
        <v>42782.429120370369</v>
      </c>
      <c r="E4178" s="10" t="s">
        <v>1208</v>
      </c>
    </row>
    <row r="4179" spans="1:5">
      <c r="A4179" s="11">
        <v>42782</v>
      </c>
      <c r="B4179" s="10" t="s">
        <v>8705</v>
      </c>
      <c r="C4179" s="10" t="s">
        <v>8706</v>
      </c>
      <c r="D4179" s="11">
        <v>42782.427210648151</v>
      </c>
      <c r="E4179" s="10" t="s">
        <v>1770</v>
      </c>
    </row>
    <row r="4180" spans="1:5">
      <c r="A4180" s="11">
        <v>42782</v>
      </c>
      <c r="B4180" s="10" t="s">
        <v>8707</v>
      </c>
      <c r="C4180" s="10" t="s">
        <v>8708</v>
      </c>
      <c r="D4180" s="11">
        <v>42782.429618055554</v>
      </c>
      <c r="E4180" s="10" t="s">
        <v>625</v>
      </c>
    </row>
    <row r="4181" spans="1:5">
      <c r="A4181" s="11">
        <v>42782</v>
      </c>
      <c r="B4181" s="10" t="s">
        <v>8709</v>
      </c>
      <c r="C4181" s="10" t="s">
        <v>8710</v>
      </c>
      <c r="D4181" s="11">
        <v>42782.608090277776</v>
      </c>
      <c r="E4181" s="10" t="s">
        <v>193</v>
      </c>
    </row>
    <row r="4182" spans="1:5">
      <c r="A4182" s="11">
        <v>42782</v>
      </c>
      <c r="B4182" s="10" t="s">
        <v>8711</v>
      </c>
      <c r="C4182" s="10" t="s">
        <v>8712</v>
      </c>
      <c r="D4182" s="11">
        <v>42782.426562499997</v>
      </c>
      <c r="E4182" s="10" t="s">
        <v>433</v>
      </c>
    </row>
    <row r="4183" spans="1:5">
      <c r="A4183" s="11">
        <v>42782</v>
      </c>
      <c r="B4183" s="10" t="s">
        <v>8713</v>
      </c>
      <c r="C4183" s="10" t="s">
        <v>8714</v>
      </c>
      <c r="D4183" s="11">
        <v>42782.431238425925</v>
      </c>
      <c r="E4183" s="10" t="s">
        <v>608</v>
      </c>
    </row>
    <row r="4184" spans="1:5">
      <c r="A4184" s="11">
        <v>42782</v>
      </c>
      <c r="B4184" s="10" t="s">
        <v>8715</v>
      </c>
      <c r="C4184" s="10" t="s">
        <v>8716</v>
      </c>
      <c r="D4184" s="11">
        <v>42782.433553240742</v>
      </c>
      <c r="E4184" s="10" t="s">
        <v>373</v>
      </c>
    </row>
    <row r="4185" spans="1:5">
      <c r="A4185" s="11">
        <v>42782</v>
      </c>
      <c r="B4185" s="10" t="s">
        <v>8717</v>
      </c>
      <c r="C4185" s="10" t="s">
        <v>8718</v>
      </c>
      <c r="D4185" s="11">
        <v>42782.433946759258</v>
      </c>
      <c r="E4185" s="10" t="s">
        <v>902</v>
      </c>
    </row>
    <row r="4186" spans="1:5">
      <c r="A4186" s="11">
        <v>42782</v>
      </c>
      <c r="B4186" s="10" t="s">
        <v>8719</v>
      </c>
      <c r="C4186" s="10" t="s">
        <v>8720</v>
      </c>
      <c r="D4186" s="11">
        <v>42782.432002314818</v>
      </c>
      <c r="E4186" s="10" t="s">
        <v>2742</v>
      </c>
    </row>
    <row r="4187" spans="1:5">
      <c r="A4187" s="11">
        <v>42782</v>
      </c>
      <c r="B4187" s="10" t="s">
        <v>8721</v>
      </c>
      <c r="C4187" s="10" t="s">
        <v>8722</v>
      </c>
      <c r="D4187" s="11">
        <v>42782.434791666667</v>
      </c>
      <c r="E4187" s="10" t="s">
        <v>2912</v>
      </c>
    </row>
    <row r="4188" spans="1:5">
      <c r="A4188" s="11">
        <v>42782</v>
      </c>
      <c r="B4188" s="10" t="s">
        <v>8723</v>
      </c>
      <c r="C4188" s="10" t="s">
        <v>8724</v>
      </c>
      <c r="D4188" s="11">
        <v>42782.434942129628</v>
      </c>
      <c r="E4188" s="10" t="s">
        <v>152</v>
      </c>
    </row>
    <row r="4189" spans="1:5">
      <c r="A4189" s="11">
        <v>42782</v>
      </c>
      <c r="B4189" s="10" t="s">
        <v>8725</v>
      </c>
      <c r="C4189" s="10" t="s">
        <v>8726</v>
      </c>
      <c r="D4189" s="11">
        <v>42782.434999999998</v>
      </c>
      <c r="E4189" s="10" t="s">
        <v>433</v>
      </c>
    </row>
    <row r="4190" spans="1:5">
      <c r="A4190" s="11">
        <v>42782</v>
      </c>
      <c r="B4190" s="10" t="s">
        <v>8727</v>
      </c>
      <c r="C4190" s="10" t="s">
        <v>8728</v>
      </c>
      <c r="D4190" s="11">
        <v>42782.434178240743</v>
      </c>
      <c r="E4190" s="10" t="s">
        <v>96</v>
      </c>
    </row>
    <row r="4191" spans="1:5">
      <c r="A4191" s="11">
        <v>42782</v>
      </c>
      <c r="B4191" s="10" t="s">
        <v>8729</v>
      </c>
      <c r="C4191" s="10" t="s">
        <v>8730</v>
      </c>
      <c r="D4191" s="11">
        <v>42782.427499999998</v>
      </c>
      <c r="E4191" s="10" t="s">
        <v>218</v>
      </c>
    </row>
    <row r="4192" spans="1:5">
      <c r="A4192" s="11">
        <v>42782</v>
      </c>
      <c r="B4192" s="10" t="s">
        <v>8731</v>
      </c>
      <c r="C4192" s="10" t="s">
        <v>8732</v>
      </c>
      <c r="D4192" s="11">
        <v>42782.436249999999</v>
      </c>
      <c r="E4192" s="10" t="s">
        <v>122</v>
      </c>
    </row>
    <row r="4193" spans="1:5">
      <c r="A4193" s="11">
        <v>42782</v>
      </c>
      <c r="B4193" s="10" t="s">
        <v>8733</v>
      </c>
      <c r="C4193" s="10" t="s">
        <v>8734</v>
      </c>
      <c r="D4193" s="11">
        <v>42782.436655092592</v>
      </c>
      <c r="E4193" s="10" t="s">
        <v>240</v>
      </c>
    </row>
    <row r="4194" spans="1:5">
      <c r="A4194" s="11">
        <v>42782</v>
      </c>
      <c r="B4194" s="10" t="s">
        <v>8735</v>
      </c>
      <c r="C4194" s="10" t="s">
        <v>8736</v>
      </c>
      <c r="D4194" s="11">
        <v>42782.43041666667</v>
      </c>
      <c r="E4194" s="10" t="s">
        <v>373</v>
      </c>
    </row>
    <row r="4195" spans="1:5" ht="21.6">
      <c r="A4195" s="11">
        <v>42782</v>
      </c>
      <c r="B4195" s="10" t="s">
        <v>8737</v>
      </c>
      <c r="C4195" s="10" t="s">
        <v>8738</v>
      </c>
      <c r="D4195" s="11">
        <v>42782.437407407408</v>
      </c>
      <c r="E4195" s="10" t="s">
        <v>264</v>
      </c>
    </row>
    <row r="4196" spans="1:5">
      <c r="A4196" s="11">
        <v>42782</v>
      </c>
      <c r="B4196" s="10" t="s">
        <v>8739</v>
      </c>
      <c r="C4196" s="10" t="s">
        <v>8740</v>
      </c>
      <c r="D4196" s="11">
        <v>42782.437280092592</v>
      </c>
      <c r="E4196" s="10" t="s">
        <v>625</v>
      </c>
    </row>
    <row r="4197" spans="1:5">
      <c r="A4197" s="11">
        <v>42782</v>
      </c>
      <c r="B4197" s="10" t="s">
        <v>8741</v>
      </c>
      <c r="C4197" s="10" t="s">
        <v>8742</v>
      </c>
      <c r="D4197" s="11">
        <v>42782.485543981478</v>
      </c>
      <c r="E4197" s="10" t="s">
        <v>422</v>
      </c>
    </row>
    <row r="4198" spans="1:5">
      <c r="A4198" s="11">
        <v>42782</v>
      </c>
      <c r="B4198" s="10" t="s">
        <v>8743</v>
      </c>
      <c r="C4198" s="10" t="s">
        <v>8744</v>
      </c>
      <c r="D4198" s="11">
        <v>42782.437789351854</v>
      </c>
      <c r="E4198" s="10" t="s">
        <v>433</v>
      </c>
    </row>
    <row r="4199" spans="1:5">
      <c r="A4199" s="11">
        <v>42782</v>
      </c>
      <c r="B4199" s="10" t="s">
        <v>8745</v>
      </c>
      <c r="C4199" s="10" t="s">
        <v>8746</v>
      </c>
      <c r="D4199" s="11">
        <v>42782.4375</v>
      </c>
      <c r="E4199" s="10" t="s">
        <v>433</v>
      </c>
    </row>
    <row r="4200" spans="1:5">
      <c r="A4200" s="11">
        <v>42782</v>
      </c>
      <c r="B4200" s="10" t="s">
        <v>8747</v>
      </c>
      <c r="C4200" s="10" t="s">
        <v>8748</v>
      </c>
      <c r="D4200" s="11">
        <v>42782.437962962962</v>
      </c>
      <c r="E4200" s="10" t="s">
        <v>433</v>
      </c>
    </row>
    <row r="4201" spans="1:5">
      <c r="A4201" s="11">
        <v>42782</v>
      </c>
      <c r="B4201" s="10" t="s">
        <v>8749</v>
      </c>
      <c r="C4201" s="10" t="s">
        <v>8750</v>
      </c>
      <c r="D4201" s="11">
        <v>42782.438159722224</v>
      </c>
      <c r="E4201" s="10" t="s">
        <v>966</v>
      </c>
    </row>
    <row r="4202" spans="1:5">
      <c r="A4202" s="11">
        <v>42782</v>
      </c>
      <c r="B4202" s="10" t="s">
        <v>8751</v>
      </c>
      <c r="C4202" s="10" t="s">
        <v>8752</v>
      </c>
      <c r="D4202" s="11">
        <v>42782.43849537037</v>
      </c>
      <c r="E4202" s="10" t="s">
        <v>6712</v>
      </c>
    </row>
    <row r="4203" spans="1:5">
      <c r="A4203" s="11">
        <v>42782</v>
      </c>
      <c r="B4203" s="10" t="s">
        <v>8753</v>
      </c>
      <c r="C4203" s="10" t="s">
        <v>8754</v>
      </c>
      <c r="D4203" s="11">
        <v>42782.43854166667</v>
      </c>
      <c r="E4203" s="10" t="s">
        <v>433</v>
      </c>
    </row>
    <row r="4204" spans="1:5">
      <c r="A4204" s="11">
        <v>42782</v>
      </c>
      <c r="B4204" s="10" t="s">
        <v>8755</v>
      </c>
      <c r="C4204" s="10" t="s">
        <v>8756</v>
      </c>
      <c r="D4204" s="11">
        <v>42782.610960648148</v>
      </c>
      <c r="E4204" s="10" t="s">
        <v>2515</v>
      </c>
    </row>
    <row r="4205" spans="1:5">
      <c r="A4205" s="11">
        <v>42782</v>
      </c>
      <c r="B4205" s="10" t="s">
        <v>8757</v>
      </c>
      <c r="C4205" s="10" t="s">
        <v>8758</v>
      </c>
      <c r="D4205" s="11">
        <v>42782.438344907408</v>
      </c>
      <c r="E4205" s="10" t="s">
        <v>433</v>
      </c>
    </row>
    <row r="4206" spans="1:5">
      <c r="A4206" s="11">
        <v>42782</v>
      </c>
      <c r="B4206" s="10" t="s">
        <v>8759</v>
      </c>
      <c r="C4206" s="10" t="s">
        <v>8760</v>
      </c>
      <c r="D4206" s="11">
        <v>42782.438784722224</v>
      </c>
      <c r="E4206" s="10" t="s">
        <v>433</v>
      </c>
    </row>
    <row r="4207" spans="1:5">
      <c r="A4207" s="11">
        <v>42782</v>
      </c>
      <c r="B4207" s="10" t="s">
        <v>8761</v>
      </c>
      <c r="C4207" s="10" t="s">
        <v>8762</v>
      </c>
      <c r="D4207" s="11">
        <v>42782.438784722224</v>
      </c>
      <c r="E4207" s="10" t="s">
        <v>1103</v>
      </c>
    </row>
    <row r="4208" spans="1:5">
      <c r="A4208" s="11">
        <v>42782</v>
      </c>
      <c r="B4208" s="10" t="s">
        <v>8763</v>
      </c>
      <c r="C4208" s="10" t="s">
        <v>8764</v>
      </c>
      <c r="D4208" s="11">
        <v>42782.437314814815</v>
      </c>
      <c r="E4208" s="10" t="s">
        <v>2180</v>
      </c>
    </row>
    <row r="4209" spans="1:5">
      <c r="A4209" s="11">
        <v>42782</v>
      </c>
      <c r="B4209" s="10" t="s">
        <v>8765</v>
      </c>
      <c r="C4209" s="10" t="s">
        <v>8766</v>
      </c>
      <c r="D4209" s="11">
        <v>42782.439016203702</v>
      </c>
      <c r="E4209" s="10" t="s">
        <v>433</v>
      </c>
    </row>
    <row r="4210" spans="1:5">
      <c r="A4210" s="11">
        <v>42782</v>
      </c>
      <c r="B4210" s="10" t="s">
        <v>8767</v>
      </c>
      <c r="C4210" s="10" t="s">
        <v>8768</v>
      </c>
      <c r="D4210" s="11">
        <v>42782.440347222226</v>
      </c>
      <c r="E4210" s="10" t="s">
        <v>152</v>
      </c>
    </row>
    <row r="4211" spans="1:5">
      <c r="A4211" s="11">
        <v>42782</v>
      </c>
      <c r="B4211" s="10" t="s">
        <v>8769</v>
      </c>
      <c r="C4211" s="10" t="s">
        <v>8770</v>
      </c>
      <c r="D4211" s="11">
        <v>42782.424988425926</v>
      </c>
      <c r="E4211" s="10" t="s">
        <v>380</v>
      </c>
    </row>
    <row r="4212" spans="1:5">
      <c r="A4212" s="11">
        <v>42782</v>
      </c>
      <c r="B4212" s="10" t="s">
        <v>8771</v>
      </c>
      <c r="C4212" s="10" t="s">
        <v>8772</v>
      </c>
      <c r="D4212" s="11">
        <v>42782.440625000003</v>
      </c>
      <c r="E4212" s="10" t="s">
        <v>320</v>
      </c>
    </row>
    <row r="4213" spans="1:5">
      <c r="A4213" s="11">
        <v>42782</v>
      </c>
      <c r="B4213" s="10" t="s">
        <v>8773</v>
      </c>
      <c r="C4213" s="10" t="s">
        <v>8774</v>
      </c>
      <c r="D4213" s="11">
        <v>42782.426550925928</v>
      </c>
      <c r="E4213" s="10" t="s">
        <v>240</v>
      </c>
    </row>
    <row r="4214" spans="1:5">
      <c r="A4214" s="11">
        <v>42782</v>
      </c>
      <c r="B4214" s="10" t="s">
        <v>8775</v>
      </c>
      <c r="C4214" s="10" t="s">
        <v>8776</v>
      </c>
      <c r="D4214" s="11">
        <v>42782.438807870371</v>
      </c>
      <c r="E4214" s="10" t="s">
        <v>433</v>
      </c>
    </row>
    <row r="4215" spans="1:5">
      <c r="A4215" s="11">
        <v>42782</v>
      </c>
      <c r="B4215" s="10" t="s">
        <v>8777</v>
      </c>
      <c r="C4215" s="10" t="s">
        <v>8778</v>
      </c>
      <c r="D4215" s="11">
        <v>42782.441168981481</v>
      </c>
      <c r="E4215" s="10" t="s">
        <v>292</v>
      </c>
    </row>
    <row r="4216" spans="1:5">
      <c r="A4216" s="11">
        <v>42782</v>
      </c>
      <c r="B4216" s="10" t="s">
        <v>8779</v>
      </c>
      <c r="C4216" s="10" t="s">
        <v>8780</v>
      </c>
      <c r="D4216" s="11">
        <v>42782.698506944442</v>
      </c>
      <c r="E4216" s="10" t="s">
        <v>308</v>
      </c>
    </row>
    <row r="4217" spans="1:5">
      <c r="A4217" s="11">
        <v>42782</v>
      </c>
      <c r="B4217" s="10" t="s">
        <v>8781</v>
      </c>
      <c r="C4217" s="10" t="s">
        <v>8782</v>
      </c>
      <c r="D4217" s="11">
        <v>42782.424386574072</v>
      </c>
      <c r="E4217" s="10" t="s">
        <v>433</v>
      </c>
    </row>
    <row r="4218" spans="1:5">
      <c r="A4218" s="11">
        <v>42782</v>
      </c>
      <c r="B4218" s="10" t="s">
        <v>8783</v>
      </c>
      <c r="C4218" s="10" t="s">
        <v>8784</v>
      </c>
      <c r="D4218" s="11">
        <v>42782.440925925926</v>
      </c>
      <c r="E4218" s="10" t="s">
        <v>380</v>
      </c>
    </row>
    <row r="4219" spans="1:5" ht="21.6">
      <c r="A4219" s="11">
        <v>42782</v>
      </c>
      <c r="B4219" s="10" t="s">
        <v>8785</v>
      </c>
      <c r="C4219" s="10" t="s">
        <v>8786</v>
      </c>
      <c r="D4219" s="11">
        <v>42782.44295138889</v>
      </c>
      <c r="E4219" s="10" t="s">
        <v>368</v>
      </c>
    </row>
    <row r="4220" spans="1:5">
      <c r="A4220" s="11">
        <v>42782</v>
      </c>
      <c r="B4220" s="10" t="s">
        <v>8787</v>
      </c>
      <c r="C4220" s="10" t="s">
        <v>8788</v>
      </c>
      <c r="D4220" s="11">
        <v>42782.699884259258</v>
      </c>
      <c r="E4220" s="10" t="s">
        <v>240</v>
      </c>
    </row>
    <row r="4221" spans="1:5">
      <c r="A4221" s="11">
        <v>42782</v>
      </c>
      <c r="B4221" s="10" t="s">
        <v>8789</v>
      </c>
      <c r="C4221" s="10" t="s">
        <v>8790</v>
      </c>
      <c r="D4221" s="11">
        <v>42782.441701388889</v>
      </c>
      <c r="E4221" s="10" t="s">
        <v>237</v>
      </c>
    </row>
    <row r="4222" spans="1:5">
      <c r="A4222" s="11">
        <v>42782</v>
      </c>
      <c r="B4222" s="10" t="s">
        <v>8791</v>
      </c>
      <c r="C4222" s="10" t="s">
        <v>8792</v>
      </c>
      <c r="D4222" s="11">
        <v>42782.443252314813</v>
      </c>
      <c r="E4222" s="10" t="s">
        <v>305</v>
      </c>
    </row>
    <row r="4223" spans="1:5">
      <c r="A4223" s="11">
        <v>42782</v>
      </c>
      <c r="B4223" s="10" t="s">
        <v>8793</v>
      </c>
      <c r="C4223" s="10" t="s">
        <v>8794</v>
      </c>
      <c r="D4223" s="11">
        <v>42782.440972222219</v>
      </c>
      <c r="E4223" s="10" t="s">
        <v>215</v>
      </c>
    </row>
    <row r="4224" spans="1:5">
      <c r="A4224" s="11">
        <v>42782</v>
      </c>
      <c r="B4224" s="10" t="s">
        <v>8795</v>
      </c>
      <c r="C4224" s="10" t="s">
        <v>8796</v>
      </c>
      <c r="D4224" s="11">
        <v>42782.444849537038</v>
      </c>
      <c r="E4224" s="10" t="s">
        <v>96</v>
      </c>
    </row>
    <row r="4225" spans="1:5">
      <c r="A4225" s="11">
        <v>42782</v>
      </c>
      <c r="B4225" s="10" t="s">
        <v>8797</v>
      </c>
      <c r="C4225" s="10" t="s">
        <v>8798</v>
      </c>
      <c r="D4225" s="11">
        <v>42782.445011574076</v>
      </c>
      <c r="E4225" s="10" t="s">
        <v>373</v>
      </c>
    </row>
    <row r="4226" spans="1:5">
      <c r="A4226" s="11">
        <v>42782</v>
      </c>
      <c r="B4226" s="10" t="s">
        <v>8799</v>
      </c>
      <c r="C4226" s="10" t="s">
        <v>8800</v>
      </c>
      <c r="D4226" s="11">
        <v>42782.443819444445</v>
      </c>
      <c r="E4226" s="10" t="s">
        <v>422</v>
      </c>
    </row>
    <row r="4227" spans="1:5">
      <c r="A4227" s="11">
        <v>42782</v>
      </c>
      <c r="B4227" s="10" t="s">
        <v>8801</v>
      </c>
      <c r="C4227" s="10" t="s">
        <v>8802</v>
      </c>
      <c r="D4227" s="11">
        <v>42782.445243055554</v>
      </c>
      <c r="E4227" s="10" t="s">
        <v>240</v>
      </c>
    </row>
    <row r="4228" spans="1:5">
      <c r="A4228" s="11">
        <v>42782</v>
      </c>
      <c r="B4228" s="10" t="s">
        <v>8803</v>
      </c>
      <c r="C4228" s="10" t="s">
        <v>8804</v>
      </c>
      <c r="D4228" s="11">
        <v>42782.447175925925</v>
      </c>
      <c r="E4228" s="10" t="s">
        <v>218</v>
      </c>
    </row>
    <row r="4229" spans="1:5">
      <c r="A4229" s="11">
        <v>42782</v>
      </c>
      <c r="B4229" s="10" t="s">
        <v>8805</v>
      </c>
      <c r="C4229" s="10" t="s">
        <v>8806</v>
      </c>
      <c r="D4229" s="11">
        <v>42782.423831018517</v>
      </c>
      <c r="E4229" s="10" t="s">
        <v>3060</v>
      </c>
    </row>
    <row r="4230" spans="1:5">
      <c r="A4230" s="11">
        <v>42782</v>
      </c>
      <c r="B4230" s="10" t="s">
        <v>8807</v>
      </c>
      <c r="C4230" s="10" t="s">
        <v>8808</v>
      </c>
      <c r="D4230" s="11">
        <v>42782.447569444441</v>
      </c>
      <c r="E4230" s="10" t="s">
        <v>152</v>
      </c>
    </row>
    <row r="4231" spans="1:5">
      <c r="A4231" s="11">
        <v>42782</v>
      </c>
      <c r="B4231" s="10" t="s">
        <v>8809</v>
      </c>
      <c r="C4231" s="10" t="s">
        <v>8810</v>
      </c>
      <c r="D4231" s="11">
        <v>42782.443819444445</v>
      </c>
      <c r="E4231" s="10" t="s">
        <v>433</v>
      </c>
    </row>
    <row r="4232" spans="1:5">
      <c r="A4232" s="11">
        <v>42782</v>
      </c>
      <c r="B4232" s="10" t="s">
        <v>8811</v>
      </c>
      <c r="C4232" s="10" t="s">
        <v>8812</v>
      </c>
      <c r="D4232" s="11">
        <v>42782.438402777778</v>
      </c>
      <c r="E4232" s="10" t="s">
        <v>414</v>
      </c>
    </row>
    <row r="4233" spans="1:5">
      <c r="A4233" s="11">
        <v>42782</v>
      </c>
      <c r="B4233" s="10" t="s">
        <v>8813</v>
      </c>
      <c r="C4233" s="10" t="s">
        <v>8814</v>
      </c>
      <c r="D4233" s="11">
        <v>42782.420474537037</v>
      </c>
      <c r="E4233" s="10" t="s">
        <v>2180</v>
      </c>
    </row>
    <row r="4234" spans="1:5">
      <c r="A4234" s="11">
        <v>42782</v>
      </c>
      <c r="B4234" s="10" t="s">
        <v>8815</v>
      </c>
      <c r="C4234" s="10" t="s">
        <v>8816</v>
      </c>
      <c r="D4234" s="11">
        <v>42782.449247685188</v>
      </c>
      <c r="E4234" s="10" t="s">
        <v>2978</v>
      </c>
    </row>
    <row r="4235" spans="1:5">
      <c r="A4235" s="11">
        <v>42782</v>
      </c>
      <c r="B4235" s="10" t="s">
        <v>8817</v>
      </c>
      <c r="C4235" s="10" t="s">
        <v>8818</v>
      </c>
      <c r="D4235" s="11">
        <v>42782.445393518516</v>
      </c>
      <c r="E4235" s="10" t="s">
        <v>218</v>
      </c>
    </row>
    <row r="4236" spans="1:5">
      <c r="A4236" s="11">
        <v>42782</v>
      </c>
      <c r="B4236" s="10" t="s">
        <v>8819</v>
      </c>
      <c r="C4236" s="10" t="s">
        <v>8820</v>
      </c>
      <c r="D4236" s="11">
        <v>42782.449212962965</v>
      </c>
      <c r="E4236" s="10" t="s">
        <v>96</v>
      </c>
    </row>
    <row r="4237" spans="1:5">
      <c r="A4237" s="11">
        <v>42782</v>
      </c>
      <c r="B4237" s="10" t="s">
        <v>8821</v>
      </c>
      <c r="C4237" s="10" t="s">
        <v>8822</v>
      </c>
      <c r="D4237" s="11">
        <v>42782.446388888886</v>
      </c>
      <c r="E4237" s="10" t="s">
        <v>218</v>
      </c>
    </row>
    <row r="4238" spans="1:5">
      <c r="A4238" s="11">
        <v>42782</v>
      </c>
      <c r="B4238" s="10" t="s">
        <v>8823</v>
      </c>
      <c r="C4238" s="10" t="s">
        <v>8824</v>
      </c>
      <c r="D4238" s="11">
        <v>42782.446759259263</v>
      </c>
      <c r="E4238" s="10" t="s">
        <v>96</v>
      </c>
    </row>
    <row r="4239" spans="1:5">
      <c r="A4239" s="11">
        <v>42782</v>
      </c>
      <c r="B4239" s="10" t="s">
        <v>8825</v>
      </c>
      <c r="C4239" s="10" t="s">
        <v>8826</v>
      </c>
      <c r="D4239" s="11">
        <v>42782.423854166664</v>
      </c>
      <c r="E4239" s="10" t="s">
        <v>2742</v>
      </c>
    </row>
    <row r="4240" spans="1:5">
      <c r="A4240" s="11">
        <v>42782</v>
      </c>
      <c r="B4240" s="10" t="s">
        <v>8827</v>
      </c>
      <c r="C4240" s="10" t="s">
        <v>8828</v>
      </c>
      <c r="D4240" s="11">
        <v>42782.450324074074</v>
      </c>
      <c r="E4240" s="10" t="s">
        <v>859</v>
      </c>
    </row>
    <row r="4241" spans="1:5">
      <c r="A4241" s="11">
        <v>42782</v>
      </c>
      <c r="B4241" s="10" t="s">
        <v>8829</v>
      </c>
      <c r="C4241" s="10" t="s">
        <v>8830</v>
      </c>
      <c r="D4241" s="11">
        <v>42782.436597222222</v>
      </c>
      <c r="E4241" s="10" t="s">
        <v>122</v>
      </c>
    </row>
    <row r="4242" spans="1:5">
      <c r="A4242" s="11">
        <v>42782</v>
      </c>
      <c r="B4242" s="10" t="s">
        <v>8831</v>
      </c>
      <c r="C4242" s="10" t="s">
        <v>8832</v>
      </c>
      <c r="D4242" s="11">
        <v>42782.451574074075</v>
      </c>
      <c r="E4242" s="10" t="s">
        <v>292</v>
      </c>
    </row>
    <row r="4243" spans="1:5">
      <c r="A4243" s="11">
        <v>42782</v>
      </c>
      <c r="B4243" s="10" t="s">
        <v>8833</v>
      </c>
      <c r="C4243" s="10" t="s">
        <v>8834</v>
      </c>
      <c r="D4243" s="11">
        <v>42782.449016203704</v>
      </c>
      <c r="E4243" s="10" t="s">
        <v>240</v>
      </c>
    </row>
    <row r="4244" spans="1:5" ht="21.6">
      <c r="A4244" s="11">
        <v>42782</v>
      </c>
      <c r="B4244" s="10" t="s">
        <v>8835</v>
      </c>
      <c r="C4244" s="10" t="s">
        <v>8836</v>
      </c>
      <c r="D4244" s="11">
        <v>42782.437615740739</v>
      </c>
      <c r="E4244" s="10" t="s">
        <v>966</v>
      </c>
    </row>
    <row r="4245" spans="1:5">
      <c r="A4245" s="11">
        <v>42782</v>
      </c>
      <c r="B4245" s="10" t="s">
        <v>8837</v>
      </c>
      <c r="C4245" s="10" t="s">
        <v>8838</v>
      </c>
      <c r="D4245" s="11">
        <v>42782.45208333333</v>
      </c>
      <c r="E4245" s="10" t="s">
        <v>433</v>
      </c>
    </row>
    <row r="4246" spans="1:5">
      <c r="A4246" s="11">
        <v>42782</v>
      </c>
      <c r="B4246" s="10" t="s">
        <v>8839</v>
      </c>
      <c r="C4246" s="10" t="s">
        <v>8840</v>
      </c>
      <c r="D4246" s="11">
        <v>42782.503483796296</v>
      </c>
      <c r="E4246" s="10" t="s">
        <v>96</v>
      </c>
    </row>
    <row r="4247" spans="1:5">
      <c r="A4247" s="11">
        <v>42782</v>
      </c>
      <c r="B4247" s="10" t="s">
        <v>8841</v>
      </c>
      <c r="C4247" s="10" t="s">
        <v>8842</v>
      </c>
      <c r="D4247" s="11">
        <v>42782.434710648151</v>
      </c>
      <c r="E4247" s="10" t="s">
        <v>656</v>
      </c>
    </row>
    <row r="4248" spans="1:5">
      <c r="A4248" s="11">
        <v>42782</v>
      </c>
      <c r="B4248" s="10" t="s">
        <v>8843</v>
      </c>
      <c r="C4248" s="10" t="s">
        <v>8844</v>
      </c>
      <c r="D4248" s="11">
        <v>42782.452314814815</v>
      </c>
      <c r="E4248" s="10" t="s">
        <v>433</v>
      </c>
    </row>
    <row r="4249" spans="1:5">
      <c r="A4249" s="11">
        <v>42782</v>
      </c>
      <c r="B4249" s="10" t="s">
        <v>8845</v>
      </c>
      <c r="C4249" s="10" t="s">
        <v>8846</v>
      </c>
      <c r="D4249" s="11">
        <v>42782.436076388891</v>
      </c>
      <c r="E4249" s="10" t="s">
        <v>656</v>
      </c>
    </row>
    <row r="4250" spans="1:5">
      <c r="A4250" s="11">
        <v>42782</v>
      </c>
      <c r="B4250" s="10" t="s">
        <v>8847</v>
      </c>
      <c r="C4250" s="10" t="s">
        <v>8848</v>
      </c>
      <c r="D4250" s="11">
        <v>42782.452407407407</v>
      </c>
      <c r="E4250" s="10" t="s">
        <v>193</v>
      </c>
    </row>
    <row r="4251" spans="1:5">
      <c r="A4251" s="11">
        <v>42782</v>
      </c>
      <c r="B4251" s="10" t="s">
        <v>8849</v>
      </c>
      <c r="C4251" s="10" t="s">
        <v>8850</v>
      </c>
      <c r="D4251" s="11">
        <v>42782.429236111115</v>
      </c>
      <c r="E4251" s="10" t="s">
        <v>479</v>
      </c>
    </row>
    <row r="4252" spans="1:5">
      <c r="A4252" s="11">
        <v>42782</v>
      </c>
      <c r="B4252" s="10" t="s">
        <v>8851</v>
      </c>
      <c r="C4252" s="10" t="s">
        <v>8852</v>
      </c>
      <c r="D4252" s="11">
        <v>42782.42696759259</v>
      </c>
      <c r="E4252" s="10" t="s">
        <v>373</v>
      </c>
    </row>
    <row r="4253" spans="1:5">
      <c r="A4253" s="11">
        <v>42782</v>
      </c>
      <c r="B4253" s="10" t="s">
        <v>8853</v>
      </c>
      <c r="C4253" s="10" t="s">
        <v>8854</v>
      </c>
      <c r="D4253" s="11">
        <v>42782.448194444441</v>
      </c>
      <c r="E4253" s="10" t="s">
        <v>656</v>
      </c>
    </row>
    <row r="4254" spans="1:5">
      <c r="A4254" s="11">
        <v>42782</v>
      </c>
      <c r="B4254" s="10" t="s">
        <v>8855</v>
      </c>
      <c r="C4254" s="10" t="s">
        <v>8856</v>
      </c>
      <c r="D4254" s="11">
        <v>42782.437858796293</v>
      </c>
      <c r="E4254" s="10" t="s">
        <v>6712</v>
      </c>
    </row>
    <row r="4255" spans="1:5">
      <c r="A4255" s="11">
        <v>42782</v>
      </c>
      <c r="B4255" s="10" t="s">
        <v>8857</v>
      </c>
      <c r="C4255" s="10" t="s">
        <v>8858</v>
      </c>
      <c r="D4255" s="11">
        <v>42782.45008101852</v>
      </c>
      <c r="E4255" s="10" t="s">
        <v>902</v>
      </c>
    </row>
    <row r="4256" spans="1:5">
      <c r="A4256" s="11">
        <v>42782</v>
      </c>
      <c r="B4256" s="10" t="s">
        <v>8859</v>
      </c>
      <c r="C4256" s="10" t="s">
        <v>8860</v>
      </c>
      <c r="D4256" s="11">
        <v>42782.534756944442</v>
      </c>
      <c r="E4256" s="10" t="s">
        <v>193</v>
      </c>
    </row>
    <row r="4257" spans="1:5">
      <c r="A4257" s="11">
        <v>42782</v>
      </c>
      <c r="B4257" s="10" t="s">
        <v>8861</v>
      </c>
      <c r="C4257" s="10" t="s">
        <v>8862</v>
      </c>
      <c r="D4257" s="11">
        <v>42782.491840277777</v>
      </c>
      <c r="E4257" s="10" t="s">
        <v>308</v>
      </c>
    </row>
    <row r="4258" spans="1:5">
      <c r="A4258" s="11">
        <v>42782</v>
      </c>
      <c r="B4258" s="10" t="s">
        <v>8863</v>
      </c>
      <c r="C4258" s="10" t="s">
        <v>8864</v>
      </c>
      <c r="D4258" s="11">
        <v>42782.428715277776</v>
      </c>
      <c r="E4258" s="10" t="s">
        <v>237</v>
      </c>
    </row>
    <row r="4259" spans="1:5">
      <c r="A4259" s="11">
        <v>42782</v>
      </c>
      <c r="B4259" s="10" t="s">
        <v>8865</v>
      </c>
      <c r="C4259" s="10" t="s">
        <v>8866</v>
      </c>
      <c r="D4259" s="11">
        <v>42782.43949074074</v>
      </c>
      <c r="E4259" s="10" t="s">
        <v>433</v>
      </c>
    </row>
    <row r="4260" spans="1:5" ht="21.6">
      <c r="A4260" s="11">
        <v>42782</v>
      </c>
      <c r="B4260" s="10" t="s">
        <v>8867</v>
      </c>
      <c r="C4260" s="10" t="s">
        <v>8868</v>
      </c>
      <c r="D4260" s="11">
        <v>42782.420763888891</v>
      </c>
      <c r="E4260" s="10" t="s">
        <v>1316</v>
      </c>
    </row>
    <row r="4261" spans="1:5">
      <c r="A4261" s="11">
        <v>42782</v>
      </c>
      <c r="B4261" s="10" t="s">
        <v>8869</v>
      </c>
      <c r="C4261" s="10" t="s">
        <v>8870</v>
      </c>
      <c r="D4261" s="11">
        <v>42782.45584490741</v>
      </c>
      <c r="E4261" s="10" t="s">
        <v>5026</v>
      </c>
    </row>
    <row r="4262" spans="1:5">
      <c r="A4262" s="11">
        <v>42782</v>
      </c>
      <c r="B4262" s="10" t="s">
        <v>8871</v>
      </c>
      <c r="C4262" s="10" t="s">
        <v>8872</v>
      </c>
      <c r="D4262" s="11">
        <v>42782.456331018519</v>
      </c>
      <c r="E4262" s="10" t="s">
        <v>433</v>
      </c>
    </row>
    <row r="4263" spans="1:5">
      <c r="A4263" s="11">
        <v>42782</v>
      </c>
      <c r="B4263" s="10" t="s">
        <v>8873</v>
      </c>
      <c r="C4263" s="10" t="s">
        <v>8874</v>
      </c>
      <c r="D4263" s="11">
        <v>42782.480578703704</v>
      </c>
      <c r="E4263" s="10" t="s">
        <v>237</v>
      </c>
    </row>
    <row r="4264" spans="1:5">
      <c r="A4264" s="11">
        <v>42782</v>
      </c>
      <c r="B4264" s="10" t="s">
        <v>8875</v>
      </c>
      <c r="C4264" s="10" t="s">
        <v>8876</v>
      </c>
      <c r="D4264" s="11">
        <v>42782.45722222222</v>
      </c>
      <c r="E4264" s="10" t="s">
        <v>2912</v>
      </c>
    </row>
    <row r="4265" spans="1:5" ht="21.6">
      <c r="A4265" s="11">
        <v>42782</v>
      </c>
      <c r="B4265" s="10" t="s">
        <v>8877</v>
      </c>
      <c r="C4265" s="10" t="s">
        <v>8878</v>
      </c>
      <c r="D4265" s="11">
        <v>42782.441932870373</v>
      </c>
      <c r="E4265" s="10" t="s">
        <v>368</v>
      </c>
    </row>
    <row r="4266" spans="1:5">
      <c r="A4266" s="11">
        <v>42782</v>
      </c>
      <c r="B4266" s="10" t="s">
        <v>8879</v>
      </c>
      <c r="C4266" s="10" t="s">
        <v>8880</v>
      </c>
      <c r="D4266" s="11">
        <v>42782.422847222224</v>
      </c>
      <c r="E4266" s="10" t="s">
        <v>3434</v>
      </c>
    </row>
    <row r="4267" spans="1:5">
      <c r="A4267" s="11">
        <v>42782</v>
      </c>
      <c r="B4267" s="10" t="s">
        <v>8881</v>
      </c>
      <c r="C4267" s="10" t="s">
        <v>8882</v>
      </c>
      <c r="D4267" s="11">
        <v>42782.436388888891</v>
      </c>
      <c r="E4267" s="10" t="s">
        <v>433</v>
      </c>
    </row>
    <row r="4268" spans="1:5">
      <c r="A4268" s="11">
        <v>42782</v>
      </c>
      <c r="B4268" s="10" t="s">
        <v>8883</v>
      </c>
      <c r="C4268" s="10" t="s">
        <v>8884</v>
      </c>
      <c r="D4268" s="11">
        <v>42782.458414351851</v>
      </c>
      <c r="E4268" s="10" t="s">
        <v>2742</v>
      </c>
    </row>
    <row r="4269" spans="1:5">
      <c r="A4269" s="11">
        <v>42782</v>
      </c>
      <c r="B4269" s="10" t="s">
        <v>8885</v>
      </c>
      <c r="C4269" s="10" t="s">
        <v>8886</v>
      </c>
      <c r="D4269" s="11">
        <v>42782.441736111112</v>
      </c>
      <c r="E4269" s="10" t="s">
        <v>380</v>
      </c>
    </row>
    <row r="4270" spans="1:5">
      <c r="A4270" s="11">
        <v>42782</v>
      </c>
      <c r="B4270" s="10" t="s">
        <v>8887</v>
      </c>
      <c r="C4270" s="10" t="s">
        <v>8888</v>
      </c>
      <c r="D4270" s="11">
        <v>42782.458715277775</v>
      </c>
      <c r="E4270" s="10" t="s">
        <v>240</v>
      </c>
    </row>
    <row r="4271" spans="1:5">
      <c r="A4271" s="11">
        <v>42782</v>
      </c>
      <c r="B4271" s="10" t="s">
        <v>8889</v>
      </c>
      <c r="C4271" s="10" t="s">
        <v>8890</v>
      </c>
      <c r="D4271" s="11">
        <v>42782.454699074071</v>
      </c>
      <c r="E4271" s="10" t="s">
        <v>209</v>
      </c>
    </row>
    <row r="4272" spans="1:5">
      <c r="A4272" s="11">
        <v>42782</v>
      </c>
      <c r="B4272" s="10" t="s">
        <v>8891</v>
      </c>
      <c r="C4272" s="10" t="s">
        <v>8892</v>
      </c>
      <c r="D4272" s="11">
        <v>42782.458831018521</v>
      </c>
      <c r="E4272" s="10" t="s">
        <v>433</v>
      </c>
    </row>
    <row r="4273" spans="1:5">
      <c r="A4273" s="11">
        <v>42782</v>
      </c>
      <c r="B4273" s="10" t="s">
        <v>8893</v>
      </c>
      <c r="C4273" s="10" t="s">
        <v>8894</v>
      </c>
      <c r="D4273" s="11">
        <v>42782.452893518515</v>
      </c>
      <c r="E4273" s="10" t="s">
        <v>380</v>
      </c>
    </row>
    <row r="4274" spans="1:5">
      <c r="A4274" s="11">
        <v>42782</v>
      </c>
      <c r="B4274" s="10" t="s">
        <v>8895</v>
      </c>
      <c r="C4274" s="10" t="s">
        <v>8896</v>
      </c>
      <c r="D4274" s="11">
        <v>42782.448564814818</v>
      </c>
      <c r="E4274" s="10" t="s">
        <v>373</v>
      </c>
    </row>
    <row r="4275" spans="1:5">
      <c r="A4275" s="11">
        <v>42782</v>
      </c>
      <c r="B4275" s="10" t="s">
        <v>8897</v>
      </c>
      <c r="C4275" s="10" t="s">
        <v>8898</v>
      </c>
      <c r="D4275" s="11">
        <v>42782.449363425927</v>
      </c>
      <c r="E4275" s="10" t="s">
        <v>152</v>
      </c>
    </row>
    <row r="4276" spans="1:5">
      <c r="A4276" s="11">
        <v>42782</v>
      </c>
      <c r="B4276" s="10" t="s">
        <v>8899</v>
      </c>
      <c r="C4276" s="10" t="s">
        <v>8900</v>
      </c>
      <c r="D4276" s="11">
        <v>42782.459756944445</v>
      </c>
      <c r="E4276" s="10" t="s">
        <v>96</v>
      </c>
    </row>
    <row r="4277" spans="1:5">
      <c r="A4277" s="11">
        <v>42782</v>
      </c>
      <c r="B4277" s="10" t="s">
        <v>8901</v>
      </c>
      <c r="C4277" s="10" t="s">
        <v>8902</v>
      </c>
      <c r="D4277" s="11">
        <v>42782.441574074073</v>
      </c>
      <c r="E4277" s="10" t="s">
        <v>215</v>
      </c>
    </row>
    <row r="4278" spans="1:5">
      <c r="A4278" s="11">
        <v>42782</v>
      </c>
      <c r="B4278" s="10" t="s">
        <v>8903</v>
      </c>
      <c r="C4278" s="10" t="s">
        <v>8904</v>
      </c>
      <c r="D4278" s="11">
        <v>42782.459803240738</v>
      </c>
      <c r="E4278" s="10" t="s">
        <v>218</v>
      </c>
    </row>
    <row r="4279" spans="1:5">
      <c r="A4279" s="11">
        <v>42782</v>
      </c>
      <c r="B4279" s="10" t="s">
        <v>8905</v>
      </c>
      <c r="C4279" s="10" t="s">
        <v>8906</v>
      </c>
      <c r="D4279" s="11">
        <v>42782.532013888886</v>
      </c>
      <c r="E4279" s="10" t="s">
        <v>479</v>
      </c>
    </row>
    <row r="4280" spans="1:5">
      <c r="A4280" s="11">
        <v>42782</v>
      </c>
      <c r="B4280" s="10" t="s">
        <v>8907</v>
      </c>
      <c r="C4280" s="10" t="s">
        <v>8908</v>
      </c>
      <c r="D4280" s="11">
        <v>42782.470462962963</v>
      </c>
      <c r="E4280" s="10" t="s">
        <v>209</v>
      </c>
    </row>
    <row r="4281" spans="1:5">
      <c r="A4281" s="11">
        <v>42782</v>
      </c>
      <c r="B4281" s="10" t="s">
        <v>8909</v>
      </c>
      <c r="C4281" s="10" t="s">
        <v>8910</v>
      </c>
      <c r="D4281" s="11">
        <v>42782.460185185184</v>
      </c>
      <c r="E4281" s="10" t="s">
        <v>433</v>
      </c>
    </row>
    <row r="4282" spans="1:5">
      <c r="A4282" s="11">
        <v>42782</v>
      </c>
      <c r="B4282" s="10" t="s">
        <v>8911</v>
      </c>
      <c r="C4282" s="10" t="s">
        <v>8912</v>
      </c>
      <c r="D4282" s="11">
        <v>42782.460243055553</v>
      </c>
      <c r="E4282" s="10" t="s">
        <v>8913</v>
      </c>
    </row>
    <row r="4283" spans="1:5">
      <c r="A4283" s="11">
        <v>42782</v>
      </c>
      <c r="B4283" s="10" t="s">
        <v>8914</v>
      </c>
      <c r="C4283" s="10" t="s">
        <v>8915</v>
      </c>
      <c r="D4283" s="11">
        <v>42782.436018518521</v>
      </c>
      <c r="E4283" s="10" t="s">
        <v>122</v>
      </c>
    </row>
    <row r="4284" spans="1:5">
      <c r="A4284" s="11">
        <v>42782</v>
      </c>
      <c r="B4284" s="10" t="s">
        <v>8916</v>
      </c>
      <c r="C4284" s="10" t="s">
        <v>8917</v>
      </c>
      <c r="D4284" s="11">
        <v>42782.42869212963</v>
      </c>
      <c r="E4284" s="10" t="s">
        <v>122</v>
      </c>
    </row>
    <row r="4285" spans="1:5">
      <c r="A4285" s="11">
        <v>42782</v>
      </c>
      <c r="B4285" s="10" t="s">
        <v>8918</v>
      </c>
      <c r="C4285" s="10" t="s">
        <v>8919</v>
      </c>
      <c r="D4285" s="11">
        <v>42782.460740740738</v>
      </c>
      <c r="E4285" s="10" t="s">
        <v>656</v>
      </c>
    </row>
    <row r="4286" spans="1:5">
      <c r="A4286" s="11">
        <v>42782</v>
      </c>
      <c r="B4286" s="10" t="s">
        <v>8920</v>
      </c>
      <c r="C4286" s="10" t="s">
        <v>8921</v>
      </c>
      <c r="D4286" s="11">
        <v>42782.453379629631</v>
      </c>
      <c r="E4286" s="10" t="s">
        <v>380</v>
      </c>
    </row>
    <row r="4287" spans="1:5">
      <c r="A4287" s="11">
        <v>42782</v>
      </c>
      <c r="B4287" s="10" t="s">
        <v>8922</v>
      </c>
      <c r="C4287" s="10" t="s">
        <v>8923</v>
      </c>
      <c r="D4287" s="11">
        <v>42782.434305555558</v>
      </c>
      <c r="E4287" s="10" t="s">
        <v>433</v>
      </c>
    </row>
    <row r="4288" spans="1:5">
      <c r="A4288" s="11">
        <v>42782</v>
      </c>
      <c r="B4288" s="10" t="s">
        <v>8924</v>
      </c>
      <c r="C4288" s="10" t="s">
        <v>8925</v>
      </c>
      <c r="D4288" s="11">
        <v>42782.45239583333</v>
      </c>
      <c r="E4288" s="10" t="s">
        <v>2995</v>
      </c>
    </row>
    <row r="4289" spans="1:5">
      <c r="A4289" s="11">
        <v>42782</v>
      </c>
      <c r="B4289" s="10" t="s">
        <v>8926</v>
      </c>
      <c r="C4289" s="10" t="s">
        <v>8927</v>
      </c>
      <c r="D4289" s="11">
        <v>42782.453935185185</v>
      </c>
      <c r="E4289" s="10" t="s">
        <v>977</v>
      </c>
    </row>
    <row r="4290" spans="1:5">
      <c r="A4290" s="11">
        <v>42782</v>
      </c>
      <c r="B4290" s="10" t="s">
        <v>8928</v>
      </c>
      <c r="C4290" s="10" t="s">
        <v>8929</v>
      </c>
      <c r="D4290" s="11">
        <v>42782.695219907408</v>
      </c>
      <c r="E4290" s="10" t="s">
        <v>683</v>
      </c>
    </row>
    <row r="4291" spans="1:5">
      <c r="A4291" s="11">
        <v>42782</v>
      </c>
      <c r="B4291" s="10" t="s">
        <v>8930</v>
      </c>
      <c r="C4291" s="10" t="s">
        <v>8931</v>
      </c>
      <c r="D4291" s="11">
        <v>42782.462210648147</v>
      </c>
      <c r="E4291" s="10" t="s">
        <v>433</v>
      </c>
    </row>
    <row r="4292" spans="1:5">
      <c r="A4292" s="11">
        <v>42782</v>
      </c>
      <c r="B4292" s="10" t="s">
        <v>8932</v>
      </c>
      <c r="C4292" s="10" t="s">
        <v>8933</v>
      </c>
      <c r="D4292" s="11">
        <v>42782.615555555552</v>
      </c>
      <c r="E4292" s="10" t="s">
        <v>683</v>
      </c>
    </row>
    <row r="4293" spans="1:5">
      <c r="A4293" s="11">
        <v>42782</v>
      </c>
      <c r="B4293" s="10" t="s">
        <v>8934</v>
      </c>
      <c r="C4293" s="10" t="s">
        <v>8935</v>
      </c>
      <c r="D4293" s="11">
        <v>42782.461331018516</v>
      </c>
      <c r="E4293" s="10" t="s">
        <v>335</v>
      </c>
    </row>
    <row r="4294" spans="1:5">
      <c r="A4294" s="11">
        <v>42782</v>
      </c>
      <c r="B4294" s="10" t="s">
        <v>8936</v>
      </c>
      <c r="C4294" s="10" t="s">
        <v>8937</v>
      </c>
      <c r="D4294" s="11">
        <v>42782.464525462965</v>
      </c>
      <c r="E4294" s="10" t="s">
        <v>1319</v>
      </c>
    </row>
    <row r="4295" spans="1:5">
      <c r="A4295" s="11">
        <v>42782</v>
      </c>
      <c r="B4295" s="10" t="s">
        <v>8938</v>
      </c>
      <c r="C4295" s="10" t="s">
        <v>8939</v>
      </c>
      <c r="D4295" s="11">
        <v>42782.463101851848</v>
      </c>
      <c r="E4295" s="10" t="s">
        <v>152</v>
      </c>
    </row>
    <row r="4296" spans="1:5">
      <c r="A4296" s="11">
        <v>42782</v>
      </c>
      <c r="B4296" s="10" t="s">
        <v>8940</v>
      </c>
      <c r="C4296" s="10" t="s">
        <v>8941</v>
      </c>
      <c r="D4296" s="11">
        <v>42782.465902777774</v>
      </c>
      <c r="E4296" s="10" t="s">
        <v>1208</v>
      </c>
    </row>
    <row r="4297" spans="1:5">
      <c r="A4297" s="11">
        <v>42782</v>
      </c>
      <c r="B4297" s="10" t="s">
        <v>8942</v>
      </c>
      <c r="C4297" s="10" t="s">
        <v>8943</v>
      </c>
      <c r="D4297" s="11">
        <v>42782.524918981479</v>
      </c>
      <c r="E4297" s="10" t="s">
        <v>4865</v>
      </c>
    </row>
    <row r="4298" spans="1:5">
      <c r="A4298" s="11">
        <v>42782</v>
      </c>
      <c r="B4298" s="10" t="s">
        <v>8944</v>
      </c>
      <c r="C4298" s="10" t="s">
        <v>8945</v>
      </c>
      <c r="D4298" s="11">
        <v>42782.464328703703</v>
      </c>
      <c r="E4298" s="10" t="s">
        <v>96</v>
      </c>
    </row>
    <row r="4299" spans="1:5">
      <c r="A4299" s="11">
        <v>42782</v>
      </c>
      <c r="B4299" s="10" t="s">
        <v>8946</v>
      </c>
      <c r="C4299" s="10" t="s">
        <v>8947</v>
      </c>
      <c r="D4299" s="11">
        <v>42782.467210648145</v>
      </c>
      <c r="E4299" s="10" t="s">
        <v>433</v>
      </c>
    </row>
    <row r="4300" spans="1:5">
      <c r="A4300" s="11">
        <v>42782</v>
      </c>
      <c r="B4300" s="10" t="s">
        <v>8948</v>
      </c>
      <c r="C4300" s="10" t="s">
        <v>8949</v>
      </c>
      <c r="D4300" s="11">
        <v>42782.466550925928</v>
      </c>
      <c r="E4300" s="10" t="s">
        <v>373</v>
      </c>
    </row>
    <row r="4301" spans="1:5">
      <c r="A4301" s="11">
        <v>42782</v>
      </c>
      <c r="B4301" s="10" t="s">
        <v>8950</v>
      </c>
      <c r="C4301" s="10" t="s">
        <v>8951</v>
      </c>
      <c r="D4301" s="11">
        <v>42782.467465277776</v>
      </c>
      <c r="E4301" s="10" t="s">
        <v>707</v>
      </c>
    </row>
    <row r="4302" spans="1:5">
      <c r="A4302" s="11">
        <v>42782</v>
      </c>
      <c r="B4302" s="10" t="s">
        <v>8952</v>
      </c>
      <c r="C4302" s="10" t="s">
        <v>8953</v>
      </c>
      <c r="D4302" s="11">
        <v>42782.465138888889</v>
      </c>
      <c r="E4302" s="10" t="s">
        <v>373</v>
      </c>
    </row>
    <row r="4303" spans="1:5">
      <c r="A4303" s="11">
        <v>42782</v>
      </c>
      <c r="B4303" s="10" t="s">
        <v>8954</v>
      </c>
      <c r="C4303" s="10" t="s">
        <v>8955</v>
      </c>
      <c r="D4303" s="11">
        <v>42782.468842592592</v>
      </c>
      <c r="E4303" s="10" t="s">
        <v>1683</v>
      </c>
    </row>
    <row r="4304" spans="1:5">
      <c r="A4304" s="11">
        <v>42782</v>
      </c>
      <c r="B4304" s="10" t="s">
        <v>8956</v>
      </c>
      <c r="C4304" s="10" t="s">
        <v>8957</v>
      </c>
      <c r="D4304" s="11">
        <v>42782.465717592589</v>
      </c>
      <c r="E4304" s="10" t="s">
        <v>193</v>
      </c>
    </row>
    <row r="4305" spans="1:5">
      <c r="A4305" s="11">
        <v>42782</v>
      </c>
      <c r="B4305" s="10" t="s">
        <v>8958</v>
      </c>
      <c r="C4305" s="10" t="s">
        <v>8959</v>
      </c>
      <c r="D4305" s="11">
        <v>42782.47</v>
      </c>
      <c r="E4305" s="10" t="s">
        <v>433</v>
      </c>
    </row>
    <row r="4306" spans="1:5">
      <c r="A4306" s="11">
        <v>42782</v>
      </c>
      <c r="B4306" s="10" t="s">
        <v>8960</v>
      </c>
      <c r="C4306" s="10" t="s">
        <v>8961</v>
      </c>
      <c r="D4306" s="11">
        <v>42782.46601851852</v>
      </c>
      <c r="E4306" s="10" t="s">
        <v>218</v>
      </c>
    </row>
    <row r="4307" spans="1:5">
      <c r="A4307" s="11">
        <v>42782</v>
      </c>
      <c r="B4307" s="10" t="s">
        <v>8962</v>
      </c>
      <c r="C4307" s="10" t="s">
        <v>8963</v>
      </c>
      <c r="D4307" s="11">
        <v>42782.599722222221</v>
      </c>
      <c r="E4307" s="10" t="s">
        <v>1867</v>
      </c>
    </row>
    <row r="4308" spans="1:5">
      <c r="A4308" s="11">
        <v>42782</v>
      </c>
      <c r="B4308" s="10" t="s">
        <v>8964</v>
      </c>
      <c r="C4308" s="10" t="s">
        <v>8965</v>
      </c>
      <c r="D4308" s="11">
        <v>42782.469513888886</v>
      </c>
      <c r="E4308" s="10" t="s">
        <v>2515</v>
      </c>
    </row>
    <row r="4309" spans="1:5">
      <c r="A4309" s="11">
        <v>42782</v>
      </c>
      <c r="B4309" s="10" t="s">
        <v>8966</v>
      </c>
      <c r="C4309" s="10" t="s">
        <v>8967</v>
      </c>
      <c r="D4309" s="11">
        <v>42782.469039351854</v>
      </c>
      <c r="E4309" s="10" t="s">
        <v>656</v>
      </c>
    </row>
    <row r="4310" spans="1:5">
      <c r="A4310" s="11">
        <v>42782</v>
      </c>
      <c r="B4310" s="10" t="s">
        <v>8968</v>
      </c>
      <c r="C4310" s="10" t="s">
        <v>8969</v>
      </c>
      <c r="D4310" s="11">
        <v>42782.468564814815</v>
      </c>
      <c r="E4310" s="10" t="s">
        <v>240</v>
      </c>
    </row>
    <row r="4311" spans="1:5">
      <c r="A4311" s="11">
        <v>42782</v>
      </c>
      <c r="B4311" s="10" t="s">
        <v>8970</v>
      </c>
      <c r="C4311" s="10" t="s">
        <v>8971</v>
      </c>
      <c r="D4311" s="11">
        <v>42782.471203703702</v>
      </c>
      <c r="E4311" s="10" t="s">
        <v>232</v>
      </c>
    </row>
    <row r="4312" spans="1:5">
      <c r="A4312" s="11">
        <v>42782</v>
      </c>
      <c r="B4312" s="10" t="s">
        <v>8972</v>
      </c>
      <c r="C4312" s="10" t="s">
        <v>8973</v>
      </c>
      <c r="D4312" s="11">
        <v>42782.467789351853</v>
      </c>
      <c r="E4312" s="10" t="s">
        <v>433</v>
      </c>
    </row>
    <row r="4313" spans="1:5">
      <c r="A4313" s="11">
        <v>42782</v>
      </c>
      <c r="B4313" s="10" t="s">
        <v>8974</v>
      </c>
      <c r="C4313" s="10" t="s">
        <v>8975</v>
      </c>
      <c r="D4313" s="11">
        <v>42782.47184027778</v>
      </c>
      <c r="E4313" s="10" t="s">
        <v>433</v>
      </c>
    </row>
    <row r="4314" spans="1:5">
      <c r="A4314" s="11">
        <v>42782</v>
      </c>
      <c r="B4314" s="10" t="s">
        <v>8976</v>
      </c>
      <c r="C4314" s="10" t="s">
        <v>8977</v>
      </c>
      <c r="D4314" s="11">
        <v>42782.470972222225</v>
      </c>
      <c r="E4314" s="10" t="s">
        <v>625</v>
      </c>
    </row>
    <row r="4315" spans="1:5">
      <c r="A4315" s="11">
        <v>42782</v>
      </c>
      <c r="B4315" s="10" t="s">
        <v>8978</v>
      </c>
      <c r="C4315" s="10" t="s">
        <v>8979</v>
      </c>
      <c r="D4315" s="11">
        <v>42782.467789351853</v>
      </c>
      <c r="E4315" s="10" t="s">
        <v>422</v>
      </c>
    </row>
    <row r="4316" spans="1:5">
      <c r="A4316" s="11">
        <v>42782</v>
      </c>
      <c r="B4316" s="10" t="s">
        <v>8980</v>
      </c>
      <c r="C4316" s="10" t="s">
        <v>8981</v>
      </c>
      <c r="D4316" s="11">
        <v>42782.472025462965</v>
      </c>
      <c r="E4316" s="10" t="s">
        <v>308</v>
      </c>
    </row>
    <row r="4317" spans="1:5">
      <c r="A4317" s="11">
        <v>42782</v>
      </c>
      <c r="B4317" s="10" t="s">
        <v>8982</v>
      </c>
      <c r="C4317" s="10" t="s">
        <v>8983</v>
      </c>
      <c r="D4317" s="11">
        <v>42782.472812499997</v>
      </c>
      <c r="E4317" s="10" t="s">
        <v>178</v>
      </c>
    </row>
    <row r="4318" spans="1:5">
      <c r="A4318" s="11">
        <v>42782</v>
      </c>
      <c r="B4318" s="10" t="s">
        <v>8984</v>
      </c>
      <c r="C4318" s="10" t="s">
        <v>8985</v>
      </c>
      <c r="D4318" s="11">
        <v>42782.473425925928</v>
      </c>
      <c r="E4318" s="10" t="s">
        <v>122</v>
      </c>
    </row>
    <row r="4319" spans="1:5">
      <c r="A4319" s="11">
        <v>42782</v>
      </c>
      <c r="B4319" s="10" t="s">
        <v>8986</v>
      </c>
      <c r="C4319" s="10" t="s">
        <v>8987</v>
      </c>
      <c r="D4319" s="11">
        <v>42782.471574074072</v>
      </c>
      <c r="E4319" s="10" t="s">
        <v>380</v>
      </c>
    </row>
    <row r="4320" spans="1:5">
      <c r="A4320" s="11">
        <v>42782</v>
      </c>
      <c r="B4320" s="10" t="s">
        <v>8988</v>
      </c>
      <c r="C4320" s="10" t="s">
        <v>8989</v>
      </c>
      <c r="D4320" s="11">
        <v>42782.47451388889</v>
      </c>
      <c r="E4320" s="10" t="s">
        <v>1361</v>
      </c>
    </row>
    <row r="4321" spans="1:5">
      <c r="A4321" s="11">
        <v>42782</v>
      </c>
      <c r="B4321" s="10" t="s">
        <v>8990</v>
      </c>
      <c r="C4321" s="10" t="s">
        <v>8991</v>
      </c>
      <c r="D4321" s="11">
        <v>42782.474756944444</v>
      </c>
      <c r="E4321" s="10" t="s">
        <v>178</v>
      </c>
    </row>
    <row r="4322" spans="1:5">
      <c r="A4322" s="11">
        <v>42782</v>
      </c>
      <c r="B4322" s="10" t="s">
        <v>8992</v>
      </c>
      <c r="C4322" s="10" t="s">
        <v>8993</v>
      </c>
      <c r="D4322" s="11">
        <v>42782.469710648147</v>
      </c>
      <c r="E4322" s="10" t="s">
        <v>373</v>
      </c>
    </row>
    <row r="4323" spans="1:5">
      <c r="A4323" s="11">
        <v>42782</v>
      </c>
      <c r="B4323" s="10" t="s">
        <v>8994</v>
      </c>
      <c r="C4323" s="10" t="s">
        <v>8995</v>
      </c>
      <c r="D4323" s="11">
        <v>42782.475648148145</v>
      </c>
      <c r="E4323" s="10" t="s">
        <v>433</v>
      </c>
    </row>
    <row r="4324" spans="1:5">
      <c r="A4324" s="11">
        <v>42782</v>
      </c>
      <c r="B4324" s="10" t="s">
        <v>8996</v>
      </c>
      <c r="C4324" s="10" t="s">
        <v>8997</v>
      </c>
      <c r="D4324" s="11">
        <v>42782.475787037038</v>
      </c>
      <c r="E4324" s="10" t="s">
        <v>193</v>
      </c>
    </row>
    <row r="4325" spans="1:5">
      <c r="A4325" s="11">
        <v>42782</v>
      </c>
      <c r="B4325" s="10" t="s">
        <v>8998</v>
      </c>
      <c r="C4325" s="10" t="s">
        <v>8999</v>
      </c>
      <c r="D4325" s="11">
        <v>42782.47583333333</v>
      </c>
      <c r="E4325" s="10" t="s">
        <v>292</v>
      </c>
    </row>
    <row r="4326" spans="1:5">
      <c r="A4326" s="11">
        <v>42782</v>
      </c>
      <c r="B4326" s="10" t="s">
        <v>9000</v>
      </c>
      <c r="C4326" s="10" t="s">
        <v>9001</v>
      </c>
      <c r="D4326" s="11">
        <v>42782.467476851853</v>
      </c>
      <c r="E4326" s="10" t="s">
        <v>373</v>
      </c>
    </row>
    <row r="4327" spans="1:5" ht="21.6">
      <c r="A4327" s="11">
        <v>42782</v>
      </c>
      <c r="B4327" s="10" t="s">
        <v>9002</v>
      </c>
      <c r="C4327" s="10" t="s">
        <v>9003</v>
      </c>
      <c r="D4327" s="11">
        <v>42782.476238425923</v>
      </c>
      <c r="E4327" s="10" t="s">
        <v>2299</v>
      </c>
    </row>
    <row r="4328" spans="1:5">
      <c r="A4328" s="11">
        <v>42782</v>
      </c>
      <c r="B4328" s="10" t="s">
        <v>9004</v>
      </c>
      <c r="C4328" s="10" t="s">
        <v>9005</v>
      </c>
      <c r="D4328" s="11">
        <v>42782.476400462961</v>
      </c>
      <c r="E4328" s="10" t="s">
        <v>193</v>
      </c>
    </row>
    <row r="4329" spans="1:5" ht="21.6">
      <c r="A4329" s="11">
        <v>42782</v>
      </c>
      <c r="B4329" s="10" t="s">
        <v>9006</v>
      </c>
      <c r="C4329" s="10" t="s">
        <v>9007</v>
      </c>
      <c r="D4329" s="11">
        <v>42782.476446759261</v>
      </c>
      <c r="E4329" s="10" t="s">
        <v>2299</v>
      </c>
    </row>
    <row r="4330" spans="1:5">
      <c r="A4330" s="11">
        <v>42782</v>
      </c>
      <c r="B4330" s="10" t="s">
        <v>9008</v>
      </c>
      <c r="C4330" s="10" t="s">
        <v>9009</v>
      </c>
      <c r="D4330" s="11">
        <v>42782.472372685188</v>
      </c>
      <c r="E4330" s="10" t="s">
        <v>433</v>
      </c>
    </row>
    <row r="4331" spans="1:5">
      <c r="A4331" s="11">
        <v>42782</v>
      </c>
      <c r="B4331" s="10" t="s">
        <v>9010</v>
      </c>
      <c r="C4331" s="10" t="s">
        <v>9011</v>
      </c>
      <c r="D4331" s="11">
        <v>42782.472662037035</v>
      </c>
      <c r="E4331" s="10" t="s">
        <v>178</v>
      </c>
    </row>
    <row r="4332" spans="1:5" ht="21.6">
      <c r="A4332" s="11">
        <v>42782</v>
      </c>
      <c r="B4332" s="10" t="s">
        <v>9012</v>
      </c>
      <c r="C4332" s="10" t="s">
        <v>9013</v>
      </c>
      <c r="D4332" s="11">
        <v>42782.476956018516</v>
      </c>
      <c r="E4332" s="10" t="s">
        <v>2299</v>
      </c>
    </row>
    <row r="4333" spans="1:5">
      <c r="A4333" s="11">
        <v>42782</v>
      </c>
      <c r="B4333" s="10" t="s">
        <v>9014</v>
      </c>
      <c r="C4333" s="10" t="s">
        <v>9015</v>
      </c>
      <c r="D4333" s="11">
        <v>42782.657511574071</v>
      </c>
      <c r="E4333" s="10" t="s">
        <v>422</v>
      </c>
    </row>
    <row r="4334" spans="1:5">
      <c r="A4334" s="11">
        <v>42782</v>
      </c>
      <c r="B4334" s="10" t="s">
        <v>9016</v>
      </c>
      <c r="C4334" s="10" t="s">
        <v>9017</v>
      </c>
      <c r="D4334" s="11">
        <v>42782.477349537039</v>
      </c>
      <c r="E4334" s="10" t="s">
        <v>433</v>
      </c>
    </row>
    <row r="4335" spans="1:5" ht="21.6">
      <c r="A4335" s="11">
        <v>42782</v>
      </c>
      <c r="B4335" s="10" t="s">
        <v>9018</v>
      </c>
      <c r="C4335" s="10" t="s">
        <v>9019</v>
      </c>
      <c r="D4335" s="11">
        <v>42782.47755787037</v>
      </c>
      <c r="E4335" s="10" t="s">
        <v>2299</v>
      </c>
    </row>
    <row r="4336" spans="1:5">
      <c r="A4336" s="11">
        <v>42782</v>
      </c>
      <c r="B4336" s="10" t="s">
        <v>9020</v>
      </c>
      <c r="C4336" s="10" t="s">
        <v>9021</v>
      </c>
      <c r="D4336" s="11">
        <v>42782.477789351855</v>
      </c>
      <c r="E4336" s="10" t="s">
        <v>1103</v>
      </c>
    </row>
    <row r="4337" spans="1:5">
      <c r="A4337" s="11">
        <v>42782</v>
      </c>
      <c r="B4337" s="10" t="s">
        <v>9022</v>
      </c>
      <c r="C4337" s="10" t="s">
        <v>9023</v>
      </c>
      <c r="D4337" s="11">
        <v>42782.477847222224</v>
      </c>
      <c r="E4337" s="10" t="s">
        <v>122</v>
      </c>
    </row>
    <row r="4338" spans="1:5">
      <c r="A4338" s="11">
        <v>42782</v>
      </c>
      <c r="B4338" s="10" t="s">
        <v>9024</v>
      </c>
      <c r="C4338" s="10" t="s">
        <v>9025</v>
      </c>
      <c r="D4338" s="11">
        <v>42782.47797453704</v>
      </c>
      <c r="E4338" s="10" t="s">
        <v>1103</v>
      </c>
    </row>
    <row r="4339" spans="1:5">
      <c r="A4339" s="11">
        <v>42782</v>
      </c>
      <c r="B4339" s="10" t="s">
        <v>9026</v>
      </c>
      <c r="C4339" s="10" t="s">
        <v>9027</v>
      </c>
      <c r="D4339" s="11">
        <v>42782.474733796298</v>
      </c>
      <c r="E4339" s="10" t="s">
        <v>240</v>
      </c>
    </row>
    <row r="4340" spans="1:5">
      <c r="A4340" s="11">
        <v>42782</v>
      </c>
      <c r="B4340" s="10" t="s">
        <v>9028</v>
      </c>
      <c r="C4340" s="10" t="s">
        <v>9029</v>
      </c>
      <c r="D4340" s="11">
        <v>42782.479699074072</v>
      </c>
      <c r="E4340" s="10" t="s">
        <v>1103</v>
      </c>
    </row>
    <row r="4341" spans="1:5" ht="21.6">
      <c r="A4341" s="11">
        <v>42782</v>
      </c>
      <c r="B4341" s="10" t="s">
        <v>9030</v>
      </c>
      <c r="C4341" s="10" t="s">
        <v>9031</v>
      </c>
      <c r="D4341" s="11">
        <v>42782.477696759262</v>
      </c>
      <c r="E4341" s="10" t="s">
        <v>2299</v>
      </c>
    </row>
    <row r="4342" spans="1:5">
      <c r="A4342" s="11">
        <v>42782</v>
      </c>
      <c r="B4342" s="10" t="s">
        <v>9032</v>
      </c>
      <c r="C4342" s="10" t="s">
        <v>9033</v>
      </c>
      <c r="D4342" s="11">
        <v>42782.48065972222</v>
      </c>
      <c r="E4342" s="10" t="s">
        <v>1361</v>
      </c>
    </row>
    <row r="4343" spans="1:5">
      <c r="A4343" s="11">
        <v>42782</v>
      </c>
      <c r="B4343" s="10" t="s">
        <v>9034</v>
      </c>
      <c r="C4343" s="10" t="s">
        <v>9035</v>
      </c>
      <c r="D4343" s="11">
        <v>42782.461192129631</v>
      </c>
      <c r="E4343" s="10" t="s">
        <v>2515</v>
      </c>
    </row>
    <row r="4344" spans="1:5">
      <c r="A4344" s="11">
        <v>42782</v>
      </c>
      <c r="B4344" s="10" t="s">
        <v>9036</v>
      </c>
      <c r="C4344" s="10" t="s">
        <v>9037</v>
      </c>
      <c r="D4344" s="11">
        <v>42782.47111111111</v>
      </c>
      <c r="E4344" s="10" t="s">
        <v>433</v>
      </c>
    </row>
    <row r="4345" spans="1:5">
      <c r="A4345" s="11">
        <v>42782</v>
      </c>
      <c r="B4345" s="10" t="s">
        <v>9038</v>
      </c>
      <c r="C4345" s="10" t="s">
        <v>9039</v>
      </c>
      <c r="D4345" s="11">
        <v>42782.467627314814</v>
      </c>
      <c r="E4345" s="10" t="s">
        <v>215</v>
      </c>
    </row>
    <row r="4346" spans="1:5">
      <c r="A4346" s="11">
        <v>42782</v>
      </c>
      <c r="B4346" s="10" t="s">
        <v>9040</v>
      </c>
      <c r="C4346" s="10" t="s">
        <v>9041</v>
      </c>
      <c r="D4346" s="11">
        <v>42782.481087962966</v>
      </c>
      <c r="E4346" s="10" t="s">
        <v>218</v>
      </c>
    </row>
    <row r="4347" spans="1:5">
      <c r="A4347" s="11">
        <v>42782</v>
      </c>
      <c r="B4347" s="10" t="s">
        <v>9042</v>
      </c>
      <c r="C4347" s="10" t="s">
        <v>9043</v>
      </c>
      <c r="D4347" s="11">
        <v>42782.468113425923</v>
      </c>
      <c r="E4347" s="10" t="s">
        <v>215</v>
      </c>
    </row>
    <row r="4348" spans="1:5">
      <c r="A4348" s="11">
        <v>42782</v>
      </c>
      <c r="B4348" s="10" t="s">
        <v>9044</v>
      </c>
      <c r="C4348" s="10" t="s">
        <v>9045</v>
      </c>
      <c r="D4348" s="11">
        <v>42782.474456018521</v>
      </c>
      <c r="E4348" s="10" t="s">
        <v>2266</v>
      </c>
    </row>
    <row r="4349" spans="1:5">
      <c r="A4349" s="11">
        <v>42782</v>
      </c>
      <c r="B4349" s="10" t="s">
        <v>9046</v>
      </c>
      <c r="C4349" s="10" t="s">
        <v>9047</v>
      </c>
      <c r="D4349" s="11">
        <v>42782.480393518519</v>
      </c>
      <c r="E4349" s="10" t="s">
        <v>152</v>
      </c>
    </row>
    <row r="4350" spans="1:5">
      <c r="A4350" s="11">
        <v>42782</v>
      </c>
      <c r="B4350" s="10" t="s">
        <v>9048</v>
      </c>
      <c r="C4350" s="10" t="s">
        <v>9049</v>
      </c>
      <c r="D4350" s="11">
        <v>42782.607951388891</v>
      </c>
      <c r="E4350" s="10" t="s">
        <v>105</v>
      </c>
    </row>
    <row r="4351" spans="1:5">
      <c r="A4351" s="11">
        <v>42782</v>
      </c>
      <c r="B4351" s="10" t="s">
        <v>9050</v>
      </c>
      <c r="C4351" s="10" t="s">
        <v>9051</v>
      </c>
      <c r="D4351" s="11">
        <v>42782.481886574074</v>
      </c>
      <c r="E4351" s="10" t="s">
        <v>215</v>
      </c>
    </row>
    <row r="4352" spans="1:5">
      <c r="A4352" s="11">
        <v>42782</v>
      </c>
      <c r="B4352" s="10" t="s">
        <v>9052</v>
      </c>
      <c r="C4352" s="10" t="s">
        <v>9053</v>
      </c>
      <c r="D4352" s="11">
        <v>42782.463796296295</v>
      </c>
      <c r="E4352" s="10" t="s">
        <v>433</v>
      </c>
    </row>
    <row r="4353" spans="1:5">
      <c r="A4353" s="11">
        <v>42782</v>
      </c>
      <c r="B4353" s="10" t="s">
        <v>9054</v>
      </c>
      <c r="C4353" s="10" t="s">
        <v>9055</v>
      </c>
      <c r="D4353" s="11">
        <v>42782.463414351849</v>
      </c>
      <c r="E4353" s="10" t="s">
        <v>625</v>
      </c>
    </row>
    <row r="4354" spans="1:5">
      <c r="A4354" s="11">
        <v>42782</v>
      </c>
      <c r="B4354" s="10" t="s">
        <v>9056</v>
      </c>
      <c r="C4354" s="10" t="s">
        <v>9057</v>
      </c>
      <c r="D4354" s="11">
        <v>42782.46130787037</v>
      </c>
      <c r="E4354" s="10" t="s">
        <v>683</v>
      </c>
    </row>
    <row r="4355" spans="1:5">
      <c r="A4355" s="11">
        <v>42782</v>
      </c>
      <c r="B4355" s="10" t="s">
        <v>9058</v>
      </c>
      <c r="C4355" s="10" t="s">
        <v>9059</v>
      </c>
      <c r="D4355" s="11">
        <v>42782.481574074074</v>
      </c>
      <c r="E4355" s="10" t="s">
        <v>2201</v>
      </c>
    </row>
    <row r="4356" spans="1:5">
      <c r="A4356" s="11">
        <v>42782</v>
      </c>
      <c r="B4356" s="10" t="s">
        <v>9060</v>
      </c>
      <c r="C4356" s="10" t="s">
        <v>9061</v>
      </c>
      <c r="D4356" s="11">
        <v>42782.468460648146</v>
      </c>
      <c r="E4356" s="10" t="s">
        <v>320</v>
      </c>
    </row>
    <row r="4357" spans="1:5">
      <c r="A4357" s="11">
        <v>42782</v>
      </c>
      <c r="B4357" s="10" t="s">
        <v>9062</v>
      </c>
      <c r="C4357" s="10" t="s">
        <v>9063</v>
      </c>
      <c r="D4357" s="11">
        <v>42782.484016203707</v>
      </c>
      <c r="E4357" s="10" t="s">
        <v>2299</v>
      </c>
    </row>
    <row r="4358" spans="1:5">
      <c r="A4358" s="11">
        <v>42782</v>
      </c>
      <c r="B4358" s="10" t="s">
        <v>9064</v>
      </c>
      <c r="C4358" s="10" t="s">
        <v>9065</v>
      </c>
      <c r="D4358" s="11">
        <v>42782.484074074076</v>
      </c>
      <c r="E4358" s="10" t="s">
        <v>2299</v>
      </c>
    </row>
    <row r="4359" spans="1:5">
      <c r="A4359" s="11">
        <v>42782</v>
      </c>
      <c r="B4359" s="10" t="s">
        <v>9066</v>
      </c>
      <c r="C4359" s="10" t="s">
        <v>9067</v>
      </c>
      <c r="D4359" s="11">
        <v>42782.478576388887</v>
      </c>
      <c r="E4359" s="10" t="s">
        <v>433</v>
      </c>
    </row>
    <row r="4360" spans="1:5">
      <c r="A4360" s="11">
        <v>42782</v>
      </c>
      <c r="B4360" s="10" t="s">
        <v>9068</v>
      </c>
      <c r="C4360" s="10" t="s">
        <v>9069</v>
      </c>
      <c r="D4360" s="11">
        <v>42782.479826388888</v>
      </c>
      <c r="E4360" s="10" t="s">
        <v>193</v>
      </c>
    </row>
    <row r="4361" spans="1:5">
      <c r="A4361" s="11">
        <v>42782</v>
      </c>
      <c r="B4361" s="10" t="s">
        <v>9070</v>
      </c>
      <c r="C4361" s="10" t="s">
        <v>9071</v>
      </c>
      <c r="D4361" s="11">
        <v>42782.484756944446</v>
      </c>
      <c r="E4361" s="10" t="s">
        <v>433</v>
      </c>
    </row>
    <row r="4362" spans="1:5">
      <c r="A4362" s="11">
        <v>42782</v>
      </c>
      <c r="B4362" s="10" t="s">
        <v>9072</v>
      </c>
      <c r="C4362" s="10" t="s">
        <v>9073</v>
      </c>
      <c r="D4362" s="11">
        <v>42782.462523148148</v>
      </c>
      <c r="E4362" s="10" t="s">
        <v>5387</v>
      </c>
    </row>
    <row r="4363" spans="1:5">
      <c r="A4363" s="11">
        <v>42782</v>
      </c>
      <c r="B4363" s="10" t="s">
        <v>9074</v>
      </c>
      <c r="C4363" s="10" t="s">
        <v>9075</v>
      </c>
      <c r="D4363" s="11">
        <v>42782.47861111111</v>
      </c>
      <c r="E4363" s="10" t="s">
        <v>2442</v>
      </c>
    </row>
    <row r="4364" spans="1:5">
      <c r="A4364" s="11">
        <v>42782</v>
      </c>
      <c r="B4364" s="10" t="s">
        <v>9076</v>
      </c>
      <c r="C4364" s="10" t="s">
        <v>9077</v>
      </c>
      <c r="D4364" s="11">
        <v>42782.47797453704</v>
      </c>
      <c r="E4364" s="10" t="s">
        <v>209</v>
      </c>
    </row>
    <row r="4365" spans="1:5">
      <c r="A4365" s="11">
        <v>42782</v>
      </c>
      <c r="B4365" s="10" t="s">
        <v>9078</v>
      </c>
      <c r="C4365" s="10" t="s">
        <v>9079</v>
      </c>
      <c r="D4365" s="11">
        <v>42782.461342592593</v>
      </c>
      <c r="E4365" s="10" t="s">
        <v>96</v>
      </c>
    </row>
    <row r="4366" spans="1:5">
      <c r="A4366" s="11">
        <v>42782</v>
      </c>
      <c r="B4366" s="10" t="s">
        <v>9080</v>
      </c>
      <c r="C4366" s="10" t="s">
        <v>9081</v>
      </c>
      <c r="D4366" s="11">
        <v>42782.476782407408</v>
      </c>
      <c r="E4366" s="10" t="s">
        <v>2442</v>
      </c>
    </row>
    <row r="4367" spans="1:5">
      <c r="A4367" s="11">
        <v>42782</v>
      </c>
      <c r="B4367" s="10" t="s">
        <v>9082</v>
      </c>
      <c r="C4367" s="10" t="s">
        <v>9083</v>
      </c>
      <c r="D4367" s="11">
        <v>42782.465462962966</v>
      </c>
      <c r="E4367" s="10" t="s">
        <v>218</v>
      </c>
    </row>
    <row r="4368" spans="1:5">
      <c r="A4368" s="11">
        <v>42782</v>
      </c>
      <c r="B4368" s="10" t="s">
        <v>9084</v>
      </c>
      <c r="C4368" s="10" t="s">
        <v>9085</v>
      </c>
      <c r="D4368" s="11">
        <v>42782.485486111109</v>
      </c>
      <c r="E4368" s="10" t="s">
        <v>320</v>
      </c>
    </row>
    <row r="4369" spans="1:5">
      <c r="A4369" s="11">
        <v>42782</v>
      </c>
      <c r="B4369" s="10" t="s">
        <v>9086</v>
      </c>
      <c r="C4369" s="10" t="s">
        <v>9087</v>
      </c>
      <c r="D4369" s="11">
        <v>42782.485763888886</v>
      </c>
      <c r="E4369" s="10" t="s">
        <v>237</v>
      </c>
    </row>
    <row r="4370" spans="1:5">
      <c r="A4370" s="11">
        <v>42782</v>
      </c>
      <c r="B4370" s="10" t="s">
        <v>9088</v>
      </c>
      <c r="C4370" s="10" t="s">
        <v>9089</v>
      </c>
      <c r="D4370" s="11">
        <v>42782.482002314813</v>
      </c>
      <c r="E4370" s="10" t="s">
        <v>433</v>
      </c>
    </row>
    <row r="4371" spans="1:5">
      <c r="A4371" s="11">
        <v>42782</v>
      </c>
      <c r="B4371" s="10" t="s">
        <v>9090</v>
      </c>
      <c r="C4371" s="10" t="s">
        <v>9091</v>
      </c>
      <c r="D4371" s="11">
        <v>42782.462754629632</v>
      </c>
      <c r="E4371" s="10" t="s">
        <v>373</v>
      </c>
    </row>
    <row r="4372" spans="1:5">
      <c r="A4372" s="11">
        <v>42782</v>
      </c>
      <c r="B4372" s="10" t="s">
        <v>9092</v>
      </c>
      <c r="C4372" s="10" t="s">
        <v>9093</v>
      </c>
      <c r="D4372" s="11">
        <v>42782.486192129632</v>
      </c>
      <c r="E4372" s="10" t="s">
        <v>902</v>
      </c>
    </row>
    <row r="4373" spans="1:5">
      <c r="A4373" s="11">
        <v>42782</v>
      </c>
      <c r="B4373" s="10" t="s">
        <v>9094</v>
      </c>
      <c r="C4373" s="10" t="s">
        <v>9095</v>
      </c>
      <c r="D4373" s="11">
        <v>42782.619791666664</v>
      </c>
      <c r="E4373" s="10" t="s">
        <v>130</v>
      </c>
    </row>
    <row r="4374" spans="1:5" ht="21.6">
      <c r="A4374" s="11">
        <v>42782</v>
      </c>
      <c r="B4374" s="10" t="s">
        <v>9096</v>
      </c>
      <c r="C4374" s="10" t="s">
        <v>9097</v>
      </c>
      <c r="D4374" s="11">
        <v>42782.481736111113</v>
      </c>
      <c r="E4374" s="10" t="s">
        <v>966</v>
      </c>
    </row>
    <row r="4375" spans="1:5">
      <c r="A4375" s="11">
        <v>42782</v>
      </c>
      <c r="B4375" s="10" t="s">
        <v>9098</v>
      </c>
      <c r="C4375" s="10" t="s">
        <v>9099</v>
      </c>
      <c r="D4375" s="11">
        <v>42782.486597222225</v>
      </c>
      <c r="E4375" s="10" t="s">
        <v>152</v>
      </c>
    </row>
    <row r="4376" spans="1:5">
      <c r="A4376" s="11">
        <v>42782</v>
      </c>
      <c r="B4376" s="10" t="s">
        <v>9100</v>
      </c>
      <c r="C4376" s="10" t="s">
        <v>9101</v>
      </c>
      <c r="D4376" s="11">
        <v>42782.485902777778</v>
      </c>
      <c r="E4376" s="10" t="s">
        <v>380</v>
      </c>
    </row>
    <row r="4377" spans="1:5">
      <c r="A4377" s="11">
        <v>42782</v>
      </c>
      <c r="B4377" s="10" t="s">
        <v>9102</v>
      </c>
      <c r="C4377" s="10" t="s">
        <v>9103</v>
      </c>
      <c r="D4377" s="11">
        <v>42782.485509259262</v>
      </c>
      <c r="E4377" s="10" t="s">
        <v>308</v>
      </c>
    </row>
    <row r="4378" spans="1:5">
      <c r="A4378" s="11">
        <v>42782</v>
      </c>
      <c r="B4378" s="10" t="s">
        <v>9104</v>
      </c>
      <c r="C4378" s="10" t="s">
        <v>9105</v>
      </c>
      <c r="D4378" s="11">
        <v>42782.484560185185</v>
      </c>
      <c r="E4378" s="10" t="s">
        <v>380</v>
      </c>
    </row>
    <row r="4379" spans="1:5">
      <c r="A4379" s="11">
        <v>42782</v>
      </c>
      <c r="B4379" s="10" t="s">
        <v>9106</v>
      </c>
      <c r="C4379" s="10" t="s">
        <v>9107</v>
      </c>
      <c r="D4379" s="11">
        <v>42782.487268518518</v>
      </c>
      <c r="E4379" s="10" t="s">
        <v>433</v>
      </c>
    </row>
    <row r="4380" spans="1:5">
      <c r="A4380" s="11">
        <v>42782</v>
      </c>
      <c r="B4380" s="10" t="s">
        <v>9108</v>
      </c>
      <c r="C4380" s="10" t="s">
        <v>9109</v>
      </c>
      <c r="D4380" s="11">
        <v>42782.486180555556</v>
      </c>
      <c r="E4380" s="10" t="s">
        <v>433</v>
      </c>
    </row>
    <row r="4381" spans="1:5">
      <c r="A4381" s="11">
        <v>42782</v>
      </c>
      <c r="B4381" s="10" t="s">
        <v>9110</v>
      </c>
      <c r="C4381" s="10" t="s">
        <v>9111</v>
      </c>
      <c r="D4381" s="11">
        <v>42782.480347222219</v>
      </c>
      <c r="E4381" s="10" t="s">
        <v>2183</v>
      </c>
    </row>
    <row r="4382" spans="1:5">
      <c r="A4382" s="11">
        <v>42782</v>
      </c>
      <c r="B4382" s="10" t="s">
        <v>9112</v>
      </c>
      <c r="C4382" s="10" t="s">
        <v>9113</v>
      </c>
      <c r="D4382" s="11">
        <v>42782.485844907409</v>
      </c>
      <c r="E4382" s="10" t="s">
        <v>122</v>
      </c>
    </row>
    <row r="4383" spans="1:5">
      <c r="A4383" s="11">
        <v>42782</v>
      </c>
      <c r="B4383" s="10" t="s">
        <v>9114</v>
      </c>
      <c r="C4383" s="10" t="s">
        <v>9115</v>
      </c>
      <c r="D4383" s="11">
        <v>42782.479768518519</v>
      </c>
      <c r="E4383" s="10" t="s">
        <v>2183</v>
      </c>
    </row>
    <row r="4384" spans="1:5">
      <c r="A4384" s="11">
        <v>42782</v>
      </c>
      <c r="B4384" s="10" t="s">
        <v>9116</v>
      </c>
      <c r="C4384" s="10" t="s">
        <v>9117</v>
      </c>
      <c r="D4384" s="11">
        <v>42782.488182870373</v>
      </c>
      <c r="E4384" s="10" t="s">
        <v>2688</v>
      </c>
    </row>
    <row r="4385" spans="1:5">
      <c r="A4385" s="11">
        <v>42782</v>
      </c>
      <c r="B4385" s="10" t="s">
        <v>9118</v>
      </c>
      <c r="C4385" s="10" t="s">
        <v>9119</v>
      </c>
      <c r="D4385" s="11">
        <v>42782.488287037035</v>
      </c>
      <c r="E4385" s="10" t="s">
        <v>433</v>
      </c>
    </row>
    <row r="4386" spans="1:5">
      <c r="A4386" s="11">
        <v>42782</v>
      </c>
      <c r="B4386" s="10" t="s">
        <v>9120</v>
      </c>
      <c r="C4386" s="10" t="s">
        <v>9121</v>
      </c>
      <c r="D4386" s="11">
        <v>42782.46471064815</v>
      </c>
      <c r="E4386" s="10" t="s">
        <v>237</v>
      </c>
    </row>
    <row r="4387" spans="1:5">
      <c r="A4387" s="11">
        <v>42782</v>
      </c>
      <c r="B4387" s="10" t="s">
        <v>9122</v>
      </c>
      <c r="C4387" s="10" t="s">
        <v>9123</v>
      </c>
      <c r="D4387" s="11">
        <v>42782.46670138889</v>
      </c>
      <c r="E4387" s="10" t="s">
        <v>237</v>
      </c>
    </row>
    <row r="4388" spans="1:5">
      <c r="A4388" s="11">
        <v>42782</v>
      </c>
      <c r="B4388" s="10" t="s">
        <v>9124</v>
      </c>
      <c r="C4388" s="10" t="s">
        <v>9125</v>
      </c>
      <c r="D4388" s="11">
        <v>42782.466979166667</v>
      </c>
      <c r="E4388" s="10" t="s">
        <v>237</v>
      </c>
    </row>
    <row r="4389" spans="1:5">
      <c r="A4389" s="11">
        <v>42782</v>
      </c>
      <c r="B4389" s="10" t="s">
        <v>9126</v>
      </c>
      <c r="C4389" s="10" t="s">
        <v>9127</v>
      </c>
      <c r="D4389" s="11">
        <v>42782.486921296295</v>
      </c>
      <c r="E4389" s="10" t="s">
        <v>433</v>
      </c>
    </row>
    <row r="4390" spans="1:5">
      <c r="A4390" s="11">
        <v>42782</v>
      </c>
      <c r="B4390" s="10" t="s">
        <v>9128</v>
      </c>
      <c r="C4390" s="10" t="s">
        <v>9129</v>
      </c>
      <c r="D4390" s="11">
        <v>42782.487916666665</v>
      </c>
      <c r="E4390" s="10" t="s">
        <v>193</v>
      </c>
    </row>
    <row r="4391" spans="1:5">
      <c r="A4391" s="11">
        <v>42782</v>
      </c>
      <c r="B4391" s="10" t="s">
        <v>9130</v>
      </c>
      <c r="C4391" s="10" t="s">
        <v>9131</v>
      </c>
      <c r="D4391" s="11">
        <v>42782.478587962964</v>
      </c>
      <c r="E4391" s="10" t="s">
        <v>433</v>
      </c>
    </row>
    <row r="4392" spans="1:5">
      <c r="A4392" s="11">
        <v>42782</v>
      </c>
      <c r="B4392" s="10" t="s">
        <v>9132</v>
      </c>
      <c r="C4392" s="10" t="s">
        <v>9133</v>
      </c>
      <c r="D4392" s="11">
        <v>42782.489421296297</v>
      </c>
      <c r="E4392" s="10" t="s">
        <v>320</v>
      </c>
    </row>
    <row r="4393" spans="1:5">
      <c r="A4393" s="11">
        <v>42782</v>
      </c>
      <c r="B4393" s="10" t="s">
        <v>9134</v>
      </c>
      <c r="C4393" s="10" t="s">
        <v>9135</v>
      </c>
      <c r="D4393" s="11">
        <v>42782.48841435185</v>
      </c>
      <c r="E4393" s="10" t="s">
        <v>193</v>
      </c>
    </row>
    <row r="4394" spans="1:5">
      <c r="A4394" s="11">
        <v>42782</v>
      </c>
      <c r="B4394" s="10" t="s">
        <v>9136</v>
      </c>
      <c r="C4394" s="10" t="s">
        <v>9137</v>
      </c>
      <c r="D4394" s="11">
        <v>42782.477094907408</v>
      </c>
      <c r="E4394" s="10" t="s">
        <v>380</v>
      </c>
    </row>
    <row r="4395" spans="1:5">
      <c r="A4395" s="11">
        <v>42782</v>
      </c>
      <c r="B4395" s="10" t="s">
        <v>9138</v>
      </c>
      <c r="C4395" s="10" t="s">
        <v>9139</v>
      </c>
      <c r="D4395" s="11">
        <v>42782.488981481481</v>
      </c>
      <c r="E4395" s="10" t="s">
        <v>240</v>
      </c>
    </row>
    <row r="4396" spans="1:5">
      <c r="A4396" s="11">
        <v>42782</v>
      </c>
      <c r="B4396" s="10" t="s">
        <v>9140</v>
      </c>
      <c r="C4396" s="10" t="s">
        <v>9141</v>
      </c>
      <c r="D4396" s="11">
        <v>42782.490219907406</v>
      </c>
      <c r="E4396" s="10" t="s">
        <v>5026</v>
      </c>
    </row>
    <row r="4397" spans="1:5">
      <c r="A4397" s="11">
        <v>42782</v>
      </c>
      <c r="B4397" s="10" t="s">
        <v>9142</v>
      </c>
      <c r="C4397" s="10" t="s">
        <v>9143</v>
      </c>
      <c r="D4397" s="11">
        <v>42782.489062499997</v>
      </c>
      <c r="E4397" s="10" t="s">
        <v>2180</v>
      </c>
    </row>
    <row r="4398" spans="1:5">
      <c r="A4398" s="11">
        <v>42782</v>
      </c>
      <c r="B4398" s="10" t="s">
        <v>9144</v>
      </c>
      <c r="C4398" s="10" t="s">
        <v>9145</v>
      </c>
      <c r="D4398" s="11">
        <v>42782.486863425926</v>
      </c>
      <c r="E4398" s="10" t="s">
        <v>152</v>
      </c>
    </row>
    <row r="4399" spans="1:5">
      <c r="A4399" s="11">
        <v>42782</v>
      </c>
      <c r="B4399" s="10" t="s">
        <v>9146</v>
      </c>
      <c r="C4399" s="10" t="s">
        <v>9147</v>
      </c>
      <c r="D4399" s="11">
        <v>42782.471747685187</v>
      </c>
      <c r="E4399" s="10" t="s">
        <v>215</v>
      </c>
    </row>
    <row r="4400" spans="1:5">
      <c r="A4400" s="11">
        <v>42782</v>
      </c>
      <c r="B4400" s="10" t="s">
        <v>9148</v>
      </c>
      <c r="C4400" s="10" t="s">
        <v>9149</v>
      </c>
      <c r="D4400" s="11">
        <v>42782.490740740737</v>
      </c>
      <c r="E4400" s="10" t="s">
        <v>218</v>
      </c>
    </row>
    <row r="4401" spans="1:5">
      <c r="A4401" s="11">
        <v>42782</v>
      </c>
      <c r="B4401" s="10" t="s">
        <v>9150</v>
      </c>
      <c r="C4401" s="10" t="s">
        <v>9151</v>
      </c>
      <c r="D4401" s="11">
        <v>42782.570196759261</v>
      </c>
      <c r="E4401" s="10" t="s">
        <v>2688</v>
      </c>
    </row>
    <row r="4402" spans="1:5">
      <c r="A4402" s="11">
        <v>42782</v>
      </c>
      <c r="B4402" s="10" t="s">
        <v>9152</v>
      </c>
      <c r="C4402" s="10" t="s">
        <v>9153</v>
      </c>
      <c r="D4402" s="11">
        <v>42782.471782407411</v>
      </c>
      <c r="E4402" s="10" t="s">
        <v>215</v>
      </c>
    </row>
    <row r="4403" spans="1:5">
      <c r="A4403" s="11">
        <v>42782</v>
      </c>
      <c r="B4403" s="10" t="s">
        <v>9154</v>
      </c>
      <c r="C4403" s="10" t="s">
        <v>9155</v>
      </c>
      <c r="D4403" s="11">
        <v>42782.487129629626</v>
      </c>
      <c r="E4403" s="10" t="s">
        <v>240</v>
      </c>
    </row>
    <row r="4404" spans="1:5">
      <c r="A4404" s="11">
        <v>42782</v>
      </c>
      <c r="B4404" s="10" t="s">
        <v>9156</v>
      </c>
      <c r="C4404" s="10" t="s">
        <v>9157</v>
      </c>
      <c r="D4404" s="11">
        <v>42782.463761574072</v>
      </c>
      <c r="E4404" s="10" t="s">
        <v>433</v>
      </c>
    </row>
    <row r="4405" spans="1:5">
      <c r="A4405" s="11">
        <v>42782</v>
      </c>
      <c r="B4405" s="10" t="s">
        <v>9158</v>
      </c>
      <c r="C4405" s="10" t="s">
        <v>9159</v>
      </c>
      <c r="D4405" s="11">
        <v>42782.491527777776</v>
      </c>
      <c r="E4405" s="10" t="s">
        <v>320</v>
      </c>
    </row>
    <row r="4406" spans="1:5">
      <c r="A4406" s="11">
        <v>42782</v>
      </c>
      <c r="B4406" s="10" t="s">
        <v>9160</v>
      </c>
      <c r="C4406" s="10" t="s">
        <v>9161</v>
      </c>
      <c r="D4406" s="11">
        <v>42782.491562499999</v>
      </c>
      <c r="E4406" s="10" t="s">
        <v>707</v>
      </c>
    </row>
    <row r="4407" spans="1:5">
      <c r="A4407" s="11">
        <v>42782</v>
      </c>
      <c r="B4407" s="10" t="s">
        <v>9162</v>
      </c>
      <c r="C4407" s="10" t="s">
        <v>9163</v>
      </c>
      <c r="D4407" s="11">
        <v>42782.487268518518</v>
      </c>
      <c r="E4407" s="10" t="s">
        <v>380</v>
      </c>
    </row>
    <row r="4408" spans="1:5">
      <c r="A4408" s="11">
        <v>42782</v>
      </c>
      <c r="B4408" s="10" t="s">
        <v>9164</v>
      </c>
      <c r="C4408" s="10" t="s">
        <v>9165</v>
      </c>
      <c r="D4408" s="11">
        <v>42782.491863425923</v>
      </c>
      <c r="E4408" s="10" t="s">
        <v>433</v>
      </c>
    </row>
    <row r="4409" spans="1:5">
      <c r="A4409" s="11">
        <v>42782</v>
      </c>
      <c r="B4409" s="10" t="s">
        <v>9166</v>
      </c>
      <c r="C4409" s="10" t="s">
        <v>9167</v>
      </c>
      <c r="D4409" s="11">
        <v>42782.492280092592</v>
      </c>
      <c r="E4409" s="10" t="s">
        <v>422</v>
      </c>
    </row>
    <row r="4410" spans="1:5">
      <c r="A4410" s="11">
        <v>42782</v>
      </c>
      <c r="B4410" s="10" t="s">
        <v>9168</v>
      </c>
      <c r="C4410" s="10" t="s">
        <v>9169</v>
      </c>
      <c r="D4410" s="11">
        <v>42782.480752314812</v>
      </c>
      <c r="E4410" s="10" t="s">
        <v>2688</v>
      </c>
    </row>
    <row r="4411" spans="1:5">
      <c r="A4411" s="11">
        <v>42782</v>
      </c>
      <c r="B4411" s="10" t="s">
        <v>9170</v>
      </c>
      <c r="C4411" s="10" t="s">
        <v>9171</v>
      </c>
      <c r="D4411" s="11">
        <v>42782.478125000001</v>
      </c>
      <c r="E4411" s="10" t="s">
        <v>1103</v>
      </c>
    </row>
    <row r="4412" spans="1:5">
      <c r="A4412" s="11">
        <v>42782</v>
      </c>
      <c r="B4412" s="10" t="s">
        <v>9172</v>
      </c>
      <c r="C4412" s="10" t="s">
        <v>9173</v>
      </c>
      <c r="D4412" s="11">
        <v>42782.493275462963</v>
      </c>
      <c r="E4412" s="10" t="s">
        <v>433</v>
      </c>
    </row>
    <row r="4413" spans="1:5">
      <c r="A4413" s="11">
        <v>42782</v>
      </c>
      <c r="B4413" s="10" t="s">
        <v>9174</v>
      </c>
      <c r="C4413" s="10" t="s">
        <v>9175</v>
      </c>
      <c r="D4413" s="11">
        <v>42782.474780092591</v>
      </c>
      <c r="E4413" s="10" t="s">
        <v>215</v>
      </c>
    </row>
    <row r="4414" spans="1:5">
      <c r="A4414" s="11">
        <v>42782</v>
      </c>
      <c r="B4414" s="10" t="s">
        <v>9176</v>
      </c>
      <c r="C4414" s="10" t="s">
        <v>9177</v>
      </c>
      <c r="D4414" s="11">
        <v>42782.472037037034</v>
      </c>
      <c r="E4414" s="10" t="s">
        <v>218</v>
      </c>
    </row>
    <row r="4415" spans="1:5">
      <c r="A4415" s="11">
        <v>42782</v>
      </c>
      <c r="B4415" s="10" t="s">
        <v>9178</v>
      </c>
      <c r="C4415" s="10" t="s">
        <v>9179</v>
      </c>
      <c r="D4415" s="11">
        <v>42782.494074074071</v>
      </c>
      <c r="E4415" s="10" t="s">
        <v>433</v>
      </c>
    </row>
    <row r="4416" spans="1:5">
      <c r="A4416" s="11">
        <v>42782</v>
      </c>
      <c r="B4416" s="10" t="s">
        <v>9180</v>
      </c>
      <c r="C4416" s="10" t="s">
        <v>9181</v>
      </c>
      <c r="D4416" s="11">
        <v>42782.491377314815</v>
      </c>
      <c r="E4416" s="10" t="s">
        <v>193</v>
      </c>
    </row>
    <row r="4417" spans="1:5">
      <c r="A4417" s="11">
        <v>42782</v>
      </c>
      <c r="B4417" s="10" t="s">
        <v>9182</v>
      </c>
      <c r="C4417" s="10" t="s">
        <v>9183</v>
      </c>
      <c r="D4417" s="11">
        <v>42782.699976851851</v>
      </c>
      <c r="E4417" s="10" t="s">
        <v>683</v>
      </c>
    </row>
    <row r="4418" spans="1:5">
      <c r="A4418" s="11">
        <v>42782</v>
      </c>
      <c r="B4418" s="10" t="s">
        <v>9184</v>
      </c>
      <c r="C4418" s="10" t="s">
        <v>9185</v>
      </c>
      <c r="D4418" s="11">
        <v>42782.494421296295</v>
      </c>
      <c r="E4418" s="10" t="s">
        <v>152</v>
      </c>
    </row>
    <row r="4419" spans="1:5">
      <c r="A4419" s="11">
        <v>42782</v>
      </c>
      <c r="B4419" s="10" t="s">
        <v>9186</v>
      </c>
      <c r="C4419" s="10" t="s">
        <v>9187</v>
      </c>
      <c r="D4419" s="11">
        <v>42782.493726851855</v>
      </c>
      <c r="E4419" s="10" t="s">
        <v>3570</v>
      </c>
    </row>
    <row r="4420" spans="1:5">
      <c r="A4420" s="11">
        <v>42782</v>
      </c>
      <c r="B4420" s="10" t="s">
        <v>9188</v>
      </c>
      <c r="C4420" s="10" t="s">
        <v>9189</v>
      </c>
      <c r="D4420" s="11">
        <v>42782.496203703704</v>
      </c>
      <c r="E4420" s="10" t="s">
        <v>218</v>
      </c>
    </row>
    <row r="4421" spans="1:5">
      <c r="A4421" s="11">
        <v>42782</v>
      </c>
      <c r="B4421" s="10" t="s">
        <v>9190</v>
      </c>
      <c r="C4421" s="10" t="s">
        <v>9191</v>
      </c>
      <c r="D4421" s="11">
        <v>42782.48159722222</v>
      </c>
      <c r="E4421" s="10" t="s">
        <v>2180</v>
      </c>
    </row>
    <row r="4422" spans="1:5">
      <c r="A4422" s="11">
        <v>42782</v>
      </c>
      <c r="B4422" s="10" t="s">
        <v>9192</v>
      </c>
      <c r="C4422" s="10" t="s">
        <v>9193</v>
      </c>
      <c r="D4422" s="11">
        <v>42782.496215277781</v>
      </c>
      <c r="E4422" s="10" t="s">
        <v>433</v>
      </c>
    </row>
    <row r="4423" spans="1:5">
      <c r="A4423" s="11">
        <v>42782</v>
      </c>
      <c r="B4423" s="10" t="s">
        <v>9194</v>
      </c>
      <c r="C4423" s="10" t="s">
        <v>9195</v>
      </c>
      <c r="D4423" s="11">
        <v>42782.550763888888</v>
      </c>
      <c r="E4423" s="10" t="s">
        <v>5387</v>
      </c>
    </row>
    <row r="4424" spans="1:5">
      <c r="A4424" s="11">
        <v>42782</v>
      </c>
      <c r="B4424" s="10" t="s">
        <v>9196</v>
      </c>
      <c r="C4424" s="10" t="s">
        <v>9197</v>
      </c>
      <c r="D4424" s="11">
        <v>42782.482199074075</v>
      </c>
      <c r="E4424" s="10" t="s">
        <v>209</v>
      </c>
    </row>
    <row r="4425" spans="1:5">
      <c r="A4425" s="11">
        <v>42782</v>
      </c>
      <c r="B4425" s="10" t="s">
        <v>9198</v>
      </c>
      <c r="C4425" s="10" t="s">
        <v>9199</v>
      </c>
      <c r="D4425" s="11">
        <v>42782.496539351851</v>
      </c>
      <c r="E4425" s="10" t="s">
        <v>221</v>
      </c>
    </row>
    <row r="4426" spans="1:5">
      <c r="A4426" s="11">
        <v>42782</v>
      </c>
      <c r="B4426" s="10" t="s">
        <v>9200</v>
      </c>
      <c r="C4426" s="10" t="s">
        <v>9201</v>
      </c>
      <c r="D4426" s="11">
        <v>42782.49659722222</v>
      </c>
      <c r="E4426" s="10" t="s">
        <v>218</v>
      </c>
    </row>
    <row r="4427" spans="1:5">
      <c r="A4427" s="11">
        <v>42782</v>
      </c>
      <c r="B4427" s="10" t="s">
        <v>9202</v>
      </c>
      <c r="C4427" s="10" t="s">
        <v>9203</v>
      </c>
      <c r="D4427" s="11">
        <v>42782.488796296297</v>
      </c>
      <c r="E4427" s="10" t="s">
        <v>465</v>
      </c>
    </row>
    <row r="4428" spans="1:5">
      <c r="A4428" s="11">
        <v>42782</v>
      </c>
      <c r="B4428" s="10" t="s">
        <v>9204</v>
      </c>
      <c r="C4428" s="10" t="s">
        <v>9205</v>
      </c>
      <c r="D4428" s="11">
        <v>42782.474212962959</v>
      </c>
      <c r="E4428" s="10" t="s">
        <v>193</v>
      </c>
    </row>
    <row r="4429" spans="1:5">
      <c r="A4429" s="11">
        <v>42782</v>
      </c>
      <c r="B4429" s="10" t="s">
        <v>9206</v>
      </c>
      <c r="C4429" s="10" t="s">
        <v>9207</v>
      </c>
      <c r="D4429" s="11">
        <v>42782.470601851855</v>
      </c>
      <c r="E4429" s="10" t="s">
        <v>433</v>
      </c>
    </row>
    <row r="4430" spans="1:5">
      <c r="A4430" s="11">
        <v>42782</v>
      </c>
      <c r="B4430" s="10" t="s">
        <v>9208</v>
      </c>
      <c r="C4430" s="10" t="s">
        <v>9209</v>
      </c>
      <c r="D4430" s="11">
        <v>42782.475162037037</v>
      </c>
      <c r="E4430" s="10" t="s">
        <v>308</v>
      </c>
    </row>
    <row r="4431" spans="1:5">
      <c r="A4431" s="11">
        <v>42782</v>
      </c>
      <c r="B4431" s="10" t="s">
        <v>9210</v>
      </c>
      <c r="C4431" s="10" t="s">
        <v>9211</v>
      </c>
      <c r="D4431" s="11">
        <v>42782.49759259259</v>
      </c>
      <c r="E4431" s="10" t="s">
        <v>433</v>
      </c>
    </row>
    <row r="4432" spans="1:5">
      <c r="A4432" s="11">
        <v>42782</v>
      </c>
      <c r="B4432" s="10" t="s">
        <v>9212</v>
      </c>
      <c r="C4432" s="10" t="s">
        <v>9213</v>
      </c>
      <c r="D4432" s="11">
        <v>42782.49763888889</v>
      </c>
      <c r="E4432" s="10" t="s">
        <v>193</v>
      </c>
    </row>
    <row r="4433" spans="1:5">
      <c r="A4433" s="11">
        <v>42782</v>
      </c>
      <c r="B4433" s="10" t="s">
        <v>9214</v>
      </c>
      <c r="C4433" s="10" t="s">
        <v>9215</v>
      </c>
      <c r="D4433" s="11">
        <v>42782.478576388887</v>
      </c>
      <c r="E4433" s="10" t="s">
        <v>433</v>
      </c>
    </row>
    <row r="4434" spans="1:5">
      <c r="A4434" s="11">
        <v>42782</v>
      </c>
      <c r="B4434" s="10" t="s">
        <v>9216</v>
      </c>
      <c r="C4434" s="10" t="s">
        <v>9217</v>
      </c>
      <c r="D4434" s="11">
        <v>42782.479699074072</v>
      </c>
      <c r="E4434" s="10" t="s">
        <v>433</v>
      </c>
    </row>
    <row r="4435" spans="1:5">
      <c r="A4435" s="11">
        <v>42782</v>
      </c>
      <c r="B4435" s="10" t="s">
        <v>9218</v>
      </c>
      <c r="C4435" s="10" t="s">
        <v>9219</v>
      </c>
      <c r="D4435" s="11">
        <v>42782.497974537036</v>
      </c>
      <c r="E4435" s="10" t="s">
        <v>433</v>
      </c>
    </row>
    <row r="4436" spans="1:5">
      <c r="A4436" s="11">
        <v>42782</v>
      </c>
      <c r="B4436" s="10" t="s">
        <v>9220</v>
      </c>
      <c r="C4436" s="10" t="s">
        <v>9221</v>
      </c>
      <c r="D4436" s="11">
        <v>42782.498495370368</v>
      </c>
      <c r="E4436" s="10" t="s">
        <v>422</v>
      </c>
    </row>
    <row r="4437" spans="1:5">
      <c r="A4437" s="11">
        <v>42782</v>
      </c>
      <c r="B4437" s="10" t="s">
        <v>9222</v>
      </c>
      <c r="C4437" s="10" t="s">
        <v>9223</v>
      </c>
      <c r="D4437" s="11">
        <v>42782.497442129628</v>
      </c>
      <c r="E4437" s="10" t="s">
        <v>380</v>
      </c>
    </row>
    <row r="4438" spans="1:5" ht="21.6">
      <c r="A4438" s="11">
        <v>42782</v>
      </c>
      <c r="B4438" s="10" t="s">
        <v>9224</v>
      </c>
      <c r="C4438" s="10" t="s">
        <v>9225</v>
      </c>
      <c r="D4438" s="11">
        <v>42782.476886574077</v>
      </c>
      <c r="E4438" s="10" t="s">
        <v>252</v>
      </c>
    </row>
    <row r="4439" spans="1:5">
      <c r="A4439" s="11">
        <v>42782</v>
      </c>
      <c r="B4439" s="10" t="s">
        <v>9226</v>
      </c>
      <c r="C4439" s="10" t="s">
        <v>9227</v>
      </c>
      <c r="D4439" s="11">
        <v>42782.474814814814</v>
      </c>
      <c r="E4439" s="10" t="s">
        <v>2688</v>
      </c>
    </row>
    <row r="4440" spans="1:5">
      <c r="A4440" s="11">
        <v>42782</v>
      </c>
      <c r="B4440" s="10" t="s">
        <v>9228</v>
      </c>
      <c r="C4440" s="10" t="s">
        <v>9229</v>
      </c>
      <c r="D4440" s="11">
        <v>42782.478634259256</v>
      </c>
      <c r="E4440" s="10" t="s">
        <v>4865</v>
      </c>
    </row>
    <row r="4441" spans="1:5">
      <c r="A4441" s="11">
        <v>42782</v>
      </c>
      <c r="B4441" s="10" t="s">
        <v>9230</v>
      </c>
      <c r="C4441" s="10" t="s">
        <v>9231</v>
      </c>
      <c r="D4441" s="11">
        <v>42782.462152777778</v>
      </c>
      <c r="E4441" s="10" t="s">
        <v>125</v>
      </c>
    </row>
    <row r="4442" spans="1:5">
      <c r="A4442" s="11">
        <v>42782</v>
      </c>
      <c r="B4442" s="10" t="s">
        <v>9232</v>
      </c>
      <c r="C4442" s="10" t="s">
        <v>9233</v>
      </c>
      <c r="D4442" s="11">
        <v>42782.707476851851</v>
      </c>
      <c r="E4442" s="10" t="s">
        <v>2201</v>
      </c>
    </row>
    <row r="4443" spans="1:5">
      <c r="A4443" s="11">
        <v>42782</v>
      </c>
      <c r="B4443" s="10" t="s">
        <v>9234</v>
      </c>
      <c r="C4443" s="10" t="s">
        <v>9235</v>
      </c>
      <c r="D4443" s="11">
        <v>42782.494583333333</v>
      </c>
      <c r="E4443" s="10" t="s">
        <v>122</v>
      </c>
    </row>
    <row r="4444" spans="1:5">
      <c r="A4444" s="11">
        <v>42782</v>
      </c>
      <c r="B4444" s="10" t="s">
        <v>9236</v>
      </c>
      <c r="C4444" s="10" t="s">
        <v>9237</v>
      </c>
      <c r="D4444" s="11">
        <v>42782.486701388887</v>
      </c>
      <c r="E4444" s="10" t="s">
        <v>96</v>
      </c>
    </row>
    <row r="4445" spans="1:5">
      <c r="A4445" s="11">
        <v>42782</v>
      </c>
      <c r="B4445" s="10" t="s">
        <v>9238</v>
      </c>
      <c r="C4445" s="10" t="s">
        <v>9239</v>
      </c>
      <c r="D4445" s="11">
        <v>42782.500254629631</v>
      </c>
      <c r="E4445" s="10" t="s">
        <v>320</v>
      </c>
    </row>
    <row r="4446" spans="1:5">
      <c r="A4446" s="11">
        <v>42782</v>
      </c>
      <c r="B4446" s="10" t="s">
        <v>9240</v>
      </c>
      <c r="C4446" s="10" t="s">
        <v>9241</v>
      </c>
      <c r="D4446" s="11">
        <v>42782.463125000002</v>
      </c>
      <c r="E4446" s="10" t="s">
        <v>122</v>
      </c>
    </row>
    <row r="4447" spans="1:5">
      <c r="A4447" s="11">
        <v>42782</v>
      </c>
      <c r="B4447" s="10" t="s">
        <v>9242</v>
      </c>
      <c r="C4447" s="10" t="s">
        <v>9243</v>
      </c>
      <c r="D4447" s="11">
        <v>42782.500694444447</v>
      </c>
      <c r="E4447" s="10" t="s">
        <v>433</v>
      </c>
    </row>
    <row r="4448" spans="1:5">
      <c r="A4448" s="11">
        <v>42782</v>
      </c>
      <c r="B4448" s="10" t="s">
        <v>9244</v>
      </c>
      <c r="C4448" s="10" t="s">
        <v>9245</v>
      </c>
      <c r="D4448" s="11">
        <v>42782.477789351855</v>
      </c>
      <c r="E4448" s="10" t="s">
        <v>433</v>
      </c>
    </row>
    <row r="4449" spans="1:5">
      <c r="A4449" s="11">
        <v>42782</v>
      </c>
      <c r="B4449" s="10" t="s">
        <v>9246</v>
      </c>
      <c r="C4449" s="10" t="s">
        <v>9247</v>
      </c>
      <c r="D4449" s="11">
        <v>42782.496030092596</v>
      </c>
      <c r="E4449" s="10" t="s">
        <v>966</v>
      </c>
    </row>
    <row r="4450" spans="1:5">
      <c r="A4450" s="11">
        <v>42782</v>
      </c>
      <c r="B4450" s="10" t="s">
        <v>9248</v>
      </c>
      <c r="C4450" s="10" t="s">
        <v>9249</v>
      </c>
      <c r="D4450" s="11">
        <v>42782.501030092593</v>
      </c>
      <c r="E4450" s="10" t="s">
        <v>5026</v>
      </c>
    </row>
    <row r="4451" spans="1:5">
      <c r="A4451" s="11">
        <v>42782</v>
      </c>
      <c r="B4451" s="10" t="s">
        <v>9250</v>
      </c>
      <c r="C4451" s="10" t="s">
        <v>9251</v>
      </c>
      <c r="D4451" s="11">
        <v>42782.489374999997</v>
      </c>
      <c r="E4451" s="10" t="s">
        <v>152</v>
      </c>
    </row>
    <row r="4452" spans="1:5">
      <c r="A4452" s="11">
        <v>42782</v>
      </c>
      <c r="B4452" s="10" t="s">
        <v>9252</v>
      </c>
      <c r="C4452" s="10" t="s">
        <v>9253</v>
      </c>
      <c r="D4452" s="11">
        <v>42782.495833333334</v>
      </c>
      <c r="E4452" s="10" t="s">
        <v>966</v>
      </c>
    </row>
    <row r="4453" spans="1:5">
      <c r="A4453" s="11">
        <v>42782</v>
      </c>
      <c r="B4453" s="10" t="s">
        <v>9254</v>
      </c>
      <c r="C4453" s="10" t="s">
        <v>9255</v>
      </c>
      <c r="D4453" s="11">
        <v>42782.662465277775</v>
      </c>
      <c r="E4453" s="10" t="s">
        <v>1190</v>
      </c>
    </row>
    <row r="4454" spans="1:5">
      <c r="A4454" s="11">
        <v>42782</v>
      </c>
      <c r="B4454" s="10" t="s">
        <v>9256</v>
      </c>
      <c r="C4454" s="10" t="s">
        <v>9257</v>
      </c>
      <c r="D4454" s="11">
        <v>42782.501342592594</v>
      </c>
      <c r="E4454" s="10" t="s">
        <v>433</v>
      </c>
    </row>
    <row r="4455" spans="1:5">
      <c r="A4455" s="11">
        <v>42782</v>
      </c>
      <c r="B4455" s="10" t="s">
        <v>9258</v>
      </c>
      <c r="C4455" s="10" t="s">
        <v>9259</v>
      </c>
      <c r="D4455" s="11">
        <v>42782.5002662037</v>
      </c>
      <c r="E4455" s="10" t="s">
        <v>433</v>
      </c>
    </row>
    <row r="4456" spans="1:5">
      <c r="A4456" s="11">
        <v>42782</v>
      </c>
      <c r="B4456" s="10" t="s">
        <v>9260</v>
      </c>
      <c r="C4456" s="10" t="s">
        <v>9261</v>
      </c>
      <c r="D4456" s="11">
        <v>42782.611446759256</v>
      </c>
      <c r="E4456" s="10" t="s">
        <v>122</v>
      </c>
    </row>
    <row r="4457" spans="1:5">
      <c r="A4457" s="11">
        <v>42782</v>
      </c>
      <c r="B4457" s="10" t="s">
        <v>9262</v>
      </c>
      <c r="C4457" s="10" t="s">
        <v>9263</v>
      </c>
      <c r="D4457" s="11">
        <v>42782.500636574077</v>
      </c>
      <c r="E4457" s="10" t="s">
        <v>433</v>
      </c>
    </row>
    <row r="4458" spans="1:5">
      <c r="A4458" s="11">
        <v>42782</v>
      </c>
      <c r="B4458" s="10" t="s">
        <v>9264</v>
      </c>
      <c r="C4458" s="10" t="s">
        <v>9265</v>
      </c>
      <c r="D4458" s="11">
        <v>42782.482187499998</v>
      </c>
      <c r="E4458" s="10" t="s">
        <v>683</v>
      </c>
    </row>
    <row r="4459" spans="1:5">
      <c r="A4459" s="11">
        <v>42782</v>
      </c>
      <c r="B4459" s="10" t="s">
        <v>9266</v>
      </c>
      <c r="C4459" s="10" t="s">
        <v>9267</v>
      </c>
      <c r="D4459" s="11">
        <v>42782.494293981479</v>
      </c>
      <c r="E4459" s="10" t="s">
        <v>380</v>
      </c>
    </row>
    <row r="4460" spans="1:5">
      <c r="A4460" s="11">
        <v>42782</v>
      </c>
      <c r="B4460" s="10" t="s">
        <v>9268</v>
      </c>
      <c r="C4460" s="10" t="s">
        <v>9269</v>
      </c>
      <c r="D4460" s="11">
        <v>42782.619155092594</v>
      </c>
      <c r="E4460" s="10" t="s">
        <v>215</v>
      </c>
    </row>
    <row r="4461" spans="1:5">
      <c r="A4461" s="11">
        <v>42782</v>
      </c>
      <c r="B4461" s="10" t="s">
        <v>9270</v>
      </c>
      <c r="C4461" s="10" t="s">
        <v>9271</v>
      </c>
      <c r="D4461" s="11">
        <v>42782.499050925922</v>
      </c>
      <c r="E4461" s="10" t="s">
        <v>2442</v>
      </c>
    </row>
    <row r="4462" spans="1:5">
      <c r="A4462" s="11">
        <v>42782</v>
      </c>
      <c r="B4462" s="10" t="s">
        <v>9272</v>
      </c>
      <c r="C4462" s="10" t="s">
        <v>9273</v>
      </c>
      <c r="D4462" s="11">
        <v>42782.493993055556</v>
      </c>
      <c r="E4462" s="10" t="s">
        <v>193</v>
      </c>
    </row>
    <row r="4463" spans="1:5">
      <c r="A4463" s="11">
        <v>42782</v>
      </c>
      <c r="B4463" s="10" t="s">
        <v>9274</v>
      </c>
      <c r="C4463" s="10" t="s">
        <v>9275</v>
      </c>
      <c r="D4463" s="11">
        <v>42782.48064814815</v>
      </c>
      <c r="E4463" s="10" t="s">
        <v>240</v>
      </c>
    </row>
    <row r="4464" spans="1:5">
      <c r="A4464" s="11">
        <v>42782</v>
      </c>
      <c r="B4464" s="10" t="s">
        <v>9276</v>
      </c>
      <c r="C4464" s="10" t="s">
        <v>9277</v>
      </c>
      <c r="D4464" s="11">
        <v>42782.490532407406</v>
      </c>
      <c r="E4464" s="10" t="s">
        <v>373</v>
      </c>
    </row>
    <row r="4465" spans="1:5">
      <c r="A4465" s="11">
        <v>42782</v>
      </c>
      <c r="B4465" s="10" t="s">
        <v>9278</v>
      </c>
      <c r="C4465" s="10" t="s">
        <v>9279</v>
      </c>
      <c r="D4465" s="11">
        <v>42782.551168981481</v>
      </c>
      <c r="E4465" s="10" t="s">
        <v>683</v>
      </c>
    </row>
    <row r="4466" spans="1:5">
      <c r="A4466" s="11">
        <v>42782</v>
      </c>
      <c r="B4466" s="10" t="s">
        <v>9280</v>
      </c>
      <c r="C4466" s="10" t="s">
        <v>9281</v>
      </c>
      <c r="D4466" s="11">
        <v>42782.502129629633</v>
      </c>
      <c r="E4466" s="10" t="s">
        <v>178</v>
      </c>
    </row>
    <row r="4467" spans="1:5">
      <c r="A4467" s="11">
        <v>42782</v>
      </c>
      <c r="B4467" s="10" t="s">
        <v>9282</v>
      </c>
      <c r="C4467" s="10" t="s">
        <v>9283</v>
      </c>
      <c r="D4467" s="11">
        <v>42782.476550925923</v>
      </c>
      <c r="E4467" s="10" t="s">
        <v>683</v>
      </c>
    </row>
    <row r="4468" spans="1:5">
      <c r="A4468" s="11">
        <v>42782</v>
      </c>
      <c r="B4468" s="10" t="s">
        <v>9284</v>
      </c>
      <c r="C4468" s="10" t="s">
        <v>9285</v>
      </c>
      <c r="D4468" s="11">
        <v>42782.502280092594</v>
      </c>
      <c r="E4468" s="10" t="s">
        <v>422</v>
      </c>
    </row>
    <row r="4469" spans="1:5">
      <c r="A4469" s="11">
        <v>42782</v>
      </c>
      <c r="B4469" s="10" t="s">
        <v>9286</v>
      </c>
      <c r="C4469" s="10" t="s">
        <v>9287</v>
      </c>
      <c r="D4469" s="11">
        <v>42782.494398148148</v>
      </c>
      <c r="E4469" s="10" t="s">
        <v>320</v>
      </c>
    </row>
    <row r="4470" spans="1:5">
      <c r="A4470" s="11">
        <v>42782</v>
      </c>
      <c r="B4470" s="10" t="s">
        <v>9288</v>
      </c>
      <c r="C4470" s="10" t="s">
        <v>9289</v>
      </c>
      <c r="D4470" s="11">
        <v>42782.481006944443</v>
      </c>
      <c r="E4470" s="10" t="s">
        <v>2515</v>
      </c>
    </row>
    <row r="4471" spans="1:5" ht="21.6">
      <c r="A4471" s="11">
        <v>42782</v>
      </c>
      <c r="B4471" s="10" t="s">
        <v>9290</v>
      </c>
      <c r="C4471" s="10" t="s">
        <v>9291</v>
      </c>
      <c r="D4471" s="11">
        <v>42782.470486111109</v>
      </c>
      <c r="E4471" s="10" t="s">
        <v>9292</v>
      </c>
    </row>
    <row r="4472" spans="1:5">
      <c r="A4472" s="11">
        <v>42782</v>
      </c>
      <c r="B4472" s="10" t="s">
        <v>9293</v>
      </c>
      <c r="C4472" s="10" t="s">
        <v>9294</v>
      </c>
      <c r="D4472" s="11">
        <v>42782.478090277778</v>
      </c>
      <c r="E4472" s="10" t="s">
        <v>977</v>
      </c>
    </row>
    <row r="4473" spans="1:5">
      <c r="A4473" s="11">
        <v>42782</v>
      </c>
      <c r="B4473" s="10" t="s">
        <v>9295</v>
      </c>
      <c r="C4473" s="10" t="s">
        <v>9296</v>
      </c>
      <c r="D4473" s="11">
        <v>42782.503240740742</v>
      </c>
      <c r="E4473" s="10" t="s">
        <v>373</v>
      </c>
    </row>
    <row r="4474" spans="1:5">
      <c r="A4474" s="11">
        <v>42782</v>
      </c>
      <c r="B4474" s="10" t="s">
        <v>9297</v>
      </c>
      <c r="C4474" s="10" t="s">
        <v>9298</v>
      </c>
      <c r="D4474" s="11">
        <v>42782.503750000003</v>
      </c>
      <c r="E4474" s="10" t="s">
        <v>218</v>
      </c>
    </row>
    <row r="4475" spans="1:5">
      <c r="A4475" s="11">
        <v>42782</v>
      </c>
      <c r="B4475" s="10" t="s">
        <v>9299</v>
      </c>
      <c r="C4475" s="10" t="s">
        <v>9300</v>
      </c>
      <c r="D4475" s="11">
        <v>42782.504143518519</v>
      </c>
      <c r="E4475" s="10" t="s">
        <v>433</v>
      </c>
    </row>
    <row r="4476" spans="1:5">
      <c r="A4476" s="11">
        <v>42782</v>
      </c>
      <c r="B4476" s="10" t="s">
        <v>9301</v>
      </c>
      <c r="C4476" s="10" t="s">
        <v>9302</v>
      </c>
      <c r="D4476" s="11">
        <v>42782.504282407404</v>
      </c>
      <c r="E4476" s="10" t="s">
        <v>218</v>
      </c>
    </row>
    <row r="4477" spans="1:5">
      <c r="A4477" s="11">
        <v>42782</v>
      </c>
      <c r="B4477" s="10" t="s">
        <v>9303</v>
      </c>
      <c r="C4477" s="10" t="s">
        <v>9304</v>
      </c>
      <c r="D4477" s="11">
        <v>42782.504421296297</v>
      </c>
      <c r="E4477" s="10" t="s">
        <v>122</v>
      </c>
    </row>
    <row r="4478" spans="1:5">
      <c r="A4478" s="11">
        <v>42782</v>
      </c>
      <c r="B4478" s="10" t="s">
        <v>9305</v>
      </c>
      <c r="C4478" s="10" t="s">
        <v>9306</v>
      </c>
      <c r="D4478" s="11">
        <v>42782.504745370374</v>
      </c>
      <c r="E4478" s="10" t="s">
        <v>108</v>
      </c>
    </row>
    <row r="4479" spans="1:5">
      <c r="A4479" s="11">
        <v>42782</v>
      </c>
      <c r="B4479" s="10" t="s">
        <v>9307</v>
      </c>
      <c r="C4479" s="10" t="s">
        <v>9308</v>
      </c>
      <c r="D4479" s="11">
        <v>42782.504930555559</v>
      </c>
      <c r="E4479" s="10" t="s">
        <v>1770</v>
      </c>
    </row>
    <row r="4480" spans="1:5">
      <c r="A4480" s="11">
        <v>42782</v>
      </c>
      <c r="B4480" s="10" t="s">
        <v>9309</v>
      </c>
      <c r="C4480" s="10" t="s">
        <v>9310</v>
      </c>
      <c r="D4480" s="11">
        <v>42782.50503472222</v>
      </c>
      <c r="E4480" s="10" t="s">
        <v>433</v>
      </c>
    </row>
    <row r="4481" spans="1:5">
      <c r="A4481" s="11">
        <v>42782</v>
      </c>
      <c r="B4481" s="10" t="s">
        <v>9311</v>
      </c>
      <c r="C4481" s="10" t="s">
        <v>9312</v>
      </c>
      <c r="D4481" s="11">
        <v>42782.505162037036</v>
      </c>
      <c r="E4481" s="10" t="s">
        <v>373</v>
      </c>
    </row>
    <row r="4482" spans="1:5">
      <c r="A4482" s="11">
        <v>42782</v>
      </c>
      <c r="B4482" s="10" t="s">
        <v>9313</v>
      </c>
      <c r="C4482" s="10" t="s">
        <v>9314</v>
      </c>
      <c r="D4482" s="11">
        <v>42782.505416666667</v>
      </c>
      <c r="E4482" s="10" t="s">
        <v>707</v>
      </c>
    </row>
    <row r="4483" spans="1:5">
      <c r="A4483" s="11">
        <v>42782</v>
      </c>
      <c r="B4483" s="10" t="s">
        <v>9315</v>
      </c>
      <c r="C4483" s="10" t="s">
        <v>9316</v>
      </c>
      <c r="D4483" s="11">
        <v>42782.506180555552</v>
      </c>
      <c r="E4483" s="10" t="s">
        <v>2180</v>
      </c>
    </row>
    <row r="4484" spans="1:5">
      <c r="A4484" s="11">
        <v>42782</v>
      </c>
      <c r="B4484" s="10" t="s">
        <v>9317</v>
      </c>
      <c r="C4484" s="10" t="s">
        <v>9318</v>
      </c>
      <c r="D4484" s="11">
        <v>42782.506909722222</v>
      </c>
      <c r="E4484" s="10" t="s">
        <v>433</v>
      </c>
    </row>
    <row r="4485" spans="1:5">
      <c r="A4485" s="11">
        <v>42782</v>
      </c>
      <c r="B4485" s="10" t="s">
        <v>9319</v>
      </c>
      <c r="C4485" s="10" t="s">
        <v>9320</v>
      </c>
      <c r="D4485" s="11">
        <v>42782.508333333331</v>
      </c>
      <c r="E4485" s="10" t="s">
        <v>218</v>
      </c>
    </row>
    <row r="4486" spans="1:5">
      <c r="A4486" s="11">
        <v>42782</v>
      </c>
      <c r="B4486" s="10" t="s">
        <v>9321</v>
      </c>
      <c r="C4486" s="10" t="s">
        <v>9322</v>
      </c>
      <c r="D4486" s="11">
        <v>42782.509166666663</v>
      </c>
      <c r="E4486" s="10" t="s">
        <v>433</v>
      </c>
    </row>
    <row r="4487" spans="1:5">
      <c r="A4487" s="11">
        <v>42782</v>
      </c>
      <c r="B4487" s="10" t="s">
        <v>9323</v>
      </c>
      <c r="C4487" s="10" t="s">
        <v>9324</v>
      </c>
      <c r="D4487" s="11">
        <v>42782.509270833332</v>
      </c>
      <c r="E4487" s="10" t="s">
        <v>625</v>
      </c>
    </row>
    <row r="4488" spans="1:5">
      <c r="A4488" s="11">
        <v>42782</v>
      </c>
      <c r="B4488" s="10" t="s">
        <v>9325</v>
      </c>
      <c r="C4488" s="10" t="s">
        <v>9326</v>
      </c>
      <c r="D4488" s="11">
        <v>42782.504212962966</v>
      </c>
      <c r="E4488" s="10" t="s">
        <v>625</v>
      </c>
    </row>
    <row r="4489" spans="1:5">
      <c r="A4489" s="11">
        <v>42782</v>
      </c>
      <c r="B4489" s="10" t="s">
        <v>9327</v>
      </c>
      <c r="C4489" s="10" t="s">
        <v>9328</v>
      </c>
      <c r="D4489" s="11">
        <v>42782.505590277775</v>
      </c>
      <c r="E4489" s="10" t="s">
        <v>193</v>
      </c>
    </row>
    <row r="4490" spans="1:5">
      <c r="A4490" s="11">
        <v>42782</v>
      </c>
      <c r="B4490" s="10" t="s">
        <v>9329</v>
      </c>
      <c r="C4490" s="10" t="s">
        <v>9330</v>
      </c>
      <c r="D4490" s="11">
        <v>42782.510196759256</v>
      </c>
      <c r="E4490" s="10" t="s">
        <v>218</v>
      </c>
    </row>
    <row r="4491" spans="1:5">
      <c r="A4491" s="11">
        <v>42782</v>
      </c>
      <c r="B4491" s="10" t="s">
        <v>9331</v>
      </c>
      <c r="C4491" s="10" t="s">
        <v>9332</v>
      </c>
      <c r="D4491" s="11">
        <v>42782.503379629627</v>
      </c>
      <c r="E4491" s="10" t="s">
        <v>308</v>
      </c>
    </row>
    <row r="4492" spans="1:5">
      <c r="A4492" s="11">
        <v>42782</v>
      </c>
      <c r="B4492" s="10" t="s">
        <v>9333</v>
      </c>
      <c r="C4492" s="10" t="s">
        <v>9334</v>
      </c>
      <c r="D4492" s="11">
        <v>42782.510625000003</v>
      </c>
      <c r="E4492" s="10" t="s">
        <v>433</v>
      </c>
    </row>
    <row r="4493" spans="1:5">
      <c r="A4493" s="11">
        <v>42782</v>
      </c>
      <c r="B4493" s="10" t="s">
        <v>9335</v>
      </c>
      <c r="C4493" s="10" t="s">
        <v>9336</v>
      </c>
      <c r="D4493" s="11">
        <v>42782.602650462963</v>
      </c>
      <c r="E4493" s="10" t="s">
        <v>949</v>
      </c>
    </row>
    <row r="4494" spans="1:5">
      <c r="A4494" s="11">
        <v>42782</v>
      </c>
      <c r="B4494" s="10" t="s">
        <v>9337</v>
      </c>
      <c r="C4494" s="10" t="s">
        <v>9338</v>
      </c>
      <c r="D4494" s="11">
        <v>42782.503668981481</v>
      </c>
      <c r="E4494" s="10" t="s">
        <v>122</v>
      </c>
    </row>
    <row r="4495" spans="1:5">
      <c r="A4495" s="11">
        <v>42782</v>
      </c>
      <c r="B4495" s="10" t="s">
        <v>9339</v>
      </c>
      <c r="C4495" s="10" t="s">
        <v>9340</v>
      </c>
      <c r="D4495" s="11">
        <v>42782.506076388891</v>
      </c>
      <c r="E4495" s="10" t="s">
        <v>215</v>
      </c>
    </row>
    <row r="4496" spans="1:5">
      <c r="A4496" s="11">
        <v>42782</v>
      </c>
      <c r="B4496" s="10" t="s">
        <v>9341</v>
      </c>
      <c r="C4496" s="10" t="s">
        <v>9342</v>
      </c>
      <c r="D4496" s="11">
        <v>42782.508796296293</v>
      </c>
      <c r="E4496" s="10" t="s">
        <v>433</v>
      </c>
    </row>
    <row r="4497" spans="1:5">
      <c r="A4497" s="11">
        <v>42782</v>
      </c>
      <c r="B4497" s="10" t="s">
        <v>9343</v>
      </c>
      <c r="C4497" s="10" t="s">
        <v>9344</v>
      </c>
      <c r="D4497" s="11">
        <v>42782.51222222222</v>
      </c>
      <c r="E4497" s="10" t="s">
        <v>2742</v>
      </c>
    </row>
    <row r="4498" spans="1:5">
      <c r="A4498" s="11">
        <v>42782</v>
      </c>
      <c r="B4498" s="10" t="s">
        <v>9345</v>
      </c>
      <c r="C4498" s="10" t="s">
        <v>9346</v>
      </c>
      <c r="D4498" s="11">
        <v>42782.512337962966</v>
      </c>
      <c r="E4498" s="10" t="s">
        <v>380</v>
      </c>
    </row>
    <row r="4499" spans="1:5">
      <c r="A4499" s="11">
        <v>42782</v>
      </c>
      <c r="B4499" s="10" t="s">
        <v>9347</v>
      </c>
      <c r="C4499" s="10" t="s">
        <v>9348</v>
      </c>
      <c r="D4499" s="11">
        <v>42782.512349537035</v>
      </c>
      <c r="E4499" s="10" t="s">
        <v>433</v>
      </c>
    </row>
    <row r="4500" spans="1:5" ht="21.6">
      <c r="A4500" s="11">
        <v>42782</v>
      </c>
      <c r="B4500" s="10" t="s">
        <v>9349</v>
      </c>
      <c r="C4500" s="10" t="s">
        <v>9350</v>
      </c>
      <c r="D4500" s="11">
        <v>42782.507696759261</v>
      </c>
      <c r="E4500" s="10" t="s">
        <v>171</v>
      </c>
    </row>
    <row r="4501" spans="1:5" ht="21.6">
      <c r="A4501" s="11">
        <v>42782</v>
      </c>
      <c r="B4501" s="10" t="s">
        <v>9351</v>
      </c>
      <c r="C4501" s="10" t="s">
        <v>9352</v>
      </c>
      <c r="D4501" s="11">
        <v>42782.507476851853</v>
      </c>
      <c r="E4501" s="10" t="s">
        <v>171</v>
      </c>
    </row>
    <row r="4502" spans="1:5">
      <c r="A4502" s="11">
        <v>42782</v>
      </c>
      <c r="B4502" s="10" t="s">
        <v>9353</v>
      </c>
      <c r="C4502" s="10" t="s">
        <v>9354</v>
      </c>
      <c r="D4502" s="11">
        <v>42782.513321759259</v>
      </c>
      <c r="E4502" s="10" t="s">
        <v>218</v>
      </c>
    </row>
    <row r="4503" spans="1:5" ht="21.6">
      <c r="A4503" s="11">
        <v>42782</v>
      </c>
      <c r="B4503" s="10" t="s">
        <v>9355</v>
      </c>
      <c r="C4503" s="10" t="s">
        <v>9356</v>
      </c>
      <c r="D4503" s="11">
        <v>42782.507280092592</v>
      </c>
      <c r="E4503" s="10" t="s">
        <v>171</v>
      </c>
    </row>
    <row r="4504" spans="1:5">
      <c r="A4504" s="11">
        <v>42782</v>
      </c>
      <c r="B4504" s="10" t="s">
        <v>9357</v>
      </c>
      <c r="C4504" s="10" t="s">
        <v>9358</v>
      </c>
      <c r="D4504" s="11">
        <v>42782.51358796296</v>
      </c>
      <c r="E4504" s="10" t="s">
        <v>433</v>
      </c>
    </row>
    <row r="4505" spans="1:5">
      <c r="A4505" s="11">
        <v>42782</v>
      </c>
      <c r="B4505" s="10" t="s">
        <v>9359</v>
      </c>
      <c r="C4505" s="10" t="s">
        <v>9360</v>
      </c>
      <c r="D4505" s="11">
        <v>42782.513668981483</v>
      </c>
      <c r="E4505" s="10" t="s">
        <v>433</v>
      </c>
    </row>
    <row r="4506" spans="1:5">
      <c r="A4506" s="11">
        <v>42782</v>
      </c>
      <c r="B4506" s="10" t="s">
        <v>9361</v>
      </c>
      <c r="C4506" s="10" t="s">
        <v>9362</v>
      </c>
      <c r="D4506" s="11">
        <v>42782.513773148145</v>
      </c>
      <c r="E4506" s="10" t="s">
        <v>465</v>
      </c>
    </row>
    <row r="4507" spans="1:5">
      <c r="A4507" s="11">
        <v>42782</v>
      </c>
      <c r="B4507" s="10" t="s">
        <v>9363</v>
      </c>
      <c r="C4507" s="10" t="s">
        <v>9364</v>
      </c>
      <c r="D4507" s="11">
        <v>42782.513807870368</v>
      </c>
      <c r="E4507" s="10" t="s">
        <v>433</v>
      </c>
    </row>
    <row r="4508" spans="1:5">
      <c r="A4508" s="11">
        <v>42782</v>
      </c>
      <c r="B4508" s="10" t="s">
        <v>9365</v>
      </c>
      <c r="C4508" s="10" t="s">
        <v>9366</v>
      </c>
      <c r="D4508" s="11">
        <v>42782.507071759261</v>
      </c>
      <c r="E4508" s="10" t="s">
        <v>1103</v>
      </c>
    </row>
    <row r="4509" spans="1:5">
      <c r="A4509" s="11">
        <v>42782</v>
      </c>
      <c r="B4509" s="10" t="s">
        <v>9367</v>
      </c>
      <c r="C4509" s="10" t="s">
        <v>9368</v>
      </c>
      <c r="D4509" s="11">
        <v>42782.510266203702</v>
      </c>
      <c r="E4509" s="10" t="s">
        <v>152</v>
      </c>
    </row>
    <row r="4510" spans="1:5">
      <c r="A4510" s="11">
        <v>42782</v>
      </c>
      <c r="B4510" s="10" t="s">
        <v>9369</v>
      </c>
      <c r="C4510" s="10" t="s">
        <v>9370</v>
      </c>
      <c r="D4510" s="11">
        <v>42782.506655092591</v>
      </c>
      <c r="E4510" s="10" t="s">
        <v>1103</v>
      </c>
    </row>
    <row r="4511" spans="1:5">
      <c r="A4511" s="11">
        <v>42782</v>
      </c>
      <c r="B4511" s="10" t="s">
        <v>9371</v>
      </c>
      <c r="C4511" s="10" t="s">
        <v>9372</v>
      </c>
      <c r="D4511" s="11">
        <v>42782.514664351853</v>
      </c>
      <c r="E4511" s="10" t="s">
        <v>2515</v>
      </c>
    </row>
    <row r="4512" spans="1:5">
      <c r="A4512" s="11">
        <v>42782</v>
      </c>
      <c r="B4512" s="10" t="s">
        <v>9373</v>
      </c>
      <c r="C4512" s="10" t="s">
        <v>9374</v>
      </c>
      <c r="D4512" s="11">
        <v>42782.50644675926</v>
      </c>
      <c r="E4512" s="10" t="s">
        <v>1103</v>
      </c>
    </row>
    <row r="4513" spans="1:5">
      <c r="A4513" s="11">
        <v>42782</v>
      </c>
      <c r="B4513" s="10" t="s">
        <v>9375</v>
      </c>
      <c r="C4513" s="10" t="s">
        <v>9376</v>
      </c>
      <c r="D4513" s="11">
        <v>42782.506273148145</v>
      </c>
      <c r="E4513" s="10" t="s">
        <v>1103</v>
      </c>
    </row>
    <row r="4514" spans="1:5">
      <c r="A4514" s="11">
        <v>42782</v>
      </c>
      <c r="B4514" s="10" t="s">
        <v>9377</v>
      </c>
      <c r="C4514" s="10" t="s">
        <v>9378</v>
      </c>
      <c r="D4514" s="11">
        <v>42782.515497685185</v>
      </c>
      <c r="E4514" s="10" t="s">
        <v>433</v>
      </c>
    </row>
    <row r="4515" spans="1:5">
      <c r="A4515" s="11">
        <v>42782</v>
      </c>
      <c r="B4515" s="10" t="s">
        <v>9379</v>
      </c>
      <c r="C4515" s="10" t="s">
        <v>9380</v>
      </c>
      <c r="D4515" s="11">
        <v>42782.503877314812</v>
      </c>
      <c r="E4515" s="10" t="s">
        <v>152</v>
      </c>
    </row>
    <row r="4516" spans="1:5">
      <c r="A4516" s="11">
        <v>42782</v>
      </c>
      <c r="B4516" s="10" t="s">
        <v>9381</v>
      </c>
      <c r="C4516" s="10" t="s">
        <v>9382</v>
      </c>
      <c r="D4516" s="11">
        <v>42782.513865740744</v>
      </c>
      <c r="E4516" s="10" t="s">
        <v>380</v>
      </c>
    </row>
    <row r="4517" spans="1:5">
      <c r="A4517" s="11">
        <v>42782</v>
      </c>
      <c r="B4517" s="10" t="s">
        <v>9383</v>
      </c>
      <c r="C4517" s="10" t="s">
        <v>9384</v>
      </c>
      <c r="D4517" s="11">
        <v>42782.517164351855</v>
      </c>
      <c r="E4517" s="10" t="s">
        <v>433</v>
      </c>
    </row>
    <row r="4518" spans="1:5">
      <c r="A4518" s="11">
        <v>42782</v>
      </c>
      <c r="B4518" s="10" t="s">
        <v>9385</v>
      </c>
      <c r="C4518" s="10" t="s">
        <v>9386</v>
      </c>
      <c r="D4518" s="11">
        <v>42782.514976851853</v>
      </c>
      <c r="E4518" s="10" t="s">
        <v>2515</v>
      </c>
    </row>
    <row r="4519" spans="1:5" ht="21.6">
      <c r="A4519" s="11">
        <v>42782</v>
      </c>
      <c r="B4519" s="10" t="s">
        <v>9387</v>
      </c>
      <c r="C4519" s="10" t="s">
        <v>9388</v>
      </c>
      <c r="D4519" s="11">
        <v>42782.516516203701</v>
      </c>
      <c r="E4519" s="10" t="s">
        <v>3027</v>
      </c>
    </row>
    <row r="4520" spans="1:5">
      <c r="A4520" s="11">
        <v>42782</v>
      </c>
      <c r="B4520" s="10" t="s">
        <v>9389</v>
      </c>
      <c r="C4520" s="10" t="s">
        <v>9390</v>
      </c>
      <c r="D4520" s="11">
        <v>42782.517546296294</v>
      </c>
      <c r="E4520" s="10" t="s">
        <v>608</v>
      </c>
    </row>
    <row r="4521" spans="1:5">
      <c r="A4521" s="11">
        <v>42782</v>
      </c>
      <c r="B4521" s="10" t="s">
        <v>9391</v>
      </c>
      <c r="C4521" s="10" t="s">
        <v>9392</v>
      </c>
      <c r="D4521" s="11">
        <v>42782.516192129631</v>
      </c>
      <c r="E4521" s="10" t="s">
        <v>6178</v>
      </c>
    </row>
    <row r="4522" spans="1:5">
      <c r="A4522" s="11">
        <v>42782</v>
      </c>
      <c r="B4522" s="10" t="s">
        <v>9393</v>
      </c>
      <c r="C4522" s="10" t="s">
        <v>9394</v>
      </c>
      <c r="D4522" s="11">
        <v>42782.502789351849</v>
      </c>
      <c r="E4522" s="10" t="s">
        <v>380</v>
      </c>
    </row>
    <row r="4523" spans="1:5">
      <c r="A4523" s="11">
        <v>42782</v>
      </c>
      <c r="B4523" s="10" t="s">
        <v>9395</v>
      </c>
      <c r="C4523" s="10" t="s">
        <v>9396</v>
      </c>
      <c r="D4523" s="11">
        <v>42782.513715277775</v>
      </c>
      <c r="E4523" s="10" t="s">
        <v>433</v>
      </c>
    </row>
    <row r="4524" spans="1:5">
      <c r="A4524" s="11">
        <v>42782</v>
      </c>
      <c r="B4524" s="10" t="s">
        <v>9397</v>
      </c>
      <c r="C4524" s="10" t="s">
        <v>9398</v>
      </c>
      <c r="D4524" s="11">
        <v>42782.518796296295</v>
      </c>
      <c r="E4524" s="10" t="s">
        <v>902</v>
      </c>
    </row>
    <row r="4525" spans="1:5">
      <c r="A4525" s="11">
        <v>42782</v>
      </c>
      <c r="B4525" s="10" t="s">
        <v>9399</v>
      </c>
      <c r="C4525" s="10" t="s">
        <v>9400</v>
      </c>
      <c r="D4525" s="11">
        <v>42782.515069444446</v>
      </c>
      <c r="E4525" s="10" t="s">
        <v>108</v>
      </c>
    </row>
    <row r="4526" spans="1:5">
      <c r="A4526" s="11">
        <v>42782</v>
      </c>
      <c r="B4526" s="10" t="s">
        <v>9401</v>
      </c>
      <c r="C4526" s="10" t="s">
        <v>9402</v>
      </c>
      <c r="D4526" s="11">
        <v>42782.519108796296</v>
      </c>
      <c r="E4526" s="10" t="s">
        <v>625</v>
      </c>
    </row>
    <row r="4527" spans="1:5">
      <c r="A4527" s="11">
        <v>42782</v>
      </c>
      <c r="B4527" s="10" t="s">
        <v>9403</v>
      </c>
      <c r="C4527" s="10" t="s">
        <v>9404</v>
      </c>
      <c r="D4527" s="11">
        <v>42782.513437499998</v>
      </c>
      <c r="E4527" s="10" t="s">
        <v>683</v>
      </c>
    </row>
    <row r="4528" spans="1:5">
      <c r="A4528" s="11">
        <v>42782</v>
      </c>
      <c r="B4528" s="10" t="s">
        <v>9405</v>
      </c>
      <c r="C4528" s="10" t="s">
        <v>9406</v>
      </c>
      <c r="D4528" s="11">
        <v>42782.511747685188</v>
      </c>
      <c r="E4528" s="10" t="s">
        <v>707</v>
      </c>
    </row>
    <row r="4529" spans="1:5">
      <c r="A4529" s="11">
        <v>42782</v>
      </c>
      <c r="B4529" s="10" t="s">
        <v>9407</v>
      </c>
      <c r="C4529" s="10" t="s">
        <v>9408</v>
      </c>
      <c r="D4529" s="11">
        <v>42782.519745370373</v>
      </c>
      <c r="E4529" s="10" t="s">
        <v>433</v>
      </c>
    </row>
    <row r="4530" spans="1:5">
      <c r="A4530" s="11">
        <v>42782</v>
      </c>
      <c r="B4530" s="10" t="s">
        <v>9409</v>
      </c>
      <c r="C4530" s="10" t="s">
        <v>9410</v>
      </c>
      <c r="D4530" s="11">
        <v>42782.52</v>
      </c>
      <c r="E4530" s="10" t="s">
        <v>422</v>
      </c>
    </row>
    <row r="4531" spans="1:5">
      <c r="A4531" s="11">
        <v>42782</v>
      </c>
      <c r="B4531" s="10" t="s">
        <v>9411</v>
      </c>
      <c r="C4531" s="10" t="s">
        <v>9412</v>
      </c>
      <c r="D4531" s="11">
        <v>42782.514178240737</v>
      </c>
      <c r="E4531" s="10" t="s">
        <v>240</v>
      </c>
    </row>
    <row r="4532" spans="1:5">
      <c r="A4532" s="11">
        <v>42782</v>
      </c>
      <c r="B4532" s="10" t="s">
        <v>9413</v>
      </c>
      <c r="C4532" s="10" t="s">
        <v>9414</v>
      </c>
      <c r="D4532" s="11">
        <v>42782.520277777781</v>
      </c>
      <c r="E4532" s="10" t="s">
        <v>2201</v>
      </c>
    </row>
    <row r="4533" spans="1:5">
      <c r="A4533" s="11">
        <v>42782</v>
      </c>
      <c r="B4533" s="10" t="s">
        <v>9415</v>
      </c>
      <c r="C4533" s="10" t="s">
        <v>9416</v>
      </c>
      <c r="D4533" s="11">
        <v>42782.520648148151</v>
      </c>
      <c r="E4533" s="10" t="s">
        <v>433</v>
      </c>
    </row>
    <row r="4534" spans="1:5">
      <c r="A4534" s="11">
        <v>42782</v>
      </c>
      <c r="B4534" s="10" t="s">
        <v>9417</v>
      </c>
      <c r="C4534" s="10" t="s">
        <v>9418</v>
      </c>
      <c r="D4534" s="11">
        <v>42782.517997685187</v>
      </c>
      <c r="E4534" s="10" t="s">
        <v>977</v>
      </c>
    </row>
    <row r="4535" spans="1:5">
      <c r="A4535" s="11">
        <v>42782</v>
      </c>
      <c r="B4535" s="10" t="s">
        <v>9419</v>
      </c>
      <c r="C4535" s="10" t="s">
        <v>9420</v>
      </c>
      <c r="D4535" s="11">
        <v>42782.517592592594</v>
      </c>
      <c r="E4535" s="10" t="s">
        <v>178</v>
      </c>
    </row>
    <row r="4536" spans="1:5">
      <c r="A4536" s="11">
        <v>42782</v>
      </c>
      <c r="B4536" s="10" t="s">
        <v>9421</v>
      </c>
      <c r="C4536" s="10" t="s">
        <v>9422</v>
      </c>
      <c r="D4536" s="11">
        <v>42782.520983796298</v>
      </c>
      <c r="E4536" s="10" t="s">
        <v>433</v>
      </c>
    </row>
    <row r="4537" spans="1:5">
      <c r="A4537" s="11">
        <v>42782</v>
      </c>
      <c r="B4537" s="10" t="s">
        <v>9423</v>
      </c>
      <c r="C4537" s="10" t="s">
        <v>9424</v>
      </c>
      <c r="D4537" s="11">
        <v>42782.521192129629</v>
      </c>
      <c r="E4537" s="10" t="s">
        <v>433</v>
      </c>
    </row>
    <row r="4538" spans="1:5">
      <c r="A4538" s="11">
        <v>42782</v>
      </c>
      <c r="B4538" s="10" t="s">
        <v>9425</v>
      </c>
      <c r="C4538" s="10" t="s">
        <v>9426</v>
      </c>
      <c r="D4538" s="11">
        <v>42782.52140046296</v>
      </c>
      <c r="E4538" s="10" t="s">
        <v>433</v>
      </c>
    </row>
    <row r="4539" spans="1:5">
      <c r="A4539" s="11">
        <v>42782</v>
      </c>
      <c r="B4539" s="10" t="s">
        <v>9427</v>
      </c>
      <c r="C4539" s="10" t="s">
        <v>9428</v>
      </c>
      <c r="D4539" s="11">
        <v>42782.521874999999</v>
      </c>
      <c r="E4539" s="10" t="s">
        <v>433</v>
      </c>
    </row>
    <row r="4540" spans="1:5">
      <c r="A4540" s="11">
        <v>42782</v>
      </c>
      <c r="B4540" s="10" t="s">
        <v>9429</v>
      </c>
      <c r="C4540" s="10" t="s">
        <v>9430</v>
      </c>
      <c r="D4540" s="11">
        <v>42782.522187499999</v>
      </c>
      <c r="E4540" s="10" t="s">
        <v>433</v>
      </c>
    </row>
    <row r="4541" spans="1:5">
      <c r="A4541" s="11">
        <v>42782</v>
      </c>
      <c r="B4541" s="10" t="s">
        <v>9431</v>
      </c>
      <c r="C4541" s="10" t="s">
        <v>9432</v>
      </c>
      <c r="D4541" s="11">
        <v>42782.514363425929</v>
      </c>
      <c r="E4541" s="10" t="s">
        <v>96</v>
      </c>
    </row>
    <row r="4542" spans="1:5">
      <c r="A4542" s="11">
        <v>42782</v>
      </c>
      <c r="B4542" s="10" t="s">
        <v>9433</v>
      </c>
      <c r="C4542" s="10" t="s">
        <v>9434</v>
      </c>
      <c r="D4542" s="11">
        <v>42782.505335648151</v>
      </c>
      <c r="E4542" s="10" t="s">
        <v>683</v>
      </c>
    </row>
    <row r="4543" spans="1:5">
      <c r="A4543" s="11">
        <v>42782</v>
      </c>
      <c r="B4543" s="10" t="s">
        <v>9435</v>
      </c>
      <c r="C4543" s="10" t="s">
        <v>9436</v>
      </c>
      <c r="D4543" s="11">
        <v>42782.52244212963</v>
      </c>
      <c r="E4543" s="10" t="s">
        <v>433</v>
      </c>
    </row>
    <row r="4544" spans="1:5">
      <c r="A4544" s="11">
        <v>42782</v>
      </c>
      <c r="B4544" s="10" t="s">
        <v>9437</v>
      </c>
      <c r="C4544" s="10" t="s">
        <v>9438</v>
      </c>
      <c r="D4544" s="11">
        <v>42782.52065972222</v>
      </c>
      <c r="E4544" s="10" t="s">
        <v>902</v>
      </c>
    </row>
    <row r="4545" spans="1:5">
      <c r="A4545" s="11">
        <v>42782</v>
      </c>
      <c r="B4545" s="10" t="s">
        <v>9439</v>
      </c>
      <c r="C4545" s="10" t="s">
        <v>9440</v>
      </c>
      <c r="D4545" s="11">
        <v>42782.522569444445</v>
      </c>
      <c r="E4545" s="10" t="s">
        <v>433</v>
      </c>
    </row>
    <row r="4546" spans="1:5">
      <c r="A4546" s="11">
        <v>42782</v>
      </c>
      <c r="B4546" s="10" t="s">
        <v>9441</v>
      </c>
      <c r="C4546" s="10" t="s">
        <v>9442</v>
      </c>
      <c r="D4546" s="11">
        <v>42782.522685185184</v>
      </c>
      <c r="E4546" s="10" t="s">
        <v>433</v>
      </c>
    </row>
    <row r="4547" spans="1:5">
      <c r="A4547" s="11">
        <v>42782</v>
      </c>
      <c r="B4547" s="10" t="s">
        <v>9443</v>
      </c>
      <c r="C4547" s="10" t="s">
        <v>9444</v>
      </c>
      <c r="D4547" s="11">
        <v>42782.522800925923</v>
      </c>
      <c r="E4547" s="10" t="s">
        <v>859</v>
      </c>
    </row>
    <row r="4548" spans="1:5">
      <c r="A4548" s="11">
        <v>42782</v>
      </c>
      <c r="B4548" s="10" t="s">
        <v>9445</v>
      </c>
      <c r="C4548" s="10" t="s">
        <v>9446</v>
      </c>
      <c r="D4548" s="11">
        <v>42782.522812499999</v>
      </c>
      <c r="E4548" s="10" t="s">
        <v>433</v>
      </c>
    </row>
    <row r="4549" spans="1:5">
      <c r="A4549" s="11">
        <v>42782</v>
      </c>
      <c r="B4549" s="10" t="s">
        <v>9447</v>
      </c>
      <c r="C4549" s="10" t="s">
        <v>9448</v>
      </c>
      <c r="D4549" s="11">
        <v>42782.523368055554</v>
      </c>
      <c r="E4549" s="10" t="s">
        <v>433</v>
      </c>
    </row>
    <row r="4550" spans="1:5">
      <c r="A4550" s="11">
        <v>42782</v>
      </c>
      <c r="B4550" s="10" t="s">
        <v>9449</v>
      </c>
      <c r="C4550" s="10" t="s">
        <v>9450</v>
      </c>
      <c r="D4550" s="11">
        <v>42782.523449074077</v>
      </c>
      <c r="E4550" s="10" t="s">
        <v>108</v>
      </c>
    </row>
    <row r="4551" spans="1:5">
      <c r="A4551" s="11">
        <v>42782</v>
      </c>
      <c r="B4551" s="10" t="s">
        <v>9451</v>
      </c>
      <c r="C4551" s="10" t="s">
        <v>9452</v>
      </c>
      <c r="D4551" s="11">
        <v>42782.523472222223</v>
      </c>
      <c r="E4551" s="10" t="s">
        <v>433</v>
      </c>
    </row>
    <row r="4552" spans="1:5">
      <c r="A4552" s="11">
        <v>42782</v>
      </c>
      <c r="B4552" s="10" t="s">
        <v>9453</v>
      </c>
      <c r="C4552" s="10" t="s">
        <v>9454</v>
      </c>
      <c r="D4552" s="11">
        <v>42782.523587962962</v>
      </c>
      <c r="E4552" s="10" t="s">
        <v>4898</v>
      </c>
    </row>
    <row r="4553" spans="1:5">
      <c r="A4553" s="11">
        <v>42782</v>
      </c>
      <c r="B4553" s="10" t="s">
        <v>9455</v>
      </c>
      <c r="C4553" s="10" t="s">
        <v>9456</v>
      </c>
      <c r="D4553" s="11">
        <v>42782.523622685185</v>
      </c>
      <c r="E4553" s="10" t="s">
        <v>433</v>
      </c>
    </row>
    <row r="4554" spans="1:5">
      <c r="A4554" s="11">
        <v>42782</v>
      </c>
      <c r="B4554" s="10" t="s">
        <v>9457</v>
      </c>
      <c r="C4554" s="10" t="s">
        <v>9458</v>
      </c>
      <c r="D4554" s="11">
        <v>42782.523668981485</v>
      </c>
      <c r="E4554" s="10" t="s">
        <v>433</v>
      </c>
    </row>
    <row r="4555" spans="1:5">
      <c r="A4555" s="11">
        <v>42782</v>
      </c>
      <c r="B4555" s="10" t="s">
        <v>9459</v>
      </c>
      <c r="C4555" s="10" t="s">
        <v>9460</v>
      </c>
      <c r="D4555" s="11">
        <v>42782.523773148147</v>
      </c>
      <c r="E4555" s="10" t="s">
        <v>433</v>
      </c>
    </row>
    <row r="4556" spans="1:5">
      <c r="A4556" s="11">
        <v>42782</v>
      </c>
      <c r="B4556" s="10" t="s">
        <v>9461</v>
      </c>
      <c r="C4556" s="10" t="s">
        <v>9462</v>
      </c>
      <c r="D4556" s="11">
        <v>42782.523958333331</v>
      </c>
      <c r="E4556" s="10" t="s">
        <v>422</v>
      </c>
    </row>
    <row r="4557" spans="1:5">
      <c r="A4557" s="11">
        <v>42782</v>
      </c>
      <c r="B4557" s="10" t="s">
        <v>9463</v>
      </c>
      <c r="C4557" s="10" t="s">
        <v>9464</v>
      </c>
      <c r="D4557" s="11">
        <v>42782.518090277779</v>
      </c>
      <c r="E4557" s="10" t="s">
        <v>193</v>
      </c>
    </row>
    <row r="4558" spans="1:5" ht="21.6">
      <c r="A4558" s="11">
        <v>42782</v>
      </c>
      <c r="B4558" s="10" t="s">
        <v>9465</v>
      </c>
      <c r="C4558" s="10" t="s">
        <v>9466</v>
      </c>
      <c r="D4558" s="11">
        <v>42782.520740740743</v>
      </c>
      <c r="E4558" s="10" t="s">
        <v>5406</v>
      </c>
    </row>
    <row r="4559" spans="1:5">
      <c r="A4559" s="11">
        <v>42782</v>
      </c>
      <c r="B4559" s="10" t="s">
        <v>9467</v>
      </c>
      <c r="C4559" s="10" t="s">
        <v>9468</v>
      </c>
      <c r="D4559" s="11">
        <v>42782.509942129633</v>
      </c>
      <c r="E4559" s="10" t="s">
        <v>683</v>
      </c>
    </row>
    <row r="4560" spans="1:5">
      <c r="A4560" s="11">
        <v>42782</v>
      </c>
      <c r="B4560" s="10" t="s">
        <v>9469</v>
      </c>
      <c r="C4560" s="10" t="s">
        <v>9470</v>
      </c>
      <c r="D4560" s="11">
        <v>42782.523576388892</v>
      </c>
      <c r="E4560" s="10" t="s">
        <v>433</v>
      </c>
    </row>
    <row r="4561" spans="1:5">
      <c r="A4561" s="11">
        <v>42782</v>
      </c>
      <c r="B4561" s="10" t="s">
        <v>9471</v>
      </c>
      <c r="C4561" s="10" t="s">
        <v>9472</v>
      </c>
      <c r="D4561" s="11">
        <v>42782.52175925926</v>
      </c>
      <c r="E4561" s="10" t="s">
        <v>122</v>
      </c>
    </row>
    <row r="4562" spans="1:5">
      <c r="A4562" s="11">
        <v>42782</v>
      </c>
      <c r="B4562" s="10" t="s">
        <v>9473</v>
      </c>
      <c r="C4562" s="10" t="s">
        <v>9474</v>
      </c>
      <c r="D4562" s="11">
        <v>42782.519942129627</v>
      </c>
      <c r="E4562" s="10" t="s">
        <v>209</v>
      </c>
    </row>
    <row r="4563" spans="1:5">
      <c r="A4563" s="11">
        <v>42782</v>
      </c>
      <c r="B4563" s="10" t="s">
        <v>9475</v>
      </c>
      <c r="C4563" s="10" t="s">
        <v>9476</v>
      </c>
      <c r="D4563" s="11">
        <v>42782.524780092594</v>
      </c>
      <c r="E4563" s="10" t="s">
        <v>433</v>
      </c>
    </row>
    <row r="4564" spans="1:5">
      <c r="A4564" s="11">
        <v>42782</v>
      </c>
      <c r="B4564" s="10" t="s">
        <v>9477</v>
      </c>
      <c r="C4564" s="10" t="s">
        <v>9478</v>
      </c>
      <c r="D4564" s="11">
        <v>42782.52484953704</v>
      </c>
      <c r="E4564" s="10" t="s">
        <v>292</v>
      </c>
    </row>
    <row r="4565" spans="1:5">
      <c r="A4565" s="11">
        <v>42782</v>
      </c>
      <c r="B4565" s="10" t="s">
        <v>9479</v>
      </c>
      <c r="C4565" s="10" t="s">
        <v>9480</v>
      </c>
      <c r="D4565" s="11">
        <v>42782.525069444448</v>
      </c>
      <c r="E4565" s="10" t="s">
        <v>422</v>
      </c>
    </row>
    <row r="4566" spans="1:5">
      <c r="A4566" s="11">
        <v>42782</v>
      </c>
      <c r="B4566" s="10" t="s">
        <v>9481</v>
      </c>
      <c r="C4566" s="10" t="s">
        <v>9482</v>
      </c>
      <c r="D4566" s="11">
        <v>42782.525219907409</v>
      </c>
      <c r="E4566" s="10" t="s">
        <v>966</v>
      </c>
    </row>
    <row r="4567" spans="1:5">
      <c r="A4567" s="11">
        <v>42782</v>
      </c>
      <c r="B4567" s="10" t="s">
        <v>9483</v>
      </c>
      <c r="C4567" s="10" t="s">
        <v>9484</v>
      </c>
      <c r="D4567" s="11">
        <v>42782.525381944448</v>
      </c>
      <c r="E4567" s="10" t="s">
        <v>966</v>
      </c>
    </row>
    <row r="4568" spans="1:5">
      <c r="A4568" s="11">
        <v>42782</v>
      </c>
      <c r="B4568" s="10" t="s">
        <v>9485</v>
      </c>
      <c r="C4568" s="10" t="s">
        <v>9486</v>
      </c>
      <c r="D4568" s="11">
        <v>42782.52542824074</v>
      </c>
      <c r="E4568" s="10" t="s">
        <v>414</v>
      </c>
    </row>
    <row r="4569" spans="1:5">
      <c r="A4569" s="11">
        <v>42782</v>
      </c>
      <c r="B4569" s="10" t="s">
        <v>9487</v>
      </c>
      <c r="C4569" s="10" t="s">
        <v>9488</v>
      </c>
      <c r="D4569" s="11">
        <v>42782.518518518518</v>
      </c>
      <c r="E4569" s="10" t="s">
        <v>707</v>
      </c>
    </row>
    <row r="4570" spans="1:5">
      <c r="A4570" s="11">
        <v>42782</v>
      </c>
      <c r="B4570" s="10" t="s">
        <v>9489</v>
      </c>
      <c r="C4570" s="10" t="s">
        <v>9490</v>
      </c>
      <c r="D4570" s="11">
        <v>42782.525509259256</v>
      </c>
      <c r="E4570" s="10" t="s">
        <v>178</v>
      </c>
    </row>
    <row r="4571" spans="1:5">
      <c r="A4571" s="11">
        <v>42782</v>
      </c>
      <c r="B4571" s="10" t="s">
        <v>9491</v>
      </c>
      <c r="C4571" s="10" t="s">
        <v>9492</v>
      </c>
      <c r="D4571" s="11">
        <v>42782.525520833333</v>
      </c>
      <c r="E4571" s="10" t="s">
        <v>966</v>
      </c>
    </row>
    <row r="4572" spans="1:5">
      <c r="A4572" s="11">
        <v>42782</v>
      </c>
      <c r="B4572" s="10" t="s">
        <v>9493</v>
      </c>
      <c r="C4572" s="10" t="s">
        <v>9494</v>
      </c>
      <c r="D4572" s="11">
        <v>42782.525636574072</v>
      </c>
      <c r="E4572" s="10" t="s">
        <v>433</v>
      </c>
    </row>
    <row r="4573" spans="1:5">
      <c r="A4573" s="11">
        <v>42782</v>
      </c>
      <c r="B4573" s="10" t="s">
        <v>9495</v>
      </c>
      <c r="C4573" s="10" t="s">
        <v>9496</v>
      </c>
      <c r="D4573" s="11">
        <v>42782.512442129628</v>
      </c>
      <c r="E4573" s="10" t="s">
        <v>96</v>
      </c>
    </row>
    <row r="4574" spans="1:5">
      <c r="A4574" s="11">
        <v>42782</v>
      </c>
      <c r="B4574" s="10" t="s">
        <v>9497</v>
      </c>
      <c r="C4574" s="10" t="s">
        <v>9498</v>
      </c>
      <c r="D4574" s="11">
        <v>42782.525983796295</v>
      </c>
      <c r="E4574" s="10" t="s">
        <v>96</v>
      </c>
    </row>
    <row r="4575" spans="1:5">
      <c r="A4575" s="11">
        <v>42782</v>
      </c>
      <c r="B4575" s="10" t="s">
        <v>9499</v>
      </c>
      <c r="C4575" s="10" t="s">
        <v>9500</v>
      </c>
      <c r="D4575" s="11">
        <v>42782.526087962964</v>
      </c>
      <c r="E4575" s="10" t="s">
        <v>240</v>
      </c>
    </row>
    <row r="4576" spans="1:5">
      <c r="A4576" s="11">
        <v>42782</v>
      </c>
      <c r="B4576" s="10" t="s">
        <v>9501</v>
      </c>
      <c r="C4576" s="10" t="s">
        <v>9502</v>
      </c>
      <c r="D4576" s="11">
        <v>42782.505694444444</v>
      </c>
      <c r="E4576" s="10" t="s">
        <v>707</v>
      </c>
    </row>
    <row r="4577" spans="1:5">
      <c r="A4577" s="11">
        <v>42782</v>
      </c>
      <c r="B4577" s="10" t="s">
        <v>9503</v>
      </c>
      <c r="C4577" s="10" t="s">
        <v>9504</v>
      </c>
      <c r="D4577" s="11">
        <v>42782.526203703703</v>
      </c>
      <c r="E4577" s="10" t="s">
        <v>433</v>
      </c>
    </row>
    <row r="4578" spans="1:5" ht="21.6">
      <c r="A4578" s="11">
        <v>42782</v>
      </c>
      <c r="B4578" s="10" t="s">
        <v>9505</v>
      </c>
      <c r="C4578" s="10" t="s">
        <v>9506</v>
      </c>
      <c r="D4578" s="11">
        <v>42782.526226851849</v>
      </c>
      <c r="E4578" s="10" t="s">
        <v>146</v>
      </c>
    </row>
    <row r="4579" spans="1:5">
      <c r="A4579" s="11">
        <v>42782</v>
      </c>
      <c r="B4579" s="10" t="s">
        <v>9507</v>
      </c>
      <c r="C4579" s="10" t="s">
        <v>9508</v>
      </c>
      <c r="D4579" s="11">
        <v>42782.516550925924</v>
      </c>
      <c r="E4579" s="10" t="s">
        <v>237</v>
      </c>
    </row>
    <row r="4580" spans="1:5">
      <c r="A4580" s="11">
        <v>42782</v>
      </c>
      <c r="B4580" s="10" t="s">
        <v>9509</v>
      </c>
      <c r="C4580" s="10" t="s">
        <v>9510</v>
      </c>
      <c r="D4580" s="11">
        <v>42782.524212962962</v>
      </c>
      <c r="E4580" s="10" t="s">
        <v>237</v>
      </c>
    </row>
    <row r="4581" spans="1:5">
      <c r="A4581" s="11">
        <v>42782</v>
      </c>
      <c r="B4581" s="10" t="s">
        <v>9511</v>
      </c>
      <c r="C4581" s="10" t="s">
        <v>9512</v>
      </c>
      <c r="D4581" s="11">
        <v>42782.522615740738</v>
      </c>
      <c r="E4581" s="10" t="s">
        <v>96</v>
      </c>
    </row>
    <row r="4582" spans="1:5">
      <c r="A4582" s="11">
        <v>42782</v>
      </c>
      <c r="B4582" s="10" t="s">
        <v>9513</v>
      </c>
      <c r="C4582" s="10" t="s">
        <v>9514</v>
      </c>
      <c r="D4582" s="11">
        <v>42782.524155092593</v>
      </c>
      <c r="E4582" s="10" t="s">
        <v>2124</v>
      </c>
    </row>
    <row r="4583" spans="1:5">
      <c r="A4583" s="11">
        <v>42782</v>
      </c>
      <c r="B4583" s="10" t="s">
        <v>9515</v>
      </c>
      <c r="C4583" s="10" t="s">
        <v>9516</v>
      </c>
      <c r="D4583" s="11">
        <v>42782.525208333333</v>
      </c>
      <c r="E4583" s="10" t="s">
        <v>2180</v>
      </c>
    </row>
    <row r="4584" spans="1:5">
      <c r="A4584" s="11">
        <v>42782</v>
      </c>
      <c r="B4584" s="10" t="s">
        <v>9517</v>
      </c>
      <c r="C4584" s="10" t="s">
        <v>9518</v>
      </c>
      <c r="D4584" s="11">
        <v>42782.527349537035</v>
      </c>
      <c r="E4584" s="10" t="s">
        <v>122</v>
      </c>
    </row>
    <row r="4585" spans="1:5">
      <c r="A4585" s="11">
        <v>42782</v>
      </c>
      <c r="B4585" s="10" t="s">
        <v>9519</v>
      </c>
      <c r="C4585" s="10" t="s">
        <v>9520</v>
      </c>
      <c r="D4585" s="11">
        <v>42782.525937500002</v>
      </c>
      <c r="E4585" s="10" t="s">
        <v>96</v>
      </c>
    </row>
    <row r="4586" spans="1:5">
      <c r="A4586" s="11">
        <v>42782</v>
      </c>
      <c r="B4586" s="10" t="s">
        <v>9521</v>
      </c>
      <c r="C4586" s="10" t="s">
        <v>9522</v>
      </c>
      <c r="D4586" s="11">
        <v>42782.527303240742</v>
      </c>
      <c r="E4586" s="10" t="s">
        <v>2180</v>
      </c>
    </row>
    <row r="4587" spans="1:5">
      <c r="A4587" s="11">
        <v>42782</v>
      </c>
      <c r="B4587" s="10" t="s">
        <v>9523</v>
      </c>
      <c r="C4587" s="10" t="s">
        <v>9524</v>
      </c>
      <c r="D4587" s="11">
        <v>42782.527615740742</v>
      </c>
      <c r="E4587" s="10" t="s">
        <v>2201</v>
      </c>
    </row>
    <row r="4588" spans="1:5">
      <c r="A4588" s="11">
        <v>42782</v>
      </c>
      <c r="B4588" s="10" t="s">
        <v>9525</v>
      </c>
      <c r="C4588" s="10" t="s">
        <v>9526</v>
      </c>
      <c r="D4588" s="11">
        <v>42782.527939814812</v>
      </c>
      <c r="E4588" s="10" t="s">
        <v>414</v>
      </c>
    </row>
    <row r="4589" spans="1:5">
      <c r="A4589" s="11">
        <v>42782</v>
      </c>
      <c r="B4589" s="10" t="s">
        <v>9527</v>
      </c>
      <c r="C4589" s="10" t="s">
        <v>9528</v>
      </c>
      <c r="D4589" s="11">
        <v>42782.52547453704</v>
      </c>
      <c r="E4589" s="10" t="s">
        <v>2515</v>
      </c>
    </row>
    <row r="4590" spans="1:5">
      <c r="A4590" s="11">
        <v>42782</v>
      </c>
      <c r="B4590" s="10" t="s">
        <v>9529</v>
      </c>
      <c r="C4590" s="10" t="s">
        <v>9530</v>
      </c>
      <c r="D4590" s="11">
        <v>42782.528321759259</v>
      </c>
      <c r="E4590" s="10" t="s">
        <v>422</v>
      </c>
    </row>
    <row r="4591" spans="1:5">
      <c r="A4591" s="11">
        <v>42782</v>
      </c>
      <c r="B4591" s="10" t="s">
        <v>9531</v>
      </c>
      <c r="C4591" s="10" t="s">
        <v>9532</v>
      </c>
      <c r="D4591" s="11">
        <v>42782.525775462964</v>
      </c>
      <c r="E4591" s="10" t="s">
        <v>433</v>
      </c>
    </row>
    <row r="4592" spans="1:5">
      <c r="A4592" s="11">
        <v>42782</v>
      </c>
      <c r="B4592" s="10" t="s">
        <v>9533</v>
      </c>
      <c r="C4592" s="10" t="s">
        <v>9534</v>
      </c>
      <c r="D4592" s="11">
        <v>42782.528831018521</v>
      </c>
      <c r="E4592" s="10" t="s">
        <v>9535</v>
      </c>
    </row>
    <row r="4593" spans="1:5">
      <c r="A4593" s="11">
        <v>42782</v>
      </c>
      <c r="B4593" s="10" t="s">
        <v>9536</v>
      </c>
      <c r="C4593" s="10" t="s">
        <v>9537</v>
      </c>
      <c r="D4593" s="11">
        <v>42782.528946759259</v>
      </c>
      <c r="E4593" s="10" t="s">
        <v>966</v>
      </c>
    </row>
    <row r="4594" spans="1:5">
      <c r="A4594" s="11">
        <v>42782</v>
      </c>
      <c r="B4594" s="10" t="s">
        <v>9538</v>
      </c>
      <c r="C4594" s="10" t="s">
        <v>9539</v>
      </c>
      <c r="D4594" s="11">
        <v>42782.50309027778</v>
      </c>
      <c r="E4594" s="10" t="s">
        <v>433</v>
      </c>
    </row>
    <row r="4595" spans="1:5">
      <c r="A4595" s="11">
        <v>42782</v>
      </c>
      <c r="B4595" s="10" t="s">
        <v>9540</v>
      </c>
      <c r="C4595" s="10" t="s">
        <v>9541</v>
      </c>
      <c r="D4595" s="11">
        <v>42782.52921296296</v>
      </c>
      <c r="E4595" s="10" t="s">
        <v>433</v>
      </c>
    </row>
    <row r="4596" spans="1:5">
      <c r="A4596" s="11">
        <v>42782</v>
      </c>
      <c r="B4596" s="10" t="s">
        <v>9542</v>
      </c>
      <c r="C4596" s="10" t="s">
        <v>9543</v>
      </c>
      <c r="D4596" s="11">
        <v>42782.525740740741</v>
      </c>
      <c r="E4596" s="10" t="s">
        <v>2995</v>
      </c>
    </row>
    <row r="4597" spans="1:5">
      <c r="A4597" s="11">
        <v>42782</v>
      </c>
      <c r="B4597" s="10" t="s">
        <v>9544</v>
      </c>
      <c r="C4597" s="10" t="s">
        <v>9545</v>
      </c>
      <c r="D4597" s="11">
        <v>42782.529398148145</v>
      </c>
      <c r="E4597" s="10" t="s">
        <v>433</v>
      </c>
    </row>
    <row r="4598" spans="1:5">
      <c r="A4598" s="11">
        <v>42782</v>
      </c>
      <c r="B4598" s="10" t="s">
        <v>9546</v>
      </c>
      <c r="C4598" s="10" t="s">
        <v>9547</v>
      </c>
      <c r="D4598" s="11">
        <v>42782.529907407406</v>
      </c>
      <c r="E4598" s="10" t="s">
        <v>966</v>
      </c>
    </row>
    <row r="4599" spans="1:5">
      <c r="A4599" s="11">
        <v>42782</v>
      </c>
      <c r="B4599" s="10" t="s">
        <v>9548</v>
      </c>
      <c r="C4599" s="10" t="s">
        <v>9549</v>
      </c>
      <c r="D4599" s="11">
        <v>42782.529328703706</v>
      </c>
      <c r="E4599" s="10" t="s">
        <v>96</v>
      </c>
    </row>
    <row r="4600" spans="1:5">
      <c r="A4600" s="11">
        <v>42782</v>
      </c>
      <c r="B4600" s="10" t="s">
        <v>9550</v>
      </c>
      <c r="C4600" s="10" t="s">
        <v>9551</v>
      </c>
      <c r="D4600" s="11">
        <v>42782.530162037037</v>
      </c>
      <c r="E4600" s="10" t="s">
        <v>433</v>
      </c>
    </row>
    <row r="4601" spans="1:5">
      <c r="A4601" s="11">
        <v>42782</v>
      </c>
      <c r="B4601" s="10" t="s">
        <v>9552</v>
      </c>
      <c r="C4601" s="10" t="s">
        <v>9553</v>
      </c>
      <c r="D4601" s="11">
        <v>42782.530381944445</v>
      </c>
      <c r="E4601" s="10" t="s">
        <v>966</v>
      </c>
    </row>
    <row r="4602" spans="1:5">
      <c r="A4602" s="11">
        <v>42782</v>
      </c>
      <c r="B4602" s="10" t="s">
        <v>9554</v>
      </c>
      <c r="C4602" s="10" t="s">
        <v>9555</v>
      </c>
      <c r="D4602" s="11">
        <v>42782.530555555553</v>
      </c>
      <c r="E4602" s="10" t="s">
        <v>966</v>
      </c>
    </row>
    <row r="4603" spans="1:5">
      <c r="A4603" s="11">
        <v>42782</v>
      </c>
      <c r="B4603" s="10" t="s">
        <v>9556</v>
      </c>
      <c r="C4603" s="10" t="s">
        <v>9557</v>
      </c>
      <c r="D4603" s="11">
        <v>42782.530578703707</v>
      </c>
      <c r="E4603" s="10" t="s">
        <v>122</v>
      </c>
    </row>
    <row r="4604" spans="1:5">
      <c r="A4604" s="11">
        <v>42782</v>
      </c>
      <c r="B4604" s="10" t="s">
        <v>9558</v>
      </c>
      <c r="C4604" s="10" t="s">
        <v>9559</v>
      </c>
      <c r="D4604" s="11">
        <v>42782.531076388892</v>
      </c>
      <c r="E4604" s="10" t="s">
        <v>203</v>
      </c>
    </row>
    <row r="4605" spans="1:5">
      <c r="A4605" s="11">
        <v>42782</v>
      </c>
      <c r="B4605" s="10" t="s">
        <v>9560</v>
      </c>
      <c r="C4605" s="10" t="s">
        <v>9561</v>
      </c>
      <c r="D4605" s="11">
        <v>42782.676388888889</v>
      </c>
      <c r="E4605" s="10" t="s">
        <v>122</v>
      </c>
    </row>
    <row r="4606" spans="1:5">
      <c r="A4606" s="11">
        <v>42782</v>
      </c>
      <c r="B4606" s="10" t="s">
        <v>9562</v>
      </c>
      <c r="C4606" s="10" t="s">
        <v>9563</v>
      </c>
      <c r="D4606" s="11">
        <v>42782.529606481483</v>
      </c>
      <c r="E4606" s="10" t="s">
        <v>2144</v>
      </c>
    </row>
    <row r="4607" spans="1:5">
      <c r="A4607" s="11">
        <v>42782</v>
      </c>
      <c r="B4607" s="10" t="s">
        <v>9564</v>
      </c>
      <c r="C4607" s="10" t="s">
        <v>9565</v>
      </c>
      <c r="D4607" s="11">
        <v>42782.676238425927</v>
      </c>
      <c r="E4607" s="10" t="s">
        <v>122</v>
      </c>
    </row>
    <row r="4608" spans="1:5">
      <c r="A4608" s="11">
        <v>42782</v>
      </c>
      <c r="B4608" s="10" t="s">
        <v>9566</v>
      </c>
      <c r="C4608" s="10" t="s">
        <v>9567</v>
      </c>
      <c r="D4608" s="11">
        <v>42782.512546296297</v>
      </c>
      <c r="E4608" s="10" t="s">
        <v>2180</v>
      </c>
    </row>
    <row r="4609" spans="1:5">
      <c r="A4609" s="11">
        <v>42782</v>
      </c>
      <c r="B4609" s="10" t="s">
        <v>9568</v>
      </c>
      <c r="C4609" s="10" t="s">
        <v>9569</v>
      </c>
      <c r="D4609" s="11">
        <v>42782.531064814815</v>
      </c>
      <c r="E4609" s="10" t="s">
        <v>433</v>
      </c>
    </row>
    <row r="4610" spans="1:5">
      <c r="A4610" s="11">
        <v>42782</v>
      </c>
      <c r="B4610" s="10" t="s">
        <v>9570</v>
      </c>
      <c r="C4610" s="10" t="s">
        <v>9571</v>
      </c>
      <c r="D4610" s="11">
        <v>42782.522511574076</v>
      </c>
      <c r="E4610" s="10" t="s">
        <v>707</v>
      </c>
    </row>
    <row r="4611" spans="1:5">
      <c r="A4611" s="11">
        <v>42782</v>
      </c>
      <c r="B4611" s="10" t="s">
        <v>9572</v>
      </c>
      <c r="C4611" s="10" t="s">
        <v>9573</v>
      </c>
      <c r="D4611" s="11">
        <v>42782.532152777778</v>
      </c>
      <c r="E4611" s="10" t="s">
        <v>433</v>
      </c>
    </row>
    <row r="4612" spans="1:5">
      <c r="A4612" s="11">
        <v>42782</v>
      </c>
      <c r="B4612" s="10" t="s">
        <v>9574</v>
      </c>
      <c r="C4612" s="10" t="s">
        <v>9575</v>
      </c>
      <c r="D4612" s="11">
        <v>42782.53230324074</v>
      </c>
      <c r="E4612" s="10" t="s">
        <v>966</v>
      </c>
    </row>
    <row r="4613" spans="1:5">
      <c r="A4613" s="11">
        <v>42782</v>
      </c>
      <c r="B4613" s="10" t="s">
        <v>9576</v>
      </c>
      <c r="C4613" s="10" t="s">
        <v>9577</v>
      </c>
      <c r="D4613" s="11">
        <v>42782.5309837963</v>
      </c>
      <c r="E4613" s="10" t="s">
        <v>193</v>
      </c>
    </row>
    <row r="4614" spans="1:5">
      <c r="A4614" s="11">
        <v>42782</v>
      </c>
      <c r="B4614" s="10" t="s">
        <v>9578</v>
      </c>
      <c r="C4614" s="10" t="s">
        <v>9579</v>
      </c>
      <c r="D4614" s="11">
        <v>42782.528055555558</v>
      </c>
      <c r="E4614" s="10" t="s">
        <v>422</v>
      </c>
    </row>
    <row r="4615" spans="1:5">
      <c r="A4615" s="11">
        <v>42782</v>
      </c>
      <c r="B4615" s="10" t="s">
        <v>9580</v>
      </c>
      <c r="C4615" s="10" t="s">
        <v>9581</v>
      </c>
      <c r="D4615" s="11">
        <v>42782.533437500002</v>
      </c>
      <c r="E4615" s="10" t="s">
        <v>2538</v>
      </c>
    </row>
    <row r="4616" spans="1:5">
      <c r="A4616" s="11">
        <v>42782</v>
      </c>
      <c r="B4616" s="10" t="s">
        <v>9582</v>
      </c>
      <c r="C4616" s="10" t="s">
        <v>9583</v>
      </c>
      <c r="D4616" s="11">
        <v>42782.533495370371</v>
      </c>
      <c r="E4616" s="10" t="s">
        <v>966</v>
      </c>
    </row>
    <row r="4617" spans="1:5">
      <c r="A4617" s="11">
        <v>42782</v>
      </c>
      <c r="B4617" s="10" t="s">
        <v>9584</v>
      </c>
      <c r="C4617" s="10" t="s">
        <v>9585</v>
      </c>
      <c r="D4617" s="11">
        <v>42782.533356481479</v>
      </c>
      <c r="E4617" s="10" t="s">
        <v>373</v>
      </c>
    </row>
    <row r="4618" spans="1:5">
      <c r="A4618" s="11">
        <v>42782</v>
      </c>
      <c r="B4618" s="10" t="s">
        <v>9586</v>
      </c>
      <c r="C4618" s="10" t="s">
        <v>9587</v>
      </c>
      <c r="D4618" s="11">
        <v>42782.547673611109</v>
      </c>
      <c r="E4618" s="10" t="s">
        <v>6183</v>
      </c>
    </row>
    <row r="4619" spans="1:5">
      <c r="A4619" s="11">
        <v>42782</v>
      </c>
      <c r="B4619" s="10" t="s">
        <v>9588</v>
      </c>
      <c r="C4619" s="10" t="s">
        <v>9589</v>
      </c>
      <c r="D4619" s="11">
        <v>42782.533935185187</v>
      </c>
      <c r="E4619" s="10" t="s">
        <v>966</v>
      </c>
    </row>
    <row r="4620" spans="1:5">
      <c r="A4620" s="11">
        <v>42782</v>
      </c>
      <c r="B4620" s="10" t="s">
        <v>9590</v>
      </c>
      <c r="C4620" s="10" t="s">
        <v>9591</v>
      </c>
      <c r="D4620" s="11">
        <v>42782.529722222222</v>
      </c>
      <c r="E4620" s="10" t="s">
        <v>433</v>
      </c>
    </row>
    <row r="4621" spans="1:5">
      <c r="A4621" s="11">
        <v>42782</v>
      </c>
      <c r="B4621" s="10" t="s">
        <v>9592</v>
      </c>
      <c r="C4621" s="10" t="s">
        <v>9593</v>
      </c>
      <c r="D4621" s="11">
        <v>42782.534166666665</v>
      </c>
      <c r="E4621" s="10" t="s">
        <v>433</v>
      </c>
    </row>
    <row r="4622" spans="1:5">
      <c r="A4622" s="11">
        <v>42782</v>
      </c>
      <c r="B4622" s="10" t="s">
        <v>9594</v>
      </c>
      <c r="C4622" s="10" t="s">
        <v>9595</v>
      </c>
      <c r="D4622" s="11">
        <v>42782.533738425926</v>
      </c>
      <c r="E4622" s="10" t="s">
        <v>308</v>
      </c>
    </row>
    <row r="4623" spans="1:5">
      <c r="A4623" s="11">
        <v>42782</v>
      </c>
      <c r="B4623" s="10" t="s">
        <v>9596</v>
      </c>
      <c r="C4623" s="10" t="s">
        <v>9597</v>
      </c>
      <c r="D4623" s="11">
        <v>42782.534375000003</v>
      </c>
      <c r="E4623" s="10" t="s">
        <v>707</v>
      </c>
    </row>
    <row r="4624" spans="1:5">
      <c r="A4624" s="11">
        <v>42782</v>
      </c>
      <c r="B4624" s="10" t="s">
        <v>9598</v>
      </c>
      <c r="C4624" s="10" t="s">
        <v>9599</v>
      </c>
      <c r="D4624" s="11">
        <v>42782.511435185188</v>
      </c>
      <c r="E4624" s="10" t="s">
        <v>4865</v>
      </c>
    </row>
    <row r="4625" spans="1:5">
      <c r="A4625" s="11">
        <v>42782</v>
      </c>
      <c r="B4625" s="10" t="s">
        <v>9600</v>
      </c>
      <c r="C4625" s="10" t="s">
        <v>9601</v>
      </c>
      <c r="D4625" s="11">
        <v>42782.518182870372</v>
      </c>
      <c r="E4625" s="10" t="s">
        <v>373</v>
      </c>
    </row>
    <row r="4626" spans="1:5">
      <c r="A4626" s="11">
        <v>42782</v>
      </c>
      <c r="B4626" s="10" t="s">
        <v>9602</v>
      </c>
      <c r="C4626" s="10" t="s">
        <v>9603</v>
      </c>
      <c r="D4626" s="11">
        <v>42782.593784722223</v>
      </c>
      <c r="E4626" s="10" t="s">
        <v>209</v>
      </c>
    </row>
    <row r="4627" spans="1:5">
      <c r="A4627" s="11">
        <v>42782</v>
      </c>
      <c r="B4627" s="10" t="s">
        <v>9604</v>
      </c>
      <c r="C4627" s="10" t="s">
        <v>9605</v>
      </c>
      <c r="D4627" s="11">
        <v>42782.535300925927</v>
      </c>
      <c r="E4627" s="10" t="s">
        <v>122</v>
      </c>
    </row>
    <row r="4628" spans="1:5">
      <c r="A4628" s="11">
        <v>42782</v>
      </c>
      <c r="B4628" s="10" t="s">
        <v>9606</v>
      </c>
      <c r="C4628" s="10" t="s">
        <v>9607</v>
      </c>
      <c r="D4628" s="11">
        <v>42782.624293981484</v>
      </c>
      <c r="E4628" s="10" t="s">
        <v>122</v>
      </c>
    </row>
    <row r="4629" spans="1:5">
      <c r="A4629" s="11">
        <v>42782</v>
      </c>
      <c r="B4629" s="10" t="s">
        <v>9608</v>
      </c>
      <c r="C4629" s="10" t="s">
        <v>9609</v>
      </c>
      <c r="D4629" s="11">
        <v>42782.535451388889</v>
      </c>
      <c r="E4629" s="10" t="s">
        <v>122</v>
      </c>
    </row>
    <row r="4630" spans="1:5">
      <c r="A4630" s="11">
        <v>42782</v>
      </c>
      <c r="B4630" s="10" t="s">
        <v>9610</v>
      </c>
      <c r="C4630" s="10" t="s">
        <v>9611</v>
      </c>
      <c r="D4630" s="11">
        <v>42782.531643518516</v>
      </c>
      <c r="E4630" s="10" t="s">
        <v>4862</v>
      </c>
    </row>
    <row r="4631" spans="1:5">
      <c r="A4631" s="11">
        <v>42782</v>
      </c>
      <c r="B4631" s="10" t="s">
        <v>9612</v>
      </c>
      <c r="C4631" s="10" t="s">
        <v>9613</v>
      </c>
      <c r="D4631" s="11">
        <v>42782.697418981479</v>
      </c>
      <c r="E4631" s="10" t="s">
        <v>240</v>
      </c>
    </row>
    <row r="4632" spans="1:5">
      <c r="A4632" s="11">
        <v>42782</v>
      </c>
      <c r="B4632" s="10" t="s">
        <v>9614</v>
      </c>
      <c r="C4632" s="10" t="s">
        <v>9615</v>
      </c>
      <c r="D4632" s="11">
        <v>42782.534224537034</v>
      </c>
      <c r="E4632" s="10" t="s">
        <v>2442</v>
      </c>
    </row>
    <row r="4633" spans="1:5">
      <c r="A4633" s="11">
        <v>42782</v>
      </c>
      <c r="B4633" s="10" t="s">
        <v>9616</v>
      </c>
      <c r="C4633" s="10" t="s">
        <v>9617</v>
      </c>
      <c r="D4633" s="11">
        <v>42782.548055555555</v>
      </c>
      <c r="E4633" s="10" t="s">
        <v>2688</v>
      </c>
    </row>
    <row r="4634" spans="1:5">
      <c r="A4634" s="11">
        <v>42782</v>
      </c>
      <c r="B4634" s="10" t="s">
        <v>9618</v>
      </c>
      <c r="C4634" s="10" t="s">
        <v>9619</v>
      </c>
      <c r="D4634" s="11">
        <v>42782.533379629633</v>
      </c>
      <c r="E4634" s="10" t="s">
        <v>96</v>
      </c>
    </row>
    <row r="4635" spans="1:5">
      <c r="A4635" s="11">
        <v>42782</v>
      </c>
      <c r="B4635" s="10" t="s">
        <v>9620</v>
      </c>
      <c r="C4635" s="10" t="s">
        <v>9621</v>
      </c>
      <c r="D4635" s="11">
        <v>42782.509710648148</v>
      </c>
      <c r="E4635" s="10" t="s">
        <v>96</v>
      </c>
    </row>
    <row r="4636" spans="1:5">
      <c r="A4636" s="11">
        <v>42782</v>
      </c>
      <c r="B4636" s="10" t="s">
        <v>9622</v>
      </c>
      <c r="C4636" s="10" t="s">
        <v>9623</v>
      </c>
      <c r="D4636" s="11">
        <v>42782.532581018517</v>
      </c>
      <c r="E4636" s="10" t="s">
        <v>1092</v>
      </c>
    </row>
    <row r="4637" spans="1:5">
      <c r="A4637" s="11">
        <v>42782</v>
      </c>
      <c r="B4637" s="10" t="s">
        <v>9624</v>
      </c>
      <c r="C4637" s="10" t="s">
        <v>9625</v>
      </c>
      <c r="D4637" s="11">
        <v>42782.5309375</v>
      </c>
      <c r="E4637" s="10" t="s">
        <v>2180</v>
      </c>
    </row>
    <row r="4638" spans="1:5">
      <c r="A4638" s="11">
        <v>42782</v>
      </c>
      <c r="B4638" s="10" t="s">
        <v>9626</v>
      </c>
      <c r="C4638" s="10" t="s">
        <v>9627</v>
      </c>
      <c r="D4638" s="11">
        <v>42782.526099537034</v>
      </c>
      <c r="E4638" s="10" t="s">
        <v>433</v>
      </c>
    </row>
    <row r="4639" spans="1:5">
      <c r="A4639" s="11">
        <v>42782</v>
      </c>
      <c r="B4639" s="10" t="s">
        <v>9628</v>
      </c>
      <c r="C4639" s="10" t="s">
        <v>9629</v>
      </c>
      <c r="D4639" s="11">
        <v>42782.529050925928</v>
      </c>
      <c r="E4639" s="10" t="s">
        <v>625</v>
      </c>
    </row>
    <row r="4640" spans="1:5">
      <c r="A4640" s="11">
        <v>42782</v>
      </c>
      <c r="B4640" s="10" t="s">
        <v>9630</v>
      </c>
      <c r="C4640" s="10" t="s">
        <v>9631</v>
      </c>
      <c r="D4640" s="11">
        <v>42782.532002314816</v>
      </c>
      <c r="E4640" s="10" t="s">
        <v>3570</v>
      </c>
    </row>
    <row r="4641" spans="1:5">
      <c r="A4641" s="11">
        <v>42782</v>
      </c>
      <c r="B4641" s="10" t="s">
        <v>9632</v>
      </c>
      <c r="C4641" s="10" t="s">
        <v>9633</v>
      </c>
      <c r="D4641" s="11">
        <v>42782.537592592591</v>
      </c>
      <c r="E4641" s="10" t="s">
        <v>320</v>
      </c>
    </row>
    <row r="4642" spans="1:5">
      <c r="A4642" s="11">
        <v>42782</v>
      </c>
      <c r="B4642" s="10" t="s">
        <v>9634</v>
      </c>
      <c r="C4642" s="10" t="s">
        <v>9635</v>
      </c>
      <c r="D4642" s="11">
        <v>42782.536203703705</v>
      </c>
      <c r="E4642" s="10" t="s">
        <v>422</v>
      </c>
    </row>
    <row r="4643" spans="1:5">
      <c r="A4643" s="11">
        <v>42782</v>
      </c>
      <c r="B4643" s="10" t="s">
        <v>9636</v>
      </c>
      <c r="C4643" s="10" t="s">
        <v>9637</v>
      </c>
      <c r="D4643" s="11">
        <v>42782.537951388891</v>
      </c>
      <c r="E4643" s="10" t="s">
        <v>193</v>
      </c>
    </row>
    <row r="4644" spans="1:5">
      <c r="A4644" s="11">
        <v>42782</v>
      </c>
      <c r="B4644" s="10" t="s">
        <v>9638</v>
      </c>
      <c r="C4644" s="10" t="s">
        <v>9639</v>
      </c>
      <c r="D4644" s="11">
        <v>42782.697164351855</v>
      </c>
      <c r="E4644" s="10" t="s">
        <v>320</v>
      </c>
    </row>
    <row r="4645" spans="1:5">
      <c r="A4645" s="11">
        <v>42782</v>
      </c>
      <c r="B4645" s="10" t="s">
        <v>9640</v>
      </c>
      <c r="C4645" s="10" t="s">
        <v>9641</v>
      </c>
      <c r="D4645" s="11">
        <v>42782.627939814818</v>
      </c>
      <c r="E4645" s="10" t="s">
        <v>683</v>
      </c>
    </row>
    <row r="4646" spans="1:5">
      <c r="A4646" s="11">
        <v>42782</v>
      </c>
      <c r="B4646" s="10" t="s">
        <v>9642</v>
      </c>
      <c r="C4646" s="10" t="s">
        <v>9643</v>
      </c>
      <c r="D4646" s="11">
        <v>42782.538182870368</v>
      </c>
      <c r="E4646" s="10" t="s">
        <v>373</v>
      </c>
    </row>
    <row r="4647" spans="1:5">
      <c r="A4647" s="11">
        <v>42782</v>
      </c>
      <c r="B4647" s="10" t="s">
        <v>9644</v>
      </c>
      <c r="C4647" s="10" t="s">
        <v>9645</v>
      </c>
      <c r="D4647" s="11">
        <v>42782.538287037038</v>
      </c>
      <c r="E4647" s="10" t="s">
        <v>433</v>
      </c>
    </row>
    <row r="4648" spans="1:5">
      <c r="A4648" s="11">
        <v>42782</v>
      </c>
      <c r="B4648" s="10" t="s">
        <v>9646</v>
      </c>
      <c r="C4648" s="10" t="s">
        <v>9647</v>
      </c>
      <c r="D4648" s="11">
        <v>42782.538761574076</v>
      </c>
      <c r="E4648" s="10" t="s">
        <v>108</v>
      </c>
    </row>
    <row r="4649" spans="1:5">
      <c r="A4649" s="11">
        <v>42782</v>
      </c>
      <c r="B4649" s="10" t="s">
        <v>9648</v>
      </c>
      <c r="C4649" s="10" t="s">
        <v>9649</v>
      </c>
      <c r="D4649" s="11">
        <v>42782.518136574072</v>
      </c>
      <c r="E4649" s="10" t="s">
        <v>96</v>
      </c>
    </row>
    <row r="4650" spans="1:5">
      <c r="A4650" s="11">
        <v>42782</v>
      </c>
      <c r="B4650" s="10" t="s">
        <v>9650</v>
      </c>
      <c r="C4650" s="10" t="s">
        <v>9651</v>
      </c>
      <c r="D4650" s="11">
        <v>42782.526944444442</v>
      </c>
      <c r="E4650" s="10" t="s">
        <v>2442</v>
      </c>
    </row>
    <row r="4651" spans="1:5">
      <c r="A4651" s="11">
        <v>42782</v>
      </c>
      <c r="B4651" s="10" t="s">
        <v>9652</v>
      </c>
      <c r="C4651" s="10" t="s">
        <v>9653</v>
      </c>
      <c r="D4651" s="11">
        <v>42782.520509259259</v>
      </c>
      <c r="E4651" s="10" t="s">
        <v>2183</v>
      </c>
    </row>
    <row r="4652" spans="1:5">
      <c r="A4652" s="11">
        <v>42782</v>
      </c>
      <c r="B4652" s="10" t="s">
        <v>9654</v>
      </c>
      <c r="C4652" s="10" t="s">
        <v>9655</v>
      </c>
      <c r="D4652" s="11">
        <v>42782.539699074077</v>
      </c>
      <c r="E4652" s="10" t="s">
        <v>240</v>
      </c>
    </row>
    <row r="4653" spans="1:5">
      <c r="A4653" s="11">
        <v>42782</v>
      </c>
      <c r="B4653" s="10" t="s">
        <v>9656</v>
      </c>
      <c r="C4653" s="10" t="s">
        <v>9657</v>
      </c>
      <c r="D4653" s="11">
        <v>42782.5391087963</v>
      </c>
      <c r="E4653" s="10" t="s">
        <v>373</v>
      </c>
    </row>
    <row r="4654" spans="1:5">
      <c r="A4654" s="11">
        <v>42782</v>
      </c>
      <c r="B4654" s="10" t="s">
        <v>9658</v>
      </c>
      <c r="C4654" s="10" t="s">
        <v>9659</v>
      </c>
      <c r="D4654" s="11">
        <v>42782.532222222224</v>
      </c>
      <c r="E4654" s="10" t="s">
        <v>130</v>
      </c>
    </row>
    <row r="4655" spans="1:5">
      <c r="A4655" s="11">
        <v>42782</v>
      </c>
      <c r="B4655" s="10" t="s">
        <v>9660</v>
      </c>
      <c r="C4655" s="10" t="s">
        <v>9661</v>
      </c>
      <c r="D4655" s="11">
        <v>42782.538738425923</v>
      </c>
      <c r="E4655" s="10" t="s">
        <v>656</v>
      </c>
    </row>
    <row r="4656" spans="1:5">
      <c r="A4656" s="11">
        <v>42782</v>
      </c>
      <c r="B4656" s="10" t="s">
        <v>9662</v>
      </c>
      <c r="C4656" s="10" t="s">
        <v>9663</v>
      </c>
      <c r="D4656" s="11">
        <v>42782.521134259259</v>
      </c>
      <c r="E4656" s="10" t="s">
        <v>433</v>
      </c>
    </row>
    <row r="4657" spans="1:5">
      <c r="A4657" s="11">
        <v>42782</v>
      </c>
      <c r="B4657" s="10" t="s">
        <v>9664</v>
      </c>
      <c r="C4657" s="10" t="s">
        <v>9665</v>
      </c>
      <c r="D4657" s="11">
        <v>42782.540625000001</v>
      </c>
      <c r="E4657" s="10" t="s">
        <v>707</v>
      </c>
    </row>
    <row r="4658" spans="1:5">
      <c r="A4658" s="11">
        <v>42782</v>
      </c>
      <c r="B4658" s="10" t="s">
        <v>9666</v>
      </c>
      <c r="C4658" s="10" t="s">
        <v>9667</v>
      </c>
      <c r="D4658" s="11">
        <v>42782.540833333333</v>
      </c>
      <c r="E4658" s="10" t="s">
        <v>422</v>
      </c>
    </row>
    <row r="4659" spans="1:5">
      <c r="A4659" s="11">
        <v>42782</v>
      </c>
      <c r="B4659" s="10" t="s">
        <v>9668</v>
      </c>
      <c r="C4659" s="10" t="s">
        <v>9669</v>
      </c>
      <c r="D4659" s="11">
        <v>42782.526759259257</v>
      </c>
      <c r="E4659" s="10" t="s">
        <v>707</v>
      </c>
    </row>
    <row r="4660" spans="1:5">
      <c r="A4660" s="11">
        <v>42782</v>
      </c>
      <c r="B4660" s="10" t="s">
        <v>9670</v>
      </c>
      <c r="C4660" s="10" t="s">
        <v>9671</v>
      </c>
      <c r="D4660" s="11">
        <v>42782.53460648148</v>
      </c>
      <c r="E4660" s="10" t="s">
        <v>237</v>
      </c>
    </row>
    <row r="4661" spans="1:5">
      <c r="A4661" s="11">
        <v>42782</v>
      </c>
      <c r="B4661" s="10" t="s">
        <v>9672</v>
      </c>
      <c r="C4661" s="10" t="s">
        <v>9673</v>
      </c>
      <c r="D4661" s="11">
        <v>42782.54010416667</v>
      </c>
      <c r="E4661" s="10" t="s">
        <v>193</v>
      </c>
    </row>
    <row r="4662" spans="1:5">
      <c r="A4662" s="11">
        <v>42782</v>
      </c>
      <c r="B4662" s="10" t="s">
        <v>9674</v>
      </c>
      <c r="C4662" s="10" t="s">
        <v>9675</v>
      </c>
      <c r="D4662" s="11">
        <v>42782.532893518517</v>
      </c>
      <c r="E4662" s="10" t="s">
        <v>2912</v>
      </c>
    </row>
    <row r="4663" spans="1:5">
      <c r="A4663" s="11">
        <v>42782</v>
      </c>
      <c r="B4663" s="10" t="s">
        <v>9676</v>
      </c>
      <c r="C4663" s="10" t="s">
        <v>9677</v>
      </c>
      <c r="D4663" s="11">
        <v>42782.541666666664</v>
      </c>
      <c r="E4663" s="10" t="s">
        <v>193</v>
      </c>
    </row>
    <row r="4664" spans="1:5">
      <c r="A4664" s="11">
        <v>42782</v>
      </c>
      <c r="B4664" s="10" t="s">
        <v>9678</v>
      </c>
      <c r="C4664" s="10" t="s">
        <v>9679</v>
      </c>
      <c r="D4664" s="11">
        <v>42782.531944444447</v>
      </c>
      <c r="E4664" s="10" t="s">
        <v>320</v>
      </c>
    </row>
    <row r="4665" spans="1:5">
      <c r="A4665" s="11">
        <v>42782</v>
      </c>
      <c r="B4665" s="10" t="s">
        <v>9680</v>
      </c>
      <c r="C4665" s="10" t="s">
        <v>9681</v>
      </c>
      <c r="D4665" s="11">
        <v>42782.532800925925</v>
      </c>
      <c r="E4665" s="10" t="s">
        <v>193</v>
      </c>
    </row>
    <row r="4666" spans="1:5">
      <c r="A4666" s="11">
        <v>42782</v>
      </c>
      <c r="B4666" s="10" t="s">
        <v>9682</v>
      </c>
      <c r="C4666" s="10" t="s">
        <v>9683</v>
      </c>
      <c r="D4666" s="11">
        <v>42782.530289351853</v>
      </c>
      <c r="E4666" s="10" t="s">
        <v>209</v>
      </c>
    </row>
    <row r="4667" spans="1:5">
      <c r="A4667" s="11">
        <v>42782</v>
      </c>
      <c r="B4667" s="10" t="s">
        <v>9684</v>
      </c>
      <c r="C4667" s="10" t="s">
        <v>9685</v>
      </c>
      <c r="D4667" s="11">
        <v>42782.529849537037</v>
      </c>
      <c r="E4667" s="10" t="s">
        <v>433</v>
      </c>
    </row>
    <row r="4668" spans="1:5">
      <c r="A4668" s="11">
        <v>42782</v>
      </c>
      <c r="B4668" s="10" t="s">
        <v>9686</v>
      </c>
      <c r="C4668" s="10" t="s">
        <v>9687</v>
      </c>
      <c r="D4668" s="11">
        <v>42782.504282407404</v>
      </c>
      <c r="E4668" s="10" t="s">
        <v>2180</v>
      </c>
    </row>
    <row r="4669" spans="1:5">
      <c r="A4669" s="11">
        <v>42782</v>
      </c>
      <c r="B4669" s="10" t="s">
        <v>9688</v>
      </c>
      <c r="C4669" s="10" t="s">
        <v>9689</v>
      </c>
      <c r="D4669" s="11">
        <v>42782.542002314818</v>
      </c>
      <c r="E4669" s="10" t="s">
        <v>193</v>
      </c>
    </row>
    <row r="4670" spans="1:5">
      <c r="A4670" s="11">
        <v>42782</v>
      </c>
      <c r="B4670" s="10" t="s">
        <v>9690</v>
      </c>
      <c r="C4670" s="10" t="s">
        <v>9691</v>
      </c>
      <c r="D4670" s="11">
        <v>42782.547754629632</v>
      </c>
      <c r="E4670" s="10" t="s">
        <v>380</v>
      </c>
    </row>
    <row r="4671" spans="1:5">
      <c r="A4671" s="11">
        <v>42782</v>
      </c>
      <c r="B4671" s="10" t="s">
        <v>9692</v>
      </c>
      <c r="C4671" s="10" t="s">
        <v>9693</v>
      </c>
      <c r="D4671" s="11">
        <v>42782.521423611113</v>
      </c>
      <c r="E4671" s="10" t="s">
        <v>2180</v>
      </c>
    </row>
    <row r="4672" spans="1:5">
      <c r="A4672" s="11">
        <v>42782</v>
      </c>
      <c r="B4672" s="10" t="s">
        <v>9694</v>
      </c>
      <c r="C4672" s="10" t="s">
        <v>9695</v>
      </c>
      <c r="D4672" s="11">
        <v>42782.542326388888</v>
      </c>
      <c r="E4672" s="10" t="s">
        <v>308</v>
      </c>
    </row>
    <row r="4673" spans="1:5">
      <c r="A4673" s="11">
        <v>42782</v>
      </c>
      <c r="B4673" s="10" t="s">
        <v>9696</v>
      </c>
      <c r="C4673" s="10" t="s">
        <v>9697</v>
      </c>
      <c r="D4673" s="11">
        <v>42782.542337962965</v>
      </c>
      <c r="E4673" s="10" t="s">
        <v>4898</v>
      </c>
    </row>
    <row r="4674" spans="1:5">
      <c r="A4674" s="11">
        <v>42782</v>
      </c>
      <c r="B4674" s="10" t="s">
        <v>9698</v>
      </c>
      <c r="C4674" s="10" t="s">
        <v>9699</v>
      </c>
      <c r="D4674" s="11">
        <v>42782.539733796293</v>
      </c>
      <c r="E4674" s="10" t="s">
        <v>2688</v>
      </c>
    </row>
    <row r="4675" spans="1:5">
      <c r="A4675" s="11">
        <v>42782</v>
      </c>
      <c r="B4675" s="10" t="s">
        <v>9700</v>
      </c>
      <c r="C4675" s="10" t="s">
        <v>9701</v>
      </c>
      <c r="D4675" s="11">
        <v>42782.542708333334</v>
      </c>
      <c r="E4675" s="10" t="s">
        <v>96</v>
      </c>
    </row>
    <row r="4676" spans="1:5">
      <c r="A4676" s="11">
        <v>42782</v>
      </c>
      <c r="B4676" s="10" t="s">
        <v>9702</v>
      </c>
      <c r="C4676" s="10" t="s">
        <v>9703</v>
      </c>
      <c r="D4676" s="11">
        <v>42782.542858796296</v>
      </c>
      <c r="E4676" s="10" t="s">
        <v>193</v>
      </c>
    </row>
    <row r="4677" spans="1:5">
      <c r="A4677" s="11">
        <v>42782</v>
      </c>
      <c r="B4677" s="10" t="s">
        <v>9704</v>
      </c>
      <c r="C4677" s="10" t="s">
        <v>9705</v>
      </c>
      <c r="D4677" s="11">
        <v>42782.543182870373</v>
      </c>
      <c r="E4677" s="10" t="s">
        <v>433</v>
      </c>
    </row>
    <row r="4678" spans="1:5">
      <c r="A4678" s="11">
        <v>42782</v>
      </c>
      <c r="B4678" s="10" t="s">
        <v>9706</v>
      </c>
      <c r="C4678" s="10" t="s">
        <v>9707</v>
      </c>
      <c r="D4678" s="11">
        <v>42782.504537037035</v>
      </c>
      <c r="E4678" s="10" t="s">
        <v>4865</v>
      </c>
    </row>
    <row r="4679" spans="1:5">
      <c r="A4679" s="11">
        <v>42782</v>
      </c>
      <c r="B4679" s="10" t="s">
        <v>9708</v>
      </c>
      <c r="C4679" s="10" t="s">
        <v>9709</v>
      </c>
      <c r="D4679" s="11">
        <v>42782.543425925927</v>
      </c>
      <c r="E4679" s="10" t="s">
        <v>433</v>
      </c>
    </row>
    <row r="4680" spans="1:5">
      <c r="A4680" s="11">
        <v>42782</v>
      </c>
      <c r="B4680" s="10" t="s">
        <v>9710</v>
      </c>
      <c r="C4680" s="10" t="s">
        <v>9711</v>
      </c>
      <c r="D4680" s="11">
        <v>42782.539259259262</v>
      </c>
      <c r="E4680" s="10" t="s">
        <v>152</v>
      </c>
    </row>
    <row r="4681" spans="1:5">
      <c r="A4681" s="11">
        <v>42782</v>
      </c>
      <c r="B4681" s="10" t="s">
        <v>9712</v>
      </c>
      <c r="C4681" s="10" t="s">
        <v>9713</v>
      </c>
      <c r="D4681" s="11">
        <v>42782.536238425928</v>
      </c>
      <c r="E4681" s="10" t="s">
        <v>656</v>
      </c>
    </row>
    <row r="4682" spans="1:5">
      <c r="A4682" s="11">
        <v>42782</v>
      </c>
      <c r="B4682" s="10" t="s">
        <v>9714</v>
      </c>
      <c r="C4682" s="10" t="s">
        <v>9715</v>
      </c>
      <c r="D4682" s="11">
        <v>42782.540416666663</v>
      </c>
      <c r="E4682" s="10" t="s">
        <v>122</v>
      </c>
    </row>
    <row r="4683" spans="1:5">
      <c r="A4683" s="11">
        <v>42782</v>
      </c>
      <c r="B4683" s="10" t="s">
        <v>9716</v>
      </c>
      <c r="C4683" s="10" t="s">
        <v>9717</v>
      </c>
      <c r="D4683" s="11">
        <v>42782.51116898148</v>
      </c>
      <c r="E4683" s="10" t="s">
        <v>9718</v>
      </c>
    </row>
    <row r="4684" spans="1:5">
      <c r="A4684" s="11">
        <v>42782</v>
      </c>
      <c r="B4684" s="10" t="s">
        <v>9719</v>
      </c>
      <c r="C4684" s="10" t="s">
        <v>9720</v>
      </c>
      <c r="D4684" s="11">
        <v>42782.534861111111</v>
      </c>
      <c r="E4684" s="10" t="s">
        <v>1103</v>
      </c>
    </row>
    <row r="4685" spans="1:5">
      <c r="A4685" s="11">
        <v>42782</v>
      </c>
      <c r="B4685" s="10" t="s">
        <v>9721</v>
      </c>
      <c r="C4685" s="10" t="s">
        <v>9722</v>
      </c>
      <c r="D4685" s="11">
        <v>42782.543668981481</v>
      </c>
      <c r="E4685" s="10" t="s">
        <v>193</v>
      </c>
    </row>
    <row r="4686" spans="1:5">
      <c r="A4686" s="11">
        <v>42782</v>
      </c>
      <c r="B4686" s="10" t="s">
        <v>9723</v>
      </c>
      <c r="C4686" s="10" t="s">
        <v>9724</v>
      </c>
      <c r="D4686" s="11">
        <v>42782.543680555558</v>
      </c>
      <c r="E4686" s="10" t="s">
        <v>977</v>
      </c>
    </row>
    <row r="4687" spans="1:5">
      <c r="A4687" s="11">
        <v>42782</v>
      </c>
      <c r="B4687" s="10" t="s">
        <v>9725</v>
      </c>
      <c r="C4687" s="10" t="s">
        <v>9726</v>
      </c>
      <c r="D4687" s="11">
        <v>42782.616168981483</v>
      </c>
      <c r="E4687" s="10" t="s">
        <v>949</v>
      </c>
    </row>
    <row r="4688" spans="1:5" ht="21.6">
      <c r="A4688" s="11">
        <v>42782</v>
      </c>
      <c r="B4688" s="10" t="s">
        <v>9727</v>
      </c>
      <c r="C4688" s="10" t="s">
        <v>9728</v>
      </c>
      <c r="D4688" s="11">
        <v>42782.520798611113</v>
      </c>
      <c r="E4688" s="10" t="s">
        <v>966</v>
      </c>
    </row>
    <row r="4689" spans="1:5">
      <c r="A4689" s="11">
        <v>42782</v>
      </c>
      <c r="B4689" s="10" t="s">
        <v>9729</v>
      </c>
      <c r="C4689" s="10" t="s">
        <v>9730</v>
      </c>
      <c r="D4689" s="11">
        <v>42782.538784722223</v>
      </c>
      <c r="E4689" s="10" t="s">
        <v>683</v>
      </c>
    </row>
    <row r="4690" spans="1:5">
      <c r="A4690" s="11">
        <v>42782</v>
      </c>
      <c r="B4690" s="10" t="s">
        <v>9731</v>
      </c>
      <c r="C4690" s="10" t="s">
        <v>9732</v>
      </c>
      <c r="D4690" s="11">
        <v>42782.529988425929</v>
      </c>
      <c r="E4690" s="10" t="s">
        <v>2180</v>
      </c>
    </row>
    <row r="4691" spans="1:5">
      <c r="A4691" s="11">
        <v>42782</v>
      </c>
      <c r="B4691" s="10" t="s">
        <v>9733</v>
      </c>
      <c r="C4691" s="10" t="s">
        <v>9734</v>
      </c>
      <c r="D4691" s="11">
        <v>42782.618738425925</v>
      </c>
      <c r="E4691" s="10" t="s">
        <v>1208</v>
      </c>
    </row>
    <row r="4692" spans="1:5">
      <c r="A4692" s="11">
        <v>42782</v>
      </c>
      <c r="B4692" s="10" t="s">
        <v>9735</v>
      </c>
      <c r="C4692" s="10" t="s">
        <v>9736</v>
      </c>
      <c r="D4692" s="11">
        <v>42782.544305555559</v>
      </c>
      <c r="E4692" s="10" t="s">
        <v>193</v>
      </c>
    </row>
    <row r="4693" spans="1:5">
      <c r="A4693" s="11">
        <v>42782</v>
      </c>
      <c r="B4693" s="10" t="s">
        <v>9737</v>
      </c>
      <c r="C4693" s="10" t="s">
        <v>9738</v>
      </c>
      <c r="D4693" s="11">
        <v>42782.545972222222</v>
      </c>
      <c r="E4693" s="10" t="s">
        <v>240</v>
      </c>
    </row>
    <row r="4694" spans="1:5">
      <c r="A4694" s="11">
        <v>42782</v>
      </c>
      <c r="B4694" s="10" t="s">
        <v>9739</v>
      </c>
      <c r="C4694" s="10" t="s">
        <v>9740</v>
      </c>
      <c r="D4694" s="11">
        <v>42782.546215277776</v>
      </c>
      <c r="E4694" s="10" t="s">
        <v>433</v>
      </c>
    </row>
    <row r="4695" spans="1:5">
      <c r="A4695" s="11">
        <v>42782</v>
      </c>
      <c r="B4695" s="10" t="s">
        <v>9741</v>
      </c>
      <c r="C4695" s="10" t="s">
        <v>9742</v>
      </c>
      <c r="D4695" s="11">
        <v>42782.546018518522</v>
      </c>
      <c r="E4695" s="10" t="s">
        <v>479</v>
      </c>
    </row>
    <row r="4696" spans="1:5">
      <c r="A4696" s="11">
        <v>42782</v>
      </c>
      <c r="B4696" s="10" t="s">
        <v>9743</v>
      </c>
      <c r="C4696" s="10" t="s">
        <v>9744</v>
      </c>
      <c r="D4696" s="11">
        <v>42782.544629629629</v>
      </c>
      <c r="E4696" s="10" t="s">
        <v>96</v>
      </c>
    </row>
    <row r="4697" spans="1:5">
      <c r="A4697" s="11">
        <v>42782</v>
      </c>
      <c r="B4697" s="10" t="s">
        <v>9745</v>
      </c>
      <c r="C4697" s="10" t="s">
        <v>9746</v>
      </c>
      <c r="D4697" s="11">
        <v>42782.547951388886</v>
      </c>
      <c r="E4697" s="10" t="s">
        <v>479</v>
      </c>
    </row>
    <row r="4698" spans="1:5">
      <c r="A4698" s="11">
        <v>42782</v>
      </c>
      <c r="B4698" s="10" t="s">
        <v>9747</v>
      </c>
      <c r="C4698" s="10" t="s">
        <v>9748</v>
      </c>
      <c r="D4698" s="11">
        <v>42782.546990740739</v>
      </c>
      <c r="E4698" s="10" t="s">
        <v>2144</v>
      </c>
    </row>
    <row r="4699" spans="1:5">
      <c r="A4699" s="11">
        <v>42782</v>
      </c>
      <c r="B4699" s="10" t="s">
        <v>9749</v>
      </c>
      <c r="C4699" s="10" t="s">
        <v>9750</v>
      </c>
      <c r="D4699" s="11">
        <v>42782.549502314818</v>
      </c>
      <c r="E4699" s="10" t="s">
        <v>193</v>
      </c>
    </row>
    <row r="4700" spans="1:5">
      <c r="A4700" s="11">
        <v>42782</v>
      </c>
      <c r="B4700" s="10" t="s">
        <v>9751</v>
      </c>
      <c r="C4700" s="10" t="s">
        <v>9752</v>
      </c>
      <c r="D4700" s="11">
        <v>42782.549583333333</v>
      </c>
      <c r="E4700" s="10" t="s">
        <v>433</v>
      </c>
    </row>
    <row r="4701" spans="1:5">
      <c r="A4701" s="11">
        <v>42782</v>
      </c>
      <c r="B4701" s="10" t="s">
        <v>9753</v>
      </c>
      <c r="C4701" s="10" t="s">
        <v>9754</v>
      </c>
      <c r="D4701" s="11">
        <v>42782.549375000002</v>
      </c>
      <c r="E4701" s="10" t="s">
        <v>422</v>
      </c>
    </row>
    <row r="4702" spans="1:5">
      <c r="A4702" s="11">
        <v>42782</v>
      </c>
      <c r="B4702" s="10" t="s">
        <v>9755</v>
      </c>
      <c r="C4702" s="10" t="s">
        <v>9756</v>
      </c>
      <c r="D4702" s="11">
        <v>42782.551782407405</v>
      </c>
      <c r="E4702" s="10" t="s">
        <v>178</v>
      </c>
    </row>
    <row r="4703" spans="1:5">
      <c r="A4703" s="11">
        <v>42782</v>
      </c>
      <c r="B4703" s="10" t="s">
        <v>9757</v>
      </c>
      <c r="C4703" s="10" t="s">
        <v>9758</v>
      </c>
      <c r="D4703" s="11">
        <v>42782.55201388889</v>
      </c>
      <c r="E4703" s="10" t="s">
        <v>218</v>
      </c>
    </row>
    <row r="4704" spans="1:5">
      <c r="A4704" s="11">
        <v>42782</v>
      </c>
      <c r="B4704" s="10" t="s">
        <v>9759</v>
      </c>
      <c r="C4704" s="10" t="s">
        <v>9760</v>
      </c>
      <c r="D4704" s="11">
        <v>42782.552048611113</v>
      </c>
      <c r="E4704" s="10" t="s">
        <v>193</v>
      </c>
    </row>
    <row r="4705" spans="1:5">
      <c r="A4705" s="11">
        <v>42782</v>
      </c>
      <c r="B4705" s="10" t="s">
        <v>9761</v>
      </c>
      <c r="C4705" s="10" t="s">
        <v>9762</v>
      </c>
      <c r="D4705" s="11">
        <v>42782.548391203702</v>
      </c>
      <c r="E4705" s="10" t="s">
        <v>5026</v>
      </c>
    </row>
    <row r="4706" spans="1:5">
      <c r="A4706" s="11">
        <v>42782</v>
      </c>
      <c r="B4706" s="10" t="s">
        <v>9763</v>
      </c>
      <c r="C4706" s="10" t="s">
        <v>9764</v>
      </c>
      <c r="D4706" s="11">
        <v>42782.552141203705</v>
      </c>
      <c r="E4706" s="10" t="s">
        <v>433</v>
      </c>
    </row>
    <row r="4707" spans="1:5">
      <c r="A4707" s="11">
        <v>42782</v>
      </c>
      <c r="B4707" s="10" t="s">
        <v>9765</v>
      </c>
      <c r="C4707" s="10" t="s">
        <v>9766</v>
      </c>
      <c r="D4707" s="11">
        <v>42782.551423611112</v>
      </c>
      <c r="E4707" s="10" t="s">
        <v>122</v>
      </c>
    </row>
    <row r="4708" spans="1:5">
      <c r="A4708" s="11">
        <v>42782</v>
      </c>
      <c r="B4708" s="10" t="s">
        <v>9767</v>
      </c>
      <c r="C4708" s="10" t="s">
        <v>9768</v>
      </c>
      <c r="D4708" s="11">
        <v>42782.552303240744</v>
      </c>
      <c r="E4708" s="10" t="s">
        <v>292</v>
      </c>
    </row>
    <row r="4709" spans="1:5">
      <c r="A4709" s="11">
        <v>42782</v>
      </c>
      <c r="B4709" s="10" t="s">
        <v>9769</v>
      </c>
      <c r="C4709" s="10" t="s">
        <v>9770</v>
      </c>
      <c r="D4709" s="11">
        <v>42782.588842592595</v>
      </c>
      <c r="E4709" s="10" t="s">
        <v>383</v>
      </c>
    </row>
    <row r="4710" spans="1:5">
      <c r="A4710" s="11">
        <v>42782</v>
      </c>
      <c r="B4710" s="10" t="s">
        <v>9771</v>
      </c>
      <c r="C4710" s="10" t="s">
        <v>9772</v>
      </c>
      <c r="D4710" s="11">
        <v>42782.602569444447</v>
      </c>
      <c r="E4710" s="10" t="s">
        <v>625</v>
      </c>
    </row>
    <row r="4711" spans="1:5">
      <c r="A4711" s="11">
        <v>42782</v>
      </c>
      <c r="B4711" s="10" t="s">
        <v>9773</v>
      </c>
      <c r="C4711" s="10" t="s">
        <v>9774</v>
      </c>
      <c r="D4711" s="11">
        <v>42782.552569444444</v>
      </c>
      <c r="E4711" s="10" t="s">
        <v>122</v>
      </c>
    </row>
    <row r="4712" spans="1:5">
      <c r="A4712" s="11">
        <v>42782</v>
      </c>
      <c r="B4712" s="10" t="s">
        <v>9775</v>
      </c>
      <c r="C4712" s="10" t="s">
        <v>9776</v>
      </c>
      <c r="D4712" s="11">
        <v>42782.552951388891</v>
      </c>
      <c r="E4712" s="10" t="s">
        <v>155</v>
      </c>
    </row>
    <row r="4713" spans="1:5">
      <c r="A4713" s="11">
        <v>42782</v>
      </c>
      <c r="B4713" s="10" t="s">
        <v>9777</v>
      </c>
      <c r="C4713" s="10" t="s">
        <v>9778</v>
      </c>
      <c r="D4713" s="11">
        <v>42782.553657407407</v>
      </c>
      <c r="E4713" s="10" t="s">
        <v>152</v>
      </c>
    </row>
    <row r="4714" spans="1:5">
      <c r="A4714" s="11">
        <v>42782</v>
      </c>
      <c r="B4714" s="10" t="s">
        <v>9779</v>
      </c>
      <c r="C4714" s="10" t="s">
        <v>9780</v>
      </c>
      <c r="D4714" s="11">
        <v>42782.553784722222</v>
      </c>
      <c r="E4714" s="10" t="s">
        <v>2180</v>
      </c>
    </row>
    <row r="4715" spans="1:5">
      <c r="A4715" s="11">
        <v>42782</v>
      </c>
      <c r="B4715" s="10" t="s">
        <v>9781</v>
      </c>
      <c r="C4715" s="10" t="s">
        <v>9782</v>
      </c>
      <c r="D4715" s="11">
        <v>42782.610648148147</v>
      </c>
      <c r="E4715" s="10" t="s">
        <v>479</v>
      </c>
    </row>
    <row r="4716" spans="1:5">
      <c r="A4716" s="11">
        <v>42782</v>
      </c>
      <c r="B4716" s="10" t="s">
        <v>9783</v>
      </c>
      <c r="C4716" s="10" t="s">
        <v>9784</v>
      </c>
      <c r="D4716" s="11">
        <v>42782.544652777775</v>
      </c>
      <c r="E4716" s="10" t="s">
        <v>96</v>
      </c>
    </row>
    <row r="4717" spans="1:5">
      <c r="A4717" s="11">
        <v>42782</v>
      </c>
      <c r="B4717" s="10" t="s">
        <v>9785</v>
      </c>
      <c r="C4717" s="10" t="s">
        <v>9786</v>
      </c>
      <c r="D4717" s="11">
        <v>42782.55572916667</v>
      </c>
      <c r="E4717" s="10" t="s">
        <v>292</v>
      </c>
    </row>
    <row r="4718" spans="1:5">
      <c r="A4718" s="11">
        <v>42782</v>
      </c>
      <c r="B4718" s="10" t="s">
        <v>9787</v>
      </c>
      <c r="C4718" s="10" t="s">
        <v>9788</v>
      </c>
      <c r="D4718" s="11">
        <v>42782.554803240739</v>
      </c>
      <c r="E4718" s="10" t="s">
        <v>193</v>
      </c>
    </row>
    <row r="4719" spans="1:5">
      <c r="A4719" s="11">
        <v>42782</v>
      </c>
      <c r="B4719" s="10" t="s">
        <v>9789</v>
      </c>
      <c r="C4719" s="10" t="s">
        <v>9790</v>
      </c>
      <c r="D4719" s="11">
        <v>42782.550995370373</v>
      </c>
      <c r="E4719" s="10" t="s">
        <v>613</v>
      </c>
    </row>
    <row r="4720" spans="1:5">
      <c r="A4720" s="11">
        <v>42782</v>
      </c>
      <c r="B4720" s="10" t="s">
        <v>9791</v>
      </c>
      <c r="C4720" s="10" t="s">
        <v>9792</v>
      </c>
      <c r="D4720" s="11">
        <v>42782.549062500002</v>
      </c>
      <c r="E4720" s="10" t="s">
        <v>422</v>
      </c>
    </row>
    <row r="4721" spans="1:5">
      <c r="A4721" s="11">
        <v>42782</v>
      </c>
      <c r="B4721" s="10" t="s">
        <v>9793</v>
      </c>
      <c r="C4721" s="10" t="s">
        <v>9794</v>
      </c>
      <c r="D4721" s="11">
        <v>42782.557881944442</v>
      </c>
      <c r="E4721" s="10" t="s">
        <v>237</v>
      </c>
    </row>
    <row r="4722" spans="1:5">
      <c r="A4722" s="11">
        <v>42782</v>
      </c>
      <c r="B4722" s="10" t="s">
        <v>9795</v>
      </c>
      <c r="C4722" s="10" t="s">
        <v>9796</v>
      </c>
      <c r="D4722" s="11">
        <v>42782.554756944446</v>
      </c>
      <c r="E4722" s="10" t="s">
        <v>422</v>
      </c>
    </row>
    <row r="4723" spans="1:5">
      <c r="A4723" s="11">
        <v>42782</v>
      </c>
      <c r="B4723" s="10" t="s">
        <v>9797</v>
      </c>
      <c r="C4723" s="10" t="s">
        <v>9798</v>
      </c>
      <c r="D4723" s="11">
        <v>42782.555428240739</v>
      </c>
      <c r="E4723" s="10" t="s">
        <v>152</v>
      </c>
    </row>
    <row r="4724" spans="1:5">
      <c r="A4724" s="11">
        <v>42782</v>
      </c>
      <c r="B4724" s="10" t="s">
        <v>9799</v>
      </c>
      <c r="C4724" s="10" t="s">
        <v>9800</v>
      </c>
      <c r="D4724" s="11">
        <v>42782.558437500003</v>
      </c>
      <c r="E4724" s="10" t="s">
        <v>2180</v>
      </c>
    </row>
    <row r="4725" spans="1:5">
      <c r="A4725" s="11">
        <v>42782</v>
      </c>
      <c r="B4725" s="10" t="s">
        <v>9801</v>
      </c>
      <c r="C4725" s="10" t="s">
        <v>9802</v>
      </c>
      <c r="D4725" s="11">
        <v>42782.558206018519</v>
      </c>
      <c r="E4725" s="10" t="s">
        <v>433</v>
      </c>
    </row>
    <row r="4726" spans="1:5">
      <c r="A4726" s="11">
        <v>42782</v>
      </c>
      <c r="B4726" s="10" t="s">
        <v>9803</v>
      </c>
      <c r="C4726" s="10" t="s">
        <v>9804</v>
      </c>
      <c r="D4726" s="11">
        <v>42782.552071759259</v>
      </c>
      <c r="E4726" s="10" t="s">
        <v>433</v>
      </c>
    </row>
    <row r="4727" spans="1:5">
      <c r="A4727" s="11">
        <v>42782</v>
      </c>
      <c r="B4727" s="10" t="s">
        <v>9805</v>
      </c>
      <c r="C4727" s="10" t="s">
        <v>9806</v>
      </c>
      <c r="D4727" s="11">
        <v>42782.558935185189</v>
      </c>
      <c r="E4727" s="10" t="s">
        <v>2180</v>
      </c>
    </row>
    <row r="4728" spans="1:5">
      <c r="A4728" s="11">
        <v>42782</v>
      </c>
      <c r="B4728" s="10" t="s">
        <v>9807</v>
      </c>
      <c r="C4728" s="10" t="s">
        <v>9808</v>
      </c>
      <c r="D4728" s="11">
        <v>42782.550150462965</v>
      </c>
      <c r="E4728" s="10" t="s">
        <v>193</v>
      </c>
    </row>
    <row r="4729" spans="1:5">
      <c r="A4729" s="11">
        <v>42782</v>
      </c>
      <c r="B4729" s="10" t="s">
        <v>9809</v>
      </c>
      <c r="C4729" s="10" t="s">
        <v>9810</v>
      </c>
      <c r="D4729" s="11">
        <v>42782.559351851851</v>
      </c>
      <c r="E4729" s="10" t="s">
        <v>2180</v>
      </c>
    </row>
    <row r="4730" spans="1:5">
      <c r="A4730" s="11">
        <v>42782</v>
      </c>
      <c r="B4730" s="10" t="s">
        <v>9811</v>
      </c>
      <c r="C4730" s="10" t="s">
        <v>9812</v>
      </c>
      <c r="D4730" s="11">
        <v>42782.556319444448</v>
      </c>
      <c r="E4730" s="10" t="s">
        <v>433</v>
      </c>
    </row>
    <row r="4731" spans="1:5" ht="21.6">
      <c r="A4731" s="11">
        <v>42782</v>
      </c>
      <c r="B4731" s="10" t="s">
        <v>9813</v>
      </c>
      <c r="C4731" s="10" t="s">
        <v>9814</v>
      </c>
      <c r="D4731" s="11">
        <v>42782.547106481485</v>
      </c>
      <c r="E4731" s="10" t="s">
        <v>2299</v>
      </c>
    </row>
    <row r="4732" spans="1:5">
      <c r="A4732" s="11">
        <v>42782</v>
      </c>
      <c r="B4732" s="10" t="s">
        <v>9815</v>
      </c>
      <c r="C4732" s="10" t="s">
        <v>9816</v>
      </c>
      <c r="D4732" s="11">
        <v>42782.552349537036</v>
      </c>
      <c r="E4732" s="10" t="s">
        <v>178</v>
      </c>
    </row>
    <row r="4733" spans="1:5">
      <c r="A4733" s="11">
        <v>42782</v>
      </c>
      <c r="B4733" s="10" t="s">
        <v>9817</v>
      </c>
      <c r="C4733" s="10" t="s">
        <v>9818</v>
      </c>
      <c r="D4733" s="11">
        <v>42782.554143518515</v>
      </c>
      <c r="E4733" s="10" t="s">
        <v>320</v>
      </c>
    </row>
    <row r="4734" spans="1:5">
      <c r="A4734" s="11">
        <v>42782</v>
      </c>
      <c r="B4734" s="10" t="s">
        <v>9819</v>
      </c>
      <c r="C4734" s="10" t="s">
        <v>9820</v>
      </c>
      <c r="D4734" s="11">
        <v>42782.558495370373</v>
      </c>
      <c r="E4734" s="10" t="s">
        <v>433</v>
      </c>
    </row>
    <row r="4735" spans="1:5">
      <c r="A4735" s="11">
        <v>42782</v>
      </c>
      <c r="B4735" s="10" t="s">
        <v>9821</v>
      </c>
      <c r="C4735" s="10" t="s">
        <v>9822</v>
      </c>
      <c r="D4735" s="11">
        <v>42782.560046296298</v>
      </c>
      <c r="E4735" s="10" t="s">
        <v>422</v>
      </c>
    </row>
    <row r="4736" spans="1:5">
      <c r="A4736" s="11">
        <v>42782</v>
      </c>
      <c r="B4736" s="10" t="s">
        <v>9823</v>
      </c>
      <c r="C4736" s="10" t="s">
        <v>9824</v>
      </c>
      <c r="D4736" s="11">
        <v>42782.560798611114</v>
      </c>
      <c r="E4736" s="10" t="s">
        <v>152</v>
      </c>
    </row>
    <row r="4737" spans="1:5">
      <c r="A4737" s="11">
        <v>42782</v>
      </c>
      <c r="B4737" s="10" t="s">
        <v>9825</v>
      </c>
      <c r="C4737" s="10" t="s">
        <v>9826</v>
      </c>
      <c r="D4737" s="11">
        <v>42782.558912037035</v>
      </c>
      <c r="E4737" s="10" t="s">
        <v>2515</v>
      </c>
    </row>
    <row r="4738" spans="1:5">
      <c r="A4738" s="11">
        <v>42782</v>
      </c>
      <c r="B4738" s="10" t="s">
        <v>9827</v>
      </c>
      <c r="C4738" s="10" t="s">
        <v>9828</v>
      </c>
      <c r="D4738" s="11">
        <v>42782.559837962966</v>
      </c>
      <c r="E4738" s="10" t="s">
        <v>2995</v>
      </c>
    </row>
    <row r="4739" spans="1:5">
      <c r="A4739" s="11">
        <v>42782</v>
      </c>
      <c r="B4739" s="10" t="s">
        <v>9829</v>
      </c>
      <c r="C4739" s="10" t="s">
        <v>9830</v>
      </c>
      <c r="D4739" s="11">
        <v>42782.559907407405</v>
      </c>
      <c r="E4739" s="10" t="s">
        <v>3570</v>
      </c>
    </row>
    <row r="4740" spans="1:5">
      <c r="A4740" s="11">
        <v>42782</v>
      </c>
      <c r="B4740" s="10" t="s">
        <v>9831</v>
      </c>
      <c r="C4740" s="10" t="s">
        <v>9832</v>
      </c>
      <c r="D4740" s="11">
        <v>42782.679467592592</v>
      </c>
      <c r="E4740" s="10" t="s">
        <v>1867</v>
      </c>
    </row>
    <row r="4741" spans="1:5">
      <c r="A4741" s="11">
        <v>42782</v>
      </c>
      <c r="B4741" s="10" t="s">
        <v>9833</v>
      </c>
      <c r="C4741" s="10" t="s">
        <v>9834</v>
      </c>
      <c r="D4741" s="11">
        <v>42782.558136574073</v>
      </c>
      <c r="E4741" s="10" t="s">
        <v>292</v>
      </c>
    </row>
    <row r="4742" spans="1:5">
      <c r="A4742" s="11">
        <v>42782</v>
      </c>
      <c r="B4742" s="10" t="s">
        <v>9835</v>
      </c>
      <c r="C4742" s="10" t="s">
        <v>9836</v>
      </c>
      <c r="D4742" s="11">
        <v>42782.561145833337</v>
      </c>
      <c r="E4742" s="10" t="s">
        <v>152</v>
      </c>
    </row>
    <row r="4743" spans="1:5">
      <c r="A4743" s="11">
        <v>42782</v>
      </c>
      <c r="B4743" s="10" t="s">
        <v>9837</v>
      </c>
      <c r="C4743" s="10" t="s">
        <v>9838</v>
      </c>
      <c r="D4743" s="11">
        <v>42782.563298611109</v>
      </c>
      <c r="E4743" s="10" t="s">
        <v>218</v>
      </c>
    </row>
    <row r="4744" spans="1:5">
      <c r="A4744" s="11">
        <v>42782</v>
      </c>
      <c r="B4744" s="10" t="s">
        <v>9839</v>
      </c>
      <c r="C4744" s="10" t="s">
        <v>9840</v>
      </c>
      <c r="D4744" s="11">
        <v>42782.563321759262</v>
      </c>
      <c r="E4744" s="10" t="s">
        <v>1103</v>
      </c>
    </row>
    <row r="4745" spans="1:5">
      <c r="A4745" s="11">
        <v>42782</v>
      </c>
      <c r="B4745" s="10" t="s">
        <v>9841</v>
      </c>
      <c r="C4745" s="10" t="s">
        <v>9842</v>
      </c>
      <c r="D4745" s="11">
        <v>42782.556550925925</v>
      </c>
      <c r="E4745" s="10" t="s">
        <v>6147</v>
      </c>
    </row>
    <row r="4746" spans="1:5">
      <c r="A4746" s="11">
        <v>42782</v>
      </c>
      <c r="B4746" s="10" t="s">
        <v>9843</v>
      </c>
      <c r="C4746" s="10" t="s">
        <v>9844</v>
      </c>
      <c r="D4746" s="11">
        <v>42782.561909722222</v>
      </c>
      <c r="E4746" s="10" t="s">
        <v>422</v>
      </c>
    </row>
    <row r="4747" spans="1:5">
      <c r="A4747" s="11">
        <v>42782</v>
      </c>
      <c r="B4747" s="10" t="s">
        <v>9845</v>
      </c>
      <c r="C4747" s="10" t="s">
        <v>9846</v>
      </c>
      <c r="D4747" s="11">
        <v>42782.562430555554</v>
      </c>
      <c r="E4747" s="10" t="s">
        <v>902</v>
      </c>
    </row>
    <row r="4748" spans="1:5">
      <c r="A4748" s="11">
        <v>42782</v>
      </c>
      <c r="B4748" s="10" t="s">
        <v>9847</v>
      </c>
      <c r="C4748" s="10" t="s">
        <v>9848</v>
      </c>
      <c r="D4748" s="11">
        <v>42782.551840277774</v>
      </c>
      <c r="E4748" s="10" t="s">
        <v>237</v>
      </c>
    </row>
    <row r="4749" spans="1:5">
      <c r="A4749" s="11">
        <v>42782</v>
      </c>
      <c r="B4749" s="10" t="s">
        <v>9849</v>
      </c>
      <c r="C4749" s="10" t="s">
        <v>9850</v>
      </c>
      <c r="D4749" s="11">
        <v>42782.67728009259</v>
      </c>
      <c r="E4749" s="10" t="s">
        <v>193</v>
      </c>
    </row>
    <row r="4750" spans="1:5">
      <c r="A4750" s="11">
        <v>42782</v>
      </c>
      <c r="B4750" s="10" t="s">
        <v>9851</v>
      </c>
      <c r="C4750" s="10" t="s">
        <v>9852</v>
      </c>
      <c r="D4750" s="11">
        <v>42782.562534722223</v>
      </c>
      <c r="E4750" s="10" t="s">
        <v>308</v>
      </c>
    </row>
    <row r="4751" spans="1:5">
      <c r="A4751" s="11">
        <v>42782</v>
      </c>
      <c r="B4751" s="10" t="s">
        <v>9853</v>
      </c>
      <c r="C4751" s="10" t="s">
        <v>9854</v>
      </c>
      <c r="D4751" s="11">
        <v>42782.564143518517</v>
      </c>
      <c r="E4751" s="10" t="s">
        <v>193</v>
      </c>
    </row>
    <row r="4752" spans="1:5">
      <c r="A4752" s="11">
        <v>42782</v>
      </c>
      <c r="B4752" s="10" t="s">
        <v>9855</v>
      </c>
      <c r="C4752" s="10" t="s">
        <v>9856</v>
      </c>
      <c r="D4752" s="11">
        <v>42782.564212962963</v>
      </c>
      <c r="E4752" s="10" t="s">
        <v>422</v>
      </c>
    </row>
    <row r="4753" spans="1:5">
      <c r="A4753" s="11">
        <v>42782</v>
      </c>
      <c r="B4753" s="10" t="s">
        <v>9857</v>
      </c>
      <c r="C4753" s="10" t="s">
        <v>9858</v>
      </c>
      <c r="D4753" s="11">
        <v>42782.564270833333</v>
      </c>
      <c r="E4753" s="10" t="s">
        <v>122</v>
      </c>
    </row>
    <row r="4754" spans="1:5">
      <c r="A4754" s="11">
        <v>42782</v>
      </c>
      <c r="B4754" s="10" t="s">
        <v>9859</v>
      </c>
      <c r="C4754" s="10" t="s">
        <v>9860</v>
      </c>
      <c r="D4754" s="11">
        <v>42782.564328703702</v>
      </c>
      <c r="E4754" s="10" t="s">
        <v>465</v>
      </c>
    </row>
    <row r="4755" spans="1:5">
      <c r="A4755" s="11">
        <v>42782</v>
      </c>
      <c r="B4755" s="10" t="s">
        <v>9861</v>
      </c>
      <c r="C4755" s="10" t="s">
        <v>9862</v>
      </c>
      <c r="D4755" s="11">
        <v>42782.564606481479</v>
      </c>
      <c r="E4755" s="10" t="s">
        <v>218</v>
      </c>
    </row>
    <row r="4756" spans="1:5">
      <c r="A4756" s="11">
        <v>42782</v>
      </c>
      <c r="B4756" s="10" t="s">
        <v>9863</v>
      </c>
      <c r="C4756" s="10" t="s">
        <v>9864</v>
      </c>
      <c r="D4756" s="11">
        <v>42782.564050925925</v>
      </c>
      <c r="E4756" s="10" t="s">
        <v>2515</v>
      </c>
    </row>
    <row r="4757" spans="1:5">
      <c r="A4757" s="11">
        <v>42782</v>
      </c>
      <c r="B4757" s="10" t="s">
        <v>9865</v>
      </c>
      <c r="C4757" s="10" t="s">
        <v>9866</v>
      </c>
      <c r="D4757" s="11">
        <v>42782.565138888887</v>
      </c>
      <c r="E4757" s="10" t="s">
        <v>433</v>
      </c>
    </row>
    <row r="4758" spans="1:5">
      <c r="A4758" s="11">
        <v>42782</v>
      </c>
      <c r="B4758" s="10" t="s">
        <v>9867</v>
      </c>
      <c r="C4758" s="10" t="s">
        <v>9868</v>
      </c>
      <c r="D4758" s="11">
        <v>42782.563993055555</v>
      </c>
      <c r="E4758" s="10" t="s">
        <v>1103</v>
      </c>
    </row>
    <row r="4759" spans="1:5">
      <c r="A4759" s="11">
        <v>42782</v>
      </c>
      <c r="B4759" s="10" t="s">
        <v>9869</v>
      </c>
      <c r="C4759" s="10" t="s">
        <v>9870</v>
      </c>
      <c r="D4759" s="11">
        <v>42782.565729166665</v>
      </c>
      <c r="E4759" s="10" t="s">
        <v>193</v>
      </c>
    </row>
    <row r="4760" spans="1:5">
      <c r="A4760" s="11">
        <v>42782</v>
      </c>
      <c r="B4760" s="10" t="s">
        <v>9871</v>
      </c>
      <c r="C4760" s="10" t="s">
        <v>9872</v>
      </c>
      <c r="D4760" s="11">
        <v>42782.566134259258</v>
      </c>
      <c r="E4760" s="10" t="s">
        <v>433</v>
      </c>
    </row>
    <row r="4761" spans="1:5">
      <c r="A4761" s="11">
        <v>42782</v>
      </c>
      <c r="B4761" s="10" t="s">
        <v>9873</v>
      </c>
      <c r="C4761" s="10" t="s">
        <v>9874</v>
      </c>
      <c r="D4761" s="11">
        <v>42782.565266203703</v>
      </c>
      <c r="E4761" s="10" t="s">
        <v>96</v>
      </c>
    </row>
    <row r="4762" spans="1:5">
      <c r="A4762" s="11">
        <v>42782</v>
      </c>
      <c r="B4762" s="10" t="s">
        <v>9875</v>
      </c>
      <c r="C4762" s="10" t="s">
        <v>9876</v>
      </c>
      <c r="D4762" s="11">
        <v>42782.566458333335</v>
      </c>
      <c r="E4762" s="10" t="s">
        <v>308</v>
      </c>
    </row>
    <row r="4763" spans="1:5">
      <c r="A4763" s="11">
        <v>42782</v>
      </c>
      <c r="B4763" s="10" t="s">
        <v>9877</v>
      </c>
      <c r="C4763" s="10" t="s">
        <v>9878</v>
      </c>
      <c r="D4763" s="11">
        <v>42782.55296296296</v>
      </c>
      <c r="E4763" s="10" t="s">
        <v>433</v>
      </c>
    </row>
    <row r="4764" spans="1:5">
      <c r="A4764" s="11">
        <v>42782</v>
      </c>
      <c r="B4764" s="10" t="s">
        <v>9879</v>
      </c>
      <c r="C4764" s="10" t="s">
        <v>9880</v>
      </c>
      <c r="D4764" s="11">
        <v>42782.560960648145</v>
      </c>
      <c r="E4764" s="10" t="s">
        <v>902</v>
      </c>
    </row>
    <row r="4765" spans="1:5">
      <c r="A4765" s="11">
        <v>42782</v>
      </c>
      <c r="B4765" s="10" t="s">
        <v>9881</v>
      </c>
      <c r="C4765" s="10" t="s">
        <v>9882</v>
      </c>
      <c r="D4765" s="11">
        <v>42782.566828703704</v>
      </c>
      <c r="E4765" s="10" t="s">
        <v>433</v>
      </c>
    </row>
    <row r="4766" spans="1:5">
      <c r="A4766" s="11">
        <v>42782</v>
      </c>
      <c r="B4766" s="10" t="s">
        <v>9883</v>
      </c>
      <c r="C4766" s="10" t="s">
        <v>9884</v>
      </c>
      <c r="D4766" s="11">
        <v>42782.556076388886</v>
      </c>
      <c r="E4766" s="10" t="s">
        <v>218</v>
      </c>
    </row>
    <row r="4767" spans="1:5">
      <c r="A4767" s="11">
        <v>42782</v>
      </c>
      <c r="B4767" s="10" t="s">
        <v>9885</v>
      </c>
      <c r="C4767" s="10" t="s">
        <v>9886</v>
      </c>
      <c r="D4767" s="11">
        <v>42782.567141203705</v>
      </c>
      <c r="E4767" s="10" t="s">
        <v>7557</v>
      </c>
    </row>
    <row r="4768" spans="1:5">
      <c r="A4768" s="11">
        <v>42782</v>
      </c>
      <c r="B4768" s="10" t="s">
        <v>9887</v>
      </c>
      <c r="C4768" s="10" t="s">
        <v>9888</v>
      </c>
      <c r="D4768" s="11">
        <v>42782.567395833335</v>
      </c>
      <c r="E4768" s="10" t="s">
        <v>433</v>
      </c>
    </row>
    <row r="4769" spans="1:5">
      <c r="A4769" s="11">
        <v>42782</v>
      </c>
      <c r="B4769" s="10" t="s">
        <v>9889</v>
      </c>
      <c r="C4769" s="10" t="s">
        <v>9890</v>
      </c>
      <c r="D4769" s="11">
        <v>42782.551620370374</v>
      </c>
      <c r="E4769" s="10" t="s">
        <v>380</v>
      </c>
    </row>
    <row r="4770" spans="1:5">
      <c r="A4770" s="11">
        <v>42782</v>
      </c>
      <c r="B4770" s="10" t="s">
        <v>9891</v>
      </c>
      <c r="C4770" s="10" t="s">
        <v>9892</v>
      </c>
      <c r="D4770" s="11">
        <v>42782.564340277779</v>
      </c>
      <c r="E4770" s="10" t="s">
        <v>209</v>
      </c>
    </row>
    <row r="4771" spans="1:5">
      <c r="A4771" s="11">
        <v>42782</v>
      </c>
      <c r="B4771" s="10" t="s">
        <v>9893</v>
      </c>
      <c r="C4771" s="10" t="s">
        <v>9894</v>
      </c>
      <c r="D4771" s="11">
        <v>42782.565208333333</v>
      </c>
      <c r="E4771" s="10" t="s">
        <v>96</v>
      </c>
    </row>
    <row r="4772" spans="1:5">
      <c r="A4772" s="11">
        <v>42782</v>
      </c>
      <c r="B4772" s="10" t="s">
        <v>9895</v>
      </c>
      <c r="C4772" s="10" t="s">
        <v>9896</v>
      </c>
      <c r="D4772" s="11">
        <v>42782.56827546296</v>
      </c>
      <c r="E4772" s="10" t="s">
        <v>1867</v>
      </c>
    </row>
    <row r="4773" spans="1:5">
      <c r="A4773" s="11">
        <v>42782</v>
      </c>
      <c r="B4773" s="10" t="s">
        <v>9897</v>
      </c>
      <c r="C4773" s="10" t="s">
        <v>9898</v>
      </c>
      <c r="D4773" s="11">
        <v>42782.568425925929</v>
      </c>
      <c r="E4773" s="10" t="s">
        <v>218</v>
      </c>
    </row>
    <row r="4774" spans="1:5">
      <c r="A4774" s="11">
        <v>42782</v>
      </c>
      <c r="B4774" s="10" t="s">
        <v>9899</v>
      </c>
      <c r="C4774" s="10" t="s">
        <v>9900</v>
      </c>
      <c r="D4774" s="11">
        <v>42782.556840277779</v>
      </c>
      <c r="E4774" s="10" t="s">
        <v>1103</v>
      </c>
    </row>
    <row r="4775" spans="1:5">
      <c r="A4775" s="11">
        <v>42782</v>
      </c>
      <c r="B4775" s="10" t="s">
        <v>9901</v>
      </c>
      <c r="C4775" s="10" t="s">
        <v>9902</v>
      </c>
      <c r="D4775" s="11">
        <v>42782.566157407404</v>
      </c>
      <c r="E4775" s="10" t="s">
        <v>6712</v>
      </c>
    </row>
    <row r="4776" spans="1:5">
      <c r="A4776" s="11">
        <v>42782</v>
      </c>
      <c r="B4776" s="10" t="s">
        <v>9903</v>
      </c>
      <c r="C4776" s="10" t="s">
        <v>9904</v>
      </c>
      <c r="D4776" s="11">
        <v>42782.568923611114</v>
      </c>
      <c r="E4776" s="10" t="s">
        <v>152</v>
      </c>
    </row>
    <row r="4777" spans="1:5">
      <c r="A4777" s="11">
        <v>42782</v>
      </c>
      <c r="B4777" s="10" t="s">
        <v>9905</v>
      </c>
      <c r="C4777" s="10" t="s">
        <v>9906</v>
      </c>
      <c r="D4777" s="11">
        <v>42782.562685185185</v>
      </c>
      <c r="E4777" s="10" t="s">
        <v>2995</v>
      </c>
    </row>
    <row r="4778" spans="1:5">
      <c r="A4778" s="11">
        <v>42782</v>
      </c>
      <c r="B4778" s="10" t="s">
        <v>9907</v>
      </c>
      <c r="C4778" s="10" t="s">
        <v>9908</v>
      </c>
      <c r="D4778" s="11">
        <v>42782.700069444443</v>
      </c>
      <c r="E4778" s="10" t="s">
        <v>96</v>
      </c>
    </row>
    <row r="4779" spans="1:5">
      <c r="A4779" s="11">
        <v>42782</v>
      </c>
      <c r="B4779" s="10" t="s">
        <v>9909</v>
      </c>
      <c r="C4779" s="10" t="s">
        <v>9910</v>
      </c>
      <c r="D4779" s="11">
        <v>42782.567881944444</v>
      </c>
      <c r="E4779" s="10" t="s">
        <v>193</v>
      </c>
    </row>
    <row r="4780" spans="1:5">
      <c r="A4780" s="11">
        <v>42782</v>
      </c>
      <c r="B4780" s="10" t="s">
        <v>9911</v>
      </c>
      <c r="C4780" s="10" t="s">
        <v>9912</v>
      </c>
      <c r="D4780" s="11">
        <v>42782.568391203706</v>
      </c>
      <c r="E4780" s="10" t="s">
        <v>152</v>
      </c>
    </row>
    <row r="4781" spans="1:5">
      <c r="A4781" s="11">
        <v>42782</v>
      </c>
      <c r="B4781" s="10" t="s">
        <v>9913</v>
      </c>
      <c r="C4781" s="10" t="s">
        <v>9914</v>
      </c>
      <c r="D4781" s="11">
        <v>42782.659745370373</v>
      </c>
      <c r="E4781" s="10" t="s">
        <v>193</v>
      </c>
    </row>
    <row r="4782" spans="1:5">
      <c r="A4782" s="11">
        <v>42782</v>
      </c>
      <c r="B4782" s="10" t="s">
        <v>9915</v>
      </c>
      <c r="C4782" s="10" t="s">
        <v>9916</v>
      </c>
      <c r="D4782" s="11">
        <v>42782.569965277777</v>
      </c>
      <c r="E4782" s="10" t="s">
        <v>218</v>
      </c>
    </row>
    <row r="4783" spans="1:5">
      <c r="A4783" s="11">
        <v>42782</v>
      </c>
      <c r="B4783" s="10" t="s">
        <v>9917</v>
      </c>
      <c r="C4783" s="10" t="s">
        <v>9918</v>
      </c>
      <c r="D4783" s="11">
        <v>42782.544942129629</v>
      </c>
      <c r="E4783" s="10" t="s">
        <v>215</v>
      </c>
    </row>
    <row r="4784" spans="1:5">
      <c r="A4784" s="11">
        <v>42782</v>
      </c>
      <c r="B4784" s="10" t="s">
        <v>9919</v>
      </c>
      <c r="C4784" s="10" t="s">
        <v>9920</v>
      </c>
      <c r="D4784" s="11">
        <v>42782.570243055554</v>
      </c>
      <c r="E4784" s="10" t="s">
        <v>433</v>
      </c>
    </row>
    <row r="4785" spans="1:5">
      <c r="A4785" s="11">
        <v>42782</v>
      </c>
      <c r="B4785" s="10" t="s">
        <v>9921</v>
      </c>
      <c r="C4785" s="10" t="s">
        <v>9922</v>
      </c>
      <c r="D4785" s="11">
        <v>42782.558425925927</v>
      </c>
      <c r="E4785" s="10" t="s">
        <v>1103</v>
      </c>
    </row>
    <row r="4786" spans="1:5">
      <c r="A4786" s="11">
        <v>42782</v>
      </c>
      <c r="B4786" s="10" t="s">
        <v>9923</v>
      </c>
      <c r="C4786" s="10" t="s">
        <v>9924</v>
      </c>
      <c r="D4786" s="11">
        <v>42782.55</v>
      </c>
      <c r="E4786" s="10" t="s">
        <v>707</v>
      </c>
    </row>
    <row r="4787" spans="1:5">
      <c r="A4787" s="11">
        <v>42782</v>
      </c>
      <c r="B4787" s="10" t="s">
        <v>9925</v>
      </c>
      <c r="C4787" s="10" t="s">
        <v>9926</v>
      </c>
      <c r="D4787" s="11">
        <v>42782.569282407407</v>
      </c>
      <c r="E4787" s="10" t="s">
        <v>152</v>
      </c>
    </row>
    <row r="4788" spans="1:5">
      <c r="A4788" s="11">
        <v>42782</v>
      </c>
      <c r="B4788" s="10" t="s">
        <v>9927</v>
      </c>
      <c r="C4788" s="10" t="s">
        <v>9928</v>
      </c>
      <c r="D4788" s="11">
        <v>42782.558912037035</v>
      </c>
      <c r="E4788" s="10" t="s">
        <v>1103</v>
      </c>
    </row>
    <row r="4789" spans="1:5">
      <c r="A4789" s="11">
        <v>42782</v>
      </c>
      <c r="B4789" s="10" t="s">
        <v>9929</v>
      </c>
      <c r="C4789" s="10" t="s">
        <v>9930</v>
      </c>
      <c r="D4789" s="11">
        <v>42782.569479166668</v>
      </c>
      <c r="E4789" s="10" t="s">
        <v>683</v>
      </c>
    </row>
    <row r="4790" spans="1:5">
      <c r="A4790" s="11">
        <v>42782</v>
      </c>
      <c r="B4790" s="10" t="s">
        <v>9931</v>
      </c>
      <c r="C4790" s="10" t="s">
        <v>9932</v>
      </c>
      <c r="D4790" s="11">
        <v>42782.571284722224</v>
      </c>
      <c r="E4790" s="10" t="s">
        <v>2688</v>
      </c>
    </row>
    <row r="4791" spans="1:5">
      <c r="A4791" s="11">
        <v>42782</v>
      </c>
      <c r="B4791" s="10" t="s">
        <v>9933</v>
      </c>
      <c r="C4791" s="10" t="s">
        <v>9934</v>
      </c>
      <c r="D4791" s="11">
        <v>42782.559328703705</v>
      </c>
      <c r="E4791" s="10" t="s">
        <v>1103</v>
      </c>
    </row>
    <row r="4792" spans="1:5">
      <c r="A4792" s="11">
        <v>42782</v>
      </c>
      <c r="B4792" s="10" t="s">
        <v>9935</v>
      </c>
      <c r="C4792" s="10" t="s">
        <v>9936</v>
      </c>
      <c r="D4792" s="11">
        <v>42782.559895833336</v>
      </c>
      <c r="E4792" s="10" t="s">
        <v>1103</v>
      </c>
    </row>
    <row r="4793" spans="1:5">
      <c r="A4793" s="11">
        <v>42782</v>
      </c>
      <c r="B4793" s="10" t="s">
        <v>9937</v>
      </c>
      <c r="C4793" s="10" t="s">
        <v>9938</v>
      </c>
      <c r="D4793" s="11">
        <v>42782.560266203705</v>
      </c>
      <c r="E4793" s="10" t="s">
        <v>1103</v>
      </c>
    </row>
    <row r="4794" spans="1:5">
      <c r="A4794" s="11">
        <v>42782</v>
      </c>
      <c r="B4794" s="10" t="s">
        <v>9939</v>
      </c>
      <c r="C4794" s="10" t="s">
        <v>9940</v>
      </c>
      <c r="D4794" s="11">
        <v>42782.572939814818</v>
      </c>
      <c r="E4794" s="10" t="s">
        <v>152</v>
      </c>
    </row>
    <row r="4795" spans="1:5">
      <c r="A4795" s="11">
        <v>42782</v>
      </c>
      <c r="B4795" s="10" t="s">
        <v>9941</v>
      </c>
      <c r="C4795" s="10" t="s">
        <v>9942</v>
      </c>
      <c r="D4795" s="11">
        <v>42782.561041666668</v>
      </c>
      <c r="E4795" s="10" t="s">
        <v>1103</v>
      </c>
    </row>
    <row r="4796" spans="1:5">
      <c r="A4796" s="11">
        <v>42782</v>
      </c>
      <c r="B4796" s="10" t="s">
        <v>9943</v>
      </c>
      <c r="C4796" s="10" t="s">
        <v>9944</v>
      </c>
      <c r="D4796" s="11">
        <v>42782.559398148151</v>
      </c>
      <c r="E4796" s="10" t="s">
        <v>152</v>
      </c>
    </row>
    <row r="4797" spans="1:5">
      <c r="A4797" s="11">
        <v>42782</v>
      </c>
      <c r="B4797" s="10" t="s">
        <v>9945</v>
      </c>
      <c r="C4797" s="10" t="s">
        <v>9946</v>
      </c>
      <c r="D4797" s="11">
        <v>42782.564259259256</v>
      </c>
      <c r="E4797" s="10" t="s">
        <v>6712</v>
      </c>
    </row>
    <row r="4798" spans="1:5">
      <c r="A4798" s="11">
        <v>42782</v>
      </c>
      <c r="B4798" s="10" t="s">
        <v>9947</v>
      </c>
      <c r="C4798" s="10" t="s">
        <v>9948</v>
      </c>
      <c r="D4798" s="11">
        <v>42782.573865740742</v>
      </c>
      <c r="E4798" s="10" t="s">
        <v>859</v>
      </c>
    </row>
    <row r="4799" spans="1:5">
      <c r="A4799" s="11">
        <v>42782</v>
      </c>
      <c r="B4799" s="10" t="s">
        <v>9949</v>
      </c>
      <c r="C4799" s="10" t="s">
        <v>9950</v>
      </c>
      <c r="D4799" s="11">
        <v>42782.573969907404</v>
      </c>
      <c r="E4799" s="10" t="s">
        <v>433</v>
      </c>
    </row>
    <row r="4800" spans="1:5">
      <c r="A4800" s="11">
        <v>42782</v>
      </c>
      <c r="B4800" s="10" t="s">
        <v>9951</v>
      </c>
      <c r="C4800" s="10" t="s">
        <v>9952</v>
      </c>
      <c r="D4800" s="11">
        <v>42782.566631944443</v>
      </c>
      <c r="E4800" s="10" t="s">
        <v>2995</v>
      </c>
    </row>
    <row r="4801" spans="1:5">
      <c r="A4801" s="11">
        <v>42782</v>
      </c>
      <c r="B4801" s="10" t="s">
        <v>9953</v>
      </c>
      <c r="C4801" s="10" t="s">
        <v>9954</v>
      </c>
      <c r="D4801" s="11">
        <v>42782.574120370373</v>
      </c>
      <c r="E4801" s="10" t="s">
        <v>122</v>
      </c>
    </row>
    <row r="4802" spans="1:5">
      <c r="A4802" s="11">
        <v>42782</v>
      </c>
      <c r="B4802" s="10" t="s">
        <v>9955</v>
      </c>
      <c r="C4802" s="10" t="s">
        <v>9956</v>
      </c>
      <c r="D4802" s="11">
        <v>42782.571504629632</v>
      </c>
      <c r="E4802" s="10" t="s">
        <v>9957</v>
      </c>
    </row>
    <row r="4803" spans="1:5">
      <c r="A4803" s="11">
        <v>42782</v>
      </c>
      <c r="B4803" s="10" t="s">
        <v>9958</v>
      </c>
      <c r="C4803" s="10" t="s">
        <v>9959</v>
      </c>
      <c r="D4803" s="11">
        <v>42782.574247685188</v>
      </c>
      <c r="E4803" s="10" t="s">
        <v>433</v>
      </c>
    </row>
    <row r="4804" spans="1:5">
      <c r="A4804" s="11">
        <v>42782</v>
      </c>
      <c r="B4804" s="10" t="s">
        <v>9960</v>
      </c>
      <c r="C4804" s="10" t="s">
        <v>9961</v>
      </c>
      <c r="D4804" s="11">
        <v>42782.550763888888</v>
      </c>
      <c r="E4804" s="10" t="s">
        <v>2515</v>
      </c>
    </row>
    <row r="4805" spans="1:5">
      <c r="A4805" s="11">
        <v>42782</v>
      </c>
      <c r="B4805" s="10" t="s">
        <v>9962</v>
      </c>
      <c r="C4805" s="10" t="s">
        <v>9963</v>
      </c>
      <c r="D4805" s="11">
        <v>42782.574374999997</v>
      </c>
      <c r="E4805" s="10" t="s">
        <v>433</v>
      </c>
    </row>
    <row r="4806" spans="1:5">
      <c r="A4806" s="11">
        <v>42782</v>
      </c>
      <c r="B4806" s="10" t="s">
        <v>9964</v>
      </c>
      <c r="C4806" s="10" t="s">
        <v>9965</v>
      </c>
      <c r="D4806" s="11">
        <v>42782.548344907409</v>
      </c>
      <c r="E4806" s="10" t="s">
        <v>380</v>
      </c>
    </row>
    <row r="4807" spans="1:5">
      <c r="A4807" s="11">
        <v>42782</v>
      </c>
      <c r="B4807" s="10" t="s">
        <v>9966</v>
      </c>
      <c r="C4807" s="10" t="s">
        <v>9967</v>
      </c>
      <c r="D4807" s="11">
        <v>42782.5471412037</v>
      </c>
      <c r="E4807" s="10" t="s">
        <v>96</v>
      </c>
    </row>
    <row r="4808" spans="1:5">
      <c r="A4808" s="11">
        <v>42782</v>
      </c>
      <c r="B4808" s="10" t="s">
        <v>9968</v>
      </c>
      <c r="C4808" s="10" t="s">
        <v>9969</v>
      </c>
      <c r="D4808" s="11">
        <v>42782.55840277778</v>
      </c>
      <c r="E4808" s="10" t="s">
        <v>380</v>
      </c>
    </row>
    <row r="4809" spans="1:5">
      <c r="A4809" s="11">
        <v>42782</v>
      </c>
      <c r="B4809" s="10" t="s">
        <v>9970</v>
      </c>
      <c r="C4809" s="10" t="s">
        <v>9971</v>
      </c>
      <c r="D4809" s="11">
        <v>42782.572581018518</v>
      </c>
      <c r="E4809" s="10" t="s">
        <v>193</v>
      </c>
    </row>
    <row r="4810" spans="1:5">
      <c r="A4810" s="11">
        <v>42782</v>
      </c>
      <c r="B4810" s="10" t="s">
        <v>9972</v>
      </c>
      <c r="C4810" s="10" t="s">
        <v>9973</v>
      </c>
      <c r="D4810" s="11">
        <v>42782.563946759263</v>
      </c>
      <c r="E4810" s="10" t="s">
        <v>380</v>
      </c>
    </row>
    <row r="4811" spans="1:5">
      <c r="A4811" s="11">
        <v>42782</v>
      </c>
      <c r="B4811" s="10" t="s">
        <v>9974</v>
      </c>
      <c r="C4811" s="10" t="s">
        <v>9975</v>
      </c>
      <c r="D4811" s="11">
        <v>42782.57576388889</v>
      </c>
      <c r="E4811" s="10" t="s">
        <v>292</v>
      </c>
    </row>
    <row r="4812" spans="1:5">
      <c r="A4812" s="11">
        <v>42782</v>
      </c>
      <c r="B4812" s="10" t="s">
        <v>9976</v>
      </c>
      <c r="C4812" s="10" t="s">
        <v>9977</v>
      </c>
      <c r="D4812" s="11">
        <v>42782.548483796294</v>
      </c>
      <c r="E4812" s="10" t="s">
        <v>380</v>
      </c>
    </row>
    <row r="4813" spans="1:5">
      <c r="A4813" s="11">
        <v>42782</v>
      </c>
      <c r="B4813" s="10" t="s">
        <v>9978</v>
      </c>
      <c r="C4813" s="10" t="s">
        <v>9979</v>
      </c>
      <c r="D4813" s="11">
        <v>42782.576145833336</v>
      </c>
      <c r="E4813" s="10" t="s">
        <v>625</v>
      </c>
    </row>
    <row r="4814" spans="1:5">
      <c r="A4814" s="11">
        <v>42782</v>
      </c>
      <c r="B4814" s="10" t="s">
        <v>9980</v>
      </c>
      <c r="C4814" s="10" t="s">
        <v>9981</v>
      </c>
      <c r="D4814" s="11">
        <v>42782.577094907407</v>
      </c>
      <c r="E4814" s="10" t="s">
        <v>4898</v>
      </c>
    </row>
    <row r="4815" spans="1:5">
      <c r="A4815" s="11">
        <v>42782</v>
      </c>
      <c r="B4815" s="10" t="s">
        <v>9982</v>
      </c>
      <c r="C4815" s="10" t="s">
        <v>9983</v>
      </c>
      <c r="D4815" s="11">
        <v>42782.577175925922</v>
      </c>
      <c r="E4815" s="10" t="s">
        <v>3550</v>
      </c>
    </row>
    <row r="4816" spans="1:5">
      <c r="A4816" s="11">
        <v>42782</v>
      </c>
      <c r="B4816" s="10" t="s">
        <v>9984</v>
      </c>
      <c r="C4816" s="10" t="s">
        <v>9985</v>
      </c>
      <c r="D4816" s="11">
        <v>42782.550497685188</v>
      </c>
      <c r="E4816" s="10" t="s">
        <v>143</v>
      </c>
    </row>
    <row r="4817" spans="1:5">
      <c r="A4817" s="11">
        <v>42782</v>
      </c>
      <c r="B4817" s="10" t="s">
        <v>9986</v>
      </c>
      <c r="C4817" s="10" t="s">
        <v>9987</v>
      </c>
      <c r="D4817" s="11">
        <v>42782.621249999997</v>
      </c>
      <c r="E4817" s="10" t="s">
        <v>977</v>
      </c>
    </row>
    <row r="4818" spans="1:5">
      <c r="A4818" s="11">
        <v>42782</v>
      </c>
      <c r="B4818" s="10" t="s">
        <v>9988</v>
      </c>
      <c r="C4818" s="10" t="s">
        <v>9989</v>
      </c>
      <c r="D4818" s="11">
        <v>42782.576898148145</v>
      </c>
      <c r="E4818" s="10" t="s">
        <v>380</v>
      </c>
    </row>
    <row r="4819" spans="1:5">
      <c r="A4819" s="11">
        <v>42782</v>
      </c>
      <c r="B4819" s="10" t="s">
        <v>9990</v>
      </c>
      <c r="C4819" s="10" t="s">
        <v>9991</v>
      </c>
      <c r="D4819" s="11">
        <v>42782.568252314813</v>
      </c>
      <c r="E4819" s="10" t="s">
        <v>2515</v>
      </c>
    </row>
    <row r="4820" spans="1:5">
      <c r="A4820" s="11">
        <v>42782</v>
      </c>
      <c r="B4820" s="10" t="s">
        <v>9992</v>
      </c>
      <c r="C4820" s="10" t="s">
        <v>9993</v>
      </c>
      <c r="D4820" s="11">
        <v>42782.560370370367</v>
      </c>
      <c r="E4820" s="10" t="s">
        <v>2266</v>
      </c>
    </row>
    <row r="4821" spans="1:5">
      <c r="A4821" s="11">
        <v>42782</v>
      </c>
      <c r="B4821" s="10" t="s">
        <v>9994</v>
      </c>
      <c r="C4821" s="10" t="s">
        <v>9995</v>
      </c>
      <c r="D4821" s="11">
        <v>42782.574155092596</v>
      </c>
      <c r="E4821" s="10" t="s">
        <v>193</v>
      </c>
    </row>
    <row r="4822" spans="1:5">
      <c r="A4822" s="11">
        <v>42782</v>
      </c>
      <c r="B4822" s="10" t="s">
        <v>9996</v>
      </c>
      <c r="C4822" s="10" t="s">
        <v>9997</v>
      </c>
      <c r="D4822" s="11">
        <v>42782.576770833337</v>
      </c>
      <c r="E4822" s="10" t="s">
        <v>122</v>
      </c>
    </row>
    <row r="4823" spans="1:5">
      <c r="A4823" s="11">
        <v>42782</v>
      </c>
      <c r="B4823" s="10" t="s">
        <v>9998</v>
      </c>
      <c r="C4823" s="10" t="s">
        <v>9999</v>
      </c>
      <c r="D4823" s="11">
        <v>42782.564456018517</v>
      </c>
      <c r="E4823" s="10" t="s">
        <v>2180</v>
      </c>
    </row>
    <row r="4824" spans="1:5">
      <c r="A4824" s="11">
        <v>42782</v>
      </c>
      <c r="B4824" s="10" t="s">
        <v>10000</v>
      </c>
      <c r="C4824" s="10" t="s">
        <v>10001</v>
      </c>
      <c r="D4824" s="11">
        <v>42782.568229166667</v>
      </c>
      <c r="E4824" s="10" t="s">
        <v>122</v>
      </c>
    </row>
    <row r="4825" spans="1:5">
      <c r="A4825" s="11">
        <v>42782</v>
      </c>
      <c r="B4825" s="10" t="s">
        <v>10002</v>
      </c>
      <c r="C4825" s="10" t="s">
        <v>10003</v>
      </c>
      <c r="D4825" s="11">
        <v>42782.578831018516</v>
      </c>
      <c r="E4825" s="10" t="s">
        <v>152</v>
      </c>
    </row>
    <row r="4826" spans="1:5">
      <c r="A4826" s="11">
        <v>42782</v>
      </c>
      <c r="B4826" s="10" t="s">
        <v>10004</v>
      </c>
      <c r="C4826" s="10" t="s">
        <v>10005</v>
      </c>
      <c r="D4826" s="11">
        <v>42782.563599537039</v>
      </c>
      <c r="E4826" s="10" t="s">
        <v>433</v>
      </c>
    </row>
    <row r="4827" spans="1:5">
      <c r="A4827" s="11">
        <v>42782</v>
      </c>
      <c r="B4827" s="10" t="s">
        <v>10006</v>
      </c>
      <c r="C4827" s="10" t="s">
        <v>10007</v>
      </c>
      <c r="D4827" s="11">
        <v>42782.577118055553</v>
      </c>
      <c r="E4827" s="10" t="s">
        <v>1103</v>
      </c>
    </row>
    <row r="4828" spans="1:5">
      <c r="A4828" s="11">
        <v>42782</v>
      </c>
      <c r="B4828" s="10" t="s">
        <v>10008</v>
      </c>
      <c r="C4828" s="10" t="s">
        <v>10009</v>
      </c>
      <c r="D4828" s="11">
        <v>42782.577372685184</v>
      </c>
      <c r="E4828" s="10" t="s">
        <v>1103</v>
      </c>
    </row>
    <row r="4829" spans="1:5">
      <c r="A4829" s="11">
        <v>42782</v>
      </c>
      <c r="B4829" s="10" t="s">
        <v>10010</v>
      </c>
      <c r="C4829" s="10" t="s">
        <v>10011</v>
      </c>
      <c r="D4829" s="11">
        <v>42782.577777777777</v>
      </c>
      <c r="E4829" s="10" t="s">
        <v>237</v>
      </c>
    </row>
    <row r="4830" spans="1:5">
      <c r="A4830" s="11">
        <v>42782</v>
      </c>
      <c r="B4830" s="10" t="s">
        <v>10012</v>
      </c>
      <c r="C4830" s="10" t="s">
        <v>10013</v>
      </c>
      <c r="D4830" s="11">
        <v>42782.578252314815</v>
      </c>
      <c r="E4830" s="10" t="s">
        <v>237</v>
      </c>
    </row>
    <row r="4831" spans="1:5">
      <c r="A4831" s="11">
        <v>42782</v>
      </c>
      <c r="B4831" s="10" t="s">
        <v>10014</v>
      </c>
      <c r="C4831" s="10" t="s">
        <v>10015</v>
      </c>
      <c r="D4831" s="11">
        <v>42782.574999999997</v>
      </c>
      <c r="E4831" s="10" t="s">
        <v>380</v>
      </c>
    </row>
    <row r="4832" spans="1:5">
      <c r="A4832" s="11">
        <v>42782</v>
      </c>
      <c r="B4832" s="10" t="s">
        <v>10016</v>
      </c>
      <c r="C4832" s="10" t="s">
        <v>10017</v>
      </c>
      <c r="D4832" s="11">
        <v>42782.619340277779</v>
      </c>
      <c r="E4832" s="10" t="s">
        <v>2144</v>
      </c>
    </row>
    <row r="4833" spans="1:5">
      <c r="A4833" s="11">
        <v>42782</v>
      </c>
      <c r="B4833" s="10" t="s">
        <v>10018</v>
      </c>
      <c r="C4833" s="10" t="s">
        <v>10019</v>
      </c>
      <c r="D4833" s="11">
        <v>42782.579305555555</v>
      </c>
      <c r="E4833" s="10" t="s">
        <v>292</v>
      </c>
    </row>
    <row r="4834" spans="1:5">
      <c r="A4834" s="11">
        <v>42782</v>
      </c>
      <c r="B4834" s="10" t="s">
        <v>10020</v>
      </c>
      <c r="C4834" s="10" t="s">
        <v>10021</v>
      </c>
      <c r="D4834" s="11">
        <v>42782.579664351855</v>
      </c>
      <c r="E4834" s="10" t="s">
        <v>433</v>
      </c>
    </row>
    <row r="4835" spans="1:5">
      <c r="A4835" s="11">
        <v>42782</v>
      </c>
      <c r="B4835" s="10" t="s">
        <v>10022</v>
      </c>
      <c r="C4835" s="10" t="s">
        <v>10023</v>
      </c>
      <c r="D4835" s="11">
        <v>42782.555046296293</v>
      </c>
      <c r="E4835" s="10" t="s">
        <v>433</v>
      </c>
    </row>
    <row r="4836" spans="1:5">
      <c r="A4836" s="11">
        <v>42782</v>
      </c>
      <c r="B4836" s="10" t="s">
        <v>10024</v>
      </c>
      <c r="C4836" s="10" t="s">
        <v>10025</v>
      </c>
      <c r="D4836" s="11">
        <v>42782.580023148148</v>
      </c>
      <c r="E4836" s="10" t="s">
        <v>122</v>
      </c>
    </row>
    <row r="4837" spans="1:5">
      <c r="A4837" s="11">
        <v>42782</v>
      </c>
      <c r="B4837" s="10" t="s">
        <v>10026</v>
      </c>
      <c r="C4837" s="10" t="s">
        <v>10027</v>
      </c>
      <c r="D4837" s="11">
        <v>42782.578923611109</v>
      </c>
      <c r="E4837" s="10" t="s">
        <v>96</v>
      </c>
    </row>
    <row r="4838" spans="1:5">
      <c r="A4838" s="11">
        <v>42782</v>
      </c>
      <c r="B4838" s="10" t="s">
        <v>10028</v>
      </c>
      <c r="C4838" s="10" t="s">
        <v>10029</v>
      </c>
      <c r="D4838" s="11">
        <v>42782.580312500002</v>
      </c>
      <c r="E4838" s="10" t="s">
        <v>380</v>
      </c>
    </row>
    <row r="4839" spans="1:5">
      <c r="A4839" s="11">
        <v>42782</v>
      </c>
      <c r="B4839" s="10" t="s">
        <v>10030</v>
      </c>
      <c r="C4839" s="10" t="s">
        <v>10031</v>
      </c>
      <c r="D4839" s="11">
        <v>42782.580370370371</v>
      </c>
      <c r="E4839" s="10" t="s">
        <v>215</v>
      </c>
    </row>
    <row r="4840" spans="1:5">
      <c r="A4840" s="11">
        <v>42782</v>
      </c>
      <c r="B4840" s="10" t="s">
        <v>10032</v>
      </c>
      <c r="C4840" s="10" t="s">
        <v>10033</v>
      </c>
      <c r="D4840" s="11">
        <v>42782.577974537038</v>
      </c>
      <c r="E4840" s="10" t="s">
        <v>3543</v>
      </c>
    </row>
    <row r="4841" spans="1:5">
      <c r="A4841" s="11">
        <v>42782</v>
      </c>
      <c r="B4841" s="10" t="s">
        <v>10034</v>
      </c>
      <c r="C4841" s="10" t="s">
        <v>10035</v>
      </c>
      <c r="D4841" s="11">
        <v>42782.580451388887</v>
      </c>
      <c r="E4841" s="10" t="s">
        <v>215</v>
      </c>
    </row>
    <row r="4842" spans="1:5">
      <c r="A4842" s="11">
        <v>42782</v>
      </c>
      <c r="B4842" s="10" t="s">
        <v>10036</v>
      </c>
      <c r="C4842" s="10" t="s">
        <v>10037</v>
      </c>
      <c r="D4842" s="11">
        <v>42782.580497685187</v>
      </c>
      <c r="E4842" s="10" t="s">
        <v>2180</v>
      </c>
    </row>
    <row r="4843" spans="1:5">
      <c r="A4843" s="11">
        <v>42782</v>
      </c>
      <c r="B4843" s="10" t="s">
        <v>10038</v>
      </c>
      <c r="C4843" s="10" t="s">
        <v>10039</v>
      </c>
      <c r="D4843" s="11">
        <v>42782.575277777774</v>
      </c>
      <c r="E4843" s="10" t="s">
        <v>2180</v>
      </c>
    </row>
    <row r="4844" spans="1:5">
      <c r="A4844" s="11">
        <v>42782</v>
      </c>
      <c r="B4844" s="10" t="s">
        <v>10040</v>
      </c>
      <c r="C4844" s="10" t="s">
        <v>10041</v>
      </c>
      <c r="D4844" s="11">
        <v>42782.564386574071</v>
      </c>
      <c r="E4844" s="10" t="s">
        <v>240</v>
      </c>
    </row>
    <row r="4845" spans="1:5">
      <c r="A4845" s="11">
        <v>42782</v>
      </c>
      <c r="B4845" s="10" t="s">
        <v>10042</v>
      </c>
      <c r="C4845" s="10" t="s">
        <v>10043</v>
      </c>
      <c r="D4845" s="11">
        <v>42782.580821759257</v>
      </c>
      <c r="E4845" s="10" t="s">
        <v>902</v>
      </c>
    </row>
    <row r="4846" spans="1:5">
      <c r="A4846" s="11">
        <v>42782</v>
      </c>
      <c r="B4846" s="10" t="s">
        <v>10044</v>
      </c>
      <c r="C4846" s="10" t="s">
        <v>10045</v>
      </c>
      <c r="D4846" s="11">
        <v>42782.554791666669</v>
      </c>
      <c r="E4846" s="10" t="s">
        <v>212</v>
      </c>
    </row>
    <row r="4847" spans="1:5">
      <c r="A4847" s="11">
        <v>42782</v>
      </c>
      <c r="B4847" s="10" t="s">
        <v>10046</v>
      </c>
      <c r="C4847" s="10" t="s">
        <v>10047</v>
      </c>
      <c r="D4847" s="11">
        <v>42782.578958333332</v>
      </c>
      <c r="E4847" s="10" t="s">
        <v>96</v>
      </c>
    </row>
    <row r="4848" spans="1:5">
      <c r="A4848" s="11">
        <v>42782</v>
      </c>
      <c r="B4848" s="10" t="s">
        <v>10048</v>
      </c>
      <c r="C4848" s="10" t="s">
        <v>10049</v>
      </c>
      <c r="D4848" s="11">
        <v>42782.548414351855</v>
      </c>
      <c r="E4848" s="10" t="s">
        <v>380</v>
      </c>
    </row>
    <row r="4849" spans="1:5">
      <c r="A4849" s="11">
        <v>42782</v>
      </c>
      <c r="B4849" s="10" t="s">
        <v>10050</v>
      </c>
      <c r="C4849" s="10" t="s">
        <v>10051</v>
      </c>
      <c r="D4849" s="11">
        <v>42782.579340277778</v>
      </c>
      <c r="E4849" s="10" t="s">
        <v>193</v>
      </c>
    </row>
    <row r="4850" spans="1:5">
      <c r="A4850" s="11">
        <v>42782</v>
      </c>
      <c r="B4850" s="10" t="s">
        <v>10052</v>
      </c>
      <c r="C4850" s="10" t="s">
        <v>10053</v>
      </c>
      <c r="D4850" s="11">
        <v>42782.549398148149</v>
      </c>
      <c r="E4850" s="10" t="s">
        <v>1316</v>
      </c>
    </row>
    <row r="4851" spans="1:5">
      <c r="A4851" s="11">
        <v>42782</v>
      </c>
      <c r="B4851" s="10" t="s">
        <v>10054</v>
      </c>
      <c r="C4851" s="10" t="s">
        <v>10055</v>
      </c>
      <c r="D4851" s="11">
        <v>42782.623148148145</v>
      </c>
      <c r="E4851" s="10" t="s">
        <v>2538</v>
      </c>
    </row>
    <row r="4852" spans="1:5">
      <c r="A4852" s="11">
        <v>42782</v>
      </c>
      <c r="B4852" s="10" t="s">
        <v>10056</v>
      </c>
      <c r="C4852" s="10" t="s">
        <v>10057</v>
      </c>
      <c r="D4852" s="11">
        <v>42782.705266203702</v>
      </c>
      <c r="E4852" s="10" t="s">
        <v>380</v>
      </c>
    </row>
    <row r="4853" spans="1:5">
      <c r="A4853" s="11">
        <v>42782</v>
      </c>
      <c r="B4853" s="10" t="s">
        <v>10058</v>
      </c>
      <c r="C4853" s="10" t="s">
        <v>10059</v>
      </c>
      <c r="D4853" s="11">
        <v>42782.581157407411</v>
      </c>
      <c r="E4853" s="10" t="s">
        <v>479</v>
      </c>
    </row>
    <row r="4854" spans="1:5">
      <c r="A4854" s="11">
        <v>42782</v>
      </c>
      <c r="B4854" s="10" t="s">
        <v>10060</v>
      </c>
      <c r="C4854" s="10" t="s">
        <v>10061</v>
      </c>
      <c r="D4854" s="11">
        <v>42782.581770833334</v>
      </c>
      <c r="E4854" s="10" t="s">
        <v>422</v>
      </c>
    </row>
    <row r="4855" spans="1:5">
      <c r="A4855" s="11">
        <v>42782</v>
      </c>
      <c r="B4855" s="10" t="s">
        <v>10062</v>
      </c>
      <c r="C4855" s="10" t="s">
        <v>10063</v>
      </c>
      <c r="D4855" s="11">
        <v>42782.582256944443</v>
      </c>
      <c r="E4855" s="10" t="s">
        <v>683</v>
      </c>
    </row>
    <row r="4856" spans="1:5">
      <c r="A4856" s="11">
        <v>42782</v>
      </c>
      <c r="B4856" s="10" t="s">
        <v>10064</v>
      </c>
      <c r="C4856" s="10" t="s">
        <v>10065</v>
      </c>
      <c r="D4856" s="11">
        <v>42782.653090277781</v>
      </c>
      <c r="E4856" s="10" t="s">
        <v>946</v>
      </c>
    </row>
    <row r="4857" spans="1:5">
      <c r="A4857" s="11">
        <v>42782</v>
      </c>
      <c r="B4857" s="10" t="s">
        <v>10066</v>
      </c>
      <c r="C4857" s="10" t="s">
        <v>10067</v>
      </c>
      <c r="D4857" s="11">
        <v>42782.579340277778</v>
      </c>
      <c r="E4857" s="10" t="s">
        <v>308</v>
      </c>
    </row>
    <row r="4858" spans="1:5">
      <c r="A4858" s="11">
        <v>42782</v>
      </c>
      <c r="B4858" s="10" t="s">
        <v>10068</v>
      </c>
      <c r="C4858" s="10" t="s">
        <v>10069</v>
      </c>
      <c r="D4858" s="11">
        <v>42782.581365740742</v>
      </c>
      <c r="E4858" s="10" t="s">
        <v>152</v>
      </c>
    </row>
    <row r="4859" spans="1:5">
      <c r="A4859" s="11">
        <v>42782</v>
      </c>
      <c r="B4859" s="10" t="s">
        <v>10070</v>
      </c>
      <c r="C4859" s="10" t="s">
        <v>10071</v>
      </c>
      <c r="D4859" s="11">
        <v>42782.578368055554</v>
      </c>
      <c r="E4859" s="10" t="s">
        <v>707</v>
      </c>
    </row>
    <row r="4860" spans="1:5">
      <c r="A4860" s="11">
        <v>42782</v>
      </c>
      <c r="B4860" s="10" t="s">
        <v>10072</v>
      </c>
      <c r="C4860" s="10" t="s">
        <v>10073</v>
      </c>
      <c r="D4860" s="11">
        <v>42782.58284722222</v>
      </c>
      <c r="E4860" s="10" t="s">
        <v>380</v>
      </c>
    </row>
    <row r="4861" spans="1:5">
      <c r="A4861" s="11">
        <v>42782</v>
      </c>
      <c r="B4861" s="10" t="s">
        <v>10074</v>
      </c>
      <c r="C4861" s="10" t="s">
        <v>10075</v>
      </c>
      <c r="D4861" s="11">
        <v>42782.582916666666</v>
      </c>
      <c r="E4861" s="10" t="s">
        <v>2515</v>
      </c>
    </row>
    <row r="4862" spans="1:5">
      <c r="A4862" s="11">
        <v>42782</v>
      </c>
      <c r="B4862" s="10" t="s">
        <v>10076</v>
      </c>
      <c r="C4862" s="10" t="s">
        <v>10077</v>
      </c>
      <c r="D4862" s="11">
        <v>42782.559178240743</v>
      </c>
      <c r="E4862" s="10" t="s">
        <v>2180</v>
      </c>
    </row>
    <row r="4863" spans="1:5">
      <c r="A4863" s="11">
        <v>42782</v>
      </c>
      <c r="B4863" s="10" t="s">
        <v>10078</v>
      </c>
      <c r="C4863" s="10" t="s">
        <v>10079</v>
      </c>
      <c r="D4863" s="11">
        <v>42782.635428240741</v>
      </c>
      <c r="E4863" s="10" t="s">
        <v>96</v>
      </c>
    </row>
    <row r="4864" spans="1:5">
      <c r="A4864" s="11">
        <v>42782</v>
      </c>
      <c r="B4864" s="10" t="s">
        <v>10080</v>
      </c>
      <c r="C4864" s="10" t="s">
        <v>10081</v>
      </c>
      <c r="D4864" s="11">
        <v>42782.583020833335</v>
      </c>
      <c r="E4864" s="10" t="s">
        <v>221</v>
      </c>
    </row>
    <row r="4865" spans="1:5">
      <c r="A4865" s="11">
        <v>42782</v>
      </c>
      <c r="B4865" s="10" t="s">
        <v>10082</v>
      </c>
      <c r="C4865" s="10" t="s">
        <v>10083</v>
      </c>
      <c r="D4865" s="11">
        <v>42782.583067129628</v>
      </c>
      <c r="E4865" s="10" t="s">
        <v>2515</v>
      </c>
    </row>
    <row r="4866" spans="1:5">
      <c r="A4866" s="11">
        <v>42782</v>
      </c>
      <c r="B4866" s="10" t="s">
        <v>10084</v>
      </c>
      <c r="C4866" s="10" t="s">
        <v>10085</v>
      </c>
      <c r="D4866" s="11">
        <v>42782.552106481482</v>
      </c>
      <c r="E4866" s="10" t="s">
        <v>433</v>
      </c>
    </row>
    <row r="4867" spans="1:5">
      <c r="A4867" s="11">
        <v>42782</v>
      </c>
      <c r="B4867" s="10" t="s">
        <v>10086</v>
      </c>
      <c r="C4867" s="10" t="s">
        <v>10087</v>
      </c>
      <c r="D4867" s="11">
        <v>42782.548368055555</v>
      </c>
      <c r="E4867" s="10" t="s">
        <v>209</v>
      </c>
    </row>
    <row r="4868" spans="1:5">
      <c r="A4868" s="11">
        <v>42782</v>
      </c>
      <c r="B4868" s="10" t="s">
        <v>10088</v>
      </c>
      <c r="C4868" s="10" t="s">
        <v>10089</v>
      </c>
      <c r="D4868" s="11">
        <v>42782.575497685182</v>
      </c>
      <c r="E4868" s="10" t="s">
        <v>707</v>
      </c>
    </row>
    <row r="4869" spans="1:5">
      <c r="A4869" s="11">
        <v>42782</v>
      </c>
      <c r="B4869" s="10" t="s">
        <v>10090</v>
      </c>
      <c r="C4869" s="10" t="s">
        <v>10091</v>
      </c>
      <c r="D4869" s="11">
        <v>42782.582650462966</v>
      </c>
      <c r="E4869" s="10" t="s">
        <v>380</v>
      </c>
    </row>
    <row r="4870" spans="1:5">
      <c r="A4870" s="11">
        <v>42782</v>
      </c>
      <c r="B4870" s="10" t="s">
        <v>10092</v>
      </c>
      <c r="C4870" s="10" t="s">
        <v>10093</v>
      </c>
      <c r="D4870" s="11">
        <v>42782.583611111113</v>
      </c>
      <c r="E4870" s="10" t="s">
        <v>10094</v>
      </c>
    </row>
    <row r="4871" spans="1:5">
      <c r="A4871" s="11">
        <v>42782</v>
      </c>
      <c r="B4871" s="10" t="s">
        <v>10095</v>
      </c>
      <c r="C4871" s="10" t="s">
        <v>10096</v>
      </c>
      <c r="D4871" s="11">
        <v>42782.562962962962</v>
      </c>
      <c r="E4871" s="10" t="s">
        <v>308</v>
      </c>
    </row>
    <row r="4872" spans="1:5">
      <c r="A4872" s="11">
        <v>42782</v>
      </c>
      <c r="B4872" s="10" t="s">
        <v>10097</v>
      </c>
      <c r="C4872" s="10" t="s">
        <v>10098</v>
      </c>
      <c r="D4872" s="11">
        <v>42782.583634259259</v>
      </c>
      <c r="E4872" s="10" t="s">
        <v>1103</v>
      </c>
    </row>
    <row r="4873" spans="1:5">
      <c r="A4873" s="11">
        <v>42782</v>
      </c>
      <c r="B4873" s="10" t="s">
        <v>10099</v>
      </c>
      <c r="C4873" s="10" t="s">
        <v>10100</v>
      </c>
      <c r="D4873" s="11">
        <v>42782.584120370368</v>
      </c>
      <c r="E4873" s="10" t="s">
        <v>433</v>
      </c>
    </row>
    <row r="4874" spans="1:5">
      <c r="A4874" s="11">
        <v>42782</v>
      </c>
      <c r="B4874" s="10" t="s">
        <v>10101</v>
      </c>
      <c r="C4874" s="10" t="s">
        <v>10102</v>
      </c>
      <c r="D4874" s="11">
        <v>42782.580555555556</v>
      </c>
      <c r="E4874" s="10" t="s">
        <v>2995</v>
      </c>
    </row>
    <row r="4875" spans="1:5">
      <c r="A4875" s="11">
        <v>42782</v>
      </c>
      <c r="B4875" s="10" t="s">
        <v>10103</v>
      </c>
      <c r="C4875" s="10" t="s">
        <v>10104</v>
      </c>
      <c r="D4875" s="11">
        <v>42782.577916666669</v>
      </c>
      <c r="E4875" s="10" t="s">
        <v>218</v>
      </c>
    </row>
    <row r="4876" spans="1:5">
      <c r="A4876" s="11">
        <v>42782</v>
      </c>
      <c r="B4876" s="10" t="s">
        <v>10105</v>
      </c>
      <c r="C4876" s="10" t="s">
        <v>10106</v>
      </c>
      <c r="D4876" s="11">
        <v>42782.584270833337</v>
      </c>
      <c r="E4876" s="10" t="s">
        <v>2180</v>
      </c>
    </row>
    <row r="4877" spans="1:5">
      <c r="A4877" s="11">
        <v>42782</v>
      </c>
      <c r="B4877" s="10" t="s">
        <v>10107</v>
      </c>
      <c r="C4877" s="10" t="s">
        <v>10108</v>
      </c>
      <c r="D4877" s="11">
        <v>42782.578287037039</v>
      </c>
      <c r="E4877" s="10" t="s">
        <v>3060</v>
      </c>
    </row>
    <row r="4878" spans="1:5">
      <c r="A4878" s="11">
        <v>42782</v>
      </c>
      <c r="B4878" s="10" t="s">
        <v>10109</v>
      </c>
      <c r="C4878" s="10" t="s">
        <v>10110</v>
      </c>
      <c r="D4878" s="11">
        <v>42782.574699074074</v>
      </c>
      <c r="E4878" s="10" t="s">
        <v>380</v>
      </c>
    </row>
    <row r="4879" spans="1:5">
      <c r="A4879" s="11">
        <v>42782</v>
      </c>
      <c r="B4879" s="10" t="s">
        <v>10111</v>
      </c>
      <c r="C4879" s="10" t="s">
        <v>10112</v>
      </c>
      <c r="D4879" s="11">
        <v>42782.581979166665</v>
      </c>
      <c r="E4879" s="10" t="s">
        <v>433</v>
      </c>
    </row>
    <row r="4880" spans="1:5">
      <c r="A4880" s="11">
        <v>42782</v>
      </c>
      <c r="B4880" s="10" t="s">
        <v>10113</v>
      </c>
      <c r="C4880" s="10" t="s">
        <v>10114</v>
      </c>
      <c r="D4880" s="11">
        <v>42782.58457175926</v>
      </c>
      <c r="E4880" s="10" t="s">
        <v>977</v>
      </c>
    </row>
    <row r="4881" spans="1:5">
      <c r="A4881" s="11">
        <v>42782</v>
      </c>
      <c r="B4881" s="10" t="s">
        <v>10115</v>
      </c>
      <c r="C4881" s="10" t="s">
        <v>10116</v>
      </c>
      <c r="D4881" s="11">
        <v>42782.653819444444</v>
      </c>
      <c r="E4881" s="10" t="s">
        <v>122</v>
      </c>
    </row>
    <row r="4882" spans="1:5">
      <c r="A4882" s="11">
        <v>42782</v>
      </c>
      <c r="B4882" s="10" t="s">
        <v>10117</v>
      </c>
      <c r="C4882" s="10" t="s">
        <v>10118</v>
      </c>
      <c r="D4882" s="11">
        <v>42782.573414351849</v>
      </c>
      <c r="E4882" s="10" t="s">
        <v>373</v>
      </c>
    </row>
    <row r="4883" spans="1:5">
      <c r="A4883" s="11">
        <v>42782</v>
      </c>
      <c r="B4883" s="10" t="s">
        <v>10119</v>
      </c>
      <c r="C4883" s="10" t="s">
        <v>10120</v>
      </c>
      <c r="D4883" s="11">
        <v>42782.578611111108</v>
      </c>
      <c r="E4883" s="10" t="s">
        <v>433</v>
      </c>
    </row>
    <row r="4884" spans="1:5">
      <c r="A4884" s="11">
        <v>42782</v>
      </c>
      <c r="B4884" s="10" t="s">
        <v>10121</v>
      </c>
      <c r="C4884" s="10" t="s">
        <v>10122</v>
      </c>
      <c r="D4884" s="11">
        <v>42782.583113425928</v>
      </c>
      <c r="E4884" s="10" t="s">
        <v>433</v>
      </c>
    </row>
    <row r="4885" spans="1:5" ht="21.6">
      <c r="A4885" s="11">
        <v>42782</v>
      </c>
      <c r="B4885" s="10" t="s">
        <v>10123</v>
      </c>
      <c r="C4885" s="10" t="s">
        <v>10124</v>
      </c>
      <c r="D4885" s="11">
        <v>42782.557870370372</v>
      </c>
      <c r="E4885" s="10" t="s">
        <v>613</v>
      </c>
    </row>
    <row r="4886" spans="1:5">
      <c r="A4886" s="11">
        <v>42782</v>
      </c>
      <c r="B4886" s="10" t="s">
        <v>10125</v>
      </c>
      <c r="C4886" s="10" t="s">
        <v>10126</v>
      </c>
      <c r="D4886" s="11">
        <v>42782.552476851852</v>
      </c>
      <c r="E4886" s="10" t="s">
        <v>433</v>
      </c>
    </row>
    <row r="4887" spans="1:5">
      <c r="A4887" s="11">
        <v>42782</v>
      </c>
      <c r="B4887" s="10" t="s">
        <v>10127</v>
      </c>
      <c r="C4887" s="10" t="s">
        <v>10128</v>
      </c>
      <c r="D4887" s="11">
        <v>42782.584189814814</v>
      </c>
      <c r="E4887" s="10" t="s">
        <v>433</v>
      </c>
    </row>
    <row r="4888" spans="1:5">
      <c r="A4888" s="11">
        <v>42782</v>
      </c>
      <c r="B4888" s="10" t="s">
        <v>10129</v>
      </c>
      <c r="C4888" s="10" t="s">
        <v>10130</v>
      </c>
      <c r="D4888" s="11">
        <v>42782.58388888889</v>
      </c>
      <c r="E4888" s="10" t="s">
        <v>209</v>
      </c>
    </row>
    <row r="4889" spans="1:5">
      <c r="A4889" s="11">
        <v>42782</v>
      </c>
      <c r="B4889" s="10" t="s">
        <v>10131</v>
      </c>
      <c r="C4889" s="10" t="s">
        <v>10132</v>
      </c>
      <c r="D4889" s="11">
        <v>42782.645185185182</v>
      </c>
      <c r="E4889" s="10" t="s">
        <v>125</v>
      </c>
    </row>
    <row r="4890" spans="1:5" ht="21.6">
      <c r="A4890" s="11">
        <v>42782</v>
      </c>
      <c r="B4890" s="10" t="s">
        <v>10133</v>
      </c>
      <c r="C4890" s="10" t="s">
        <v>10134</v>
      </c>
      <c r="D4890" s="11">
        <v>42782.581400462965</v>
      </c>
      <c r="E4890" s="10" t="s">
        <v>1665</v>
      </c>
    </row>
    <row r="4891" spans="1:5" ht="21.6">
      <c r="A4891" s="11">
        <v>42782</v>
      </c>
      <c r="B4891" s="10" t="s">
        <v>10135</v>
      </c>
      <c r="C4891" s="10" t="s">
        <v>10136</v>
      </c>
      <c r="D4891" s="11">
        <v>42782.564097222225</v>
      </c>
      <c r="E4891" s="10" t="s">
        <v>5406</v>
      </c>
    </row>
    <row r="4892" spans="1:5">
      <c r="A4892" s="11">
        <v>42782</v>
      </c>
      <c r="B4892" s="10" t="s">
        <v>10137</v>
      </c>
      <c r="C4892" s="10" t="s">
        <v>10138</v>
      </c>
      <c r="D4892" s="11">
        <v>42782.561435185184</v>
      </c>
      <c r="E4892" s="10" t="s">
        <v>237</v>
      </c>
    </row>
    <row r="4893" spans="1:5">
      <c r="A4893" s="11">
        <v>42782</v>
      </c>
      <c r="B4893" s="10" t="s">
        <v>10139</v>
      </c>
      <c r="C4893" s="10" t="s">
        <v>10140</v>
      </c>
      <c r="D4893" s="11">
        <v>42782.563368055555</v>
      </c>
      <c r="E4893" s="10" t="s">
        <v>2144</v>
      </c>
    </row>
    <row r="4894" spans="1:5">
      <c r="A4894" s="11">
        <v>42782</v>
      </c>
      <c r="B4894" s="10" t="s">
        <v>10141</v>
      </c>
      <c r="C4894" s="10" t="s">
        <v>10142</v>
      </c>
      <c r="D4894" s="11">
        <v>42782.586446759262</v>
      </c>
      <c r="E4894" s="10" t="s">
        <v>292</v>
      </c>
    </row>
    <row r="4895" spans="1:5">
      <c r="A4895" s="11">
        <v>42782</v>
      </c>
      <c r="B4895" s="10" t="s">
        <v>10143</v>
      </c>
      <c r="C4895" s="10" t="s">
        <v>10144</v>
      </c>
      <c r="D4895" s="11">
        <v>42782.586886574078</v>
      </c>
      <c r="E4895" s="10" t="s">
        <v>707</v>
      </c>
    </row>
    <row r="4896" spans="1:5">
      <c r="A4896" s="11">
        <v>42782</v>
      </c>
      <c r="B4896" s="10" t="s">
        <v>10145</v>
      </c>
      <c r="C4896" s="10" t="s">
        <v>10146</v>
      </c>
      <c r="D4896" s="11">
        <v>42782.587210648147</v>
      </c>
      <c r="E4896" s="10" t="s">
        <v>625</v>
      </c>
    </row>
    <row r="4897" spans="1:5">
      <c r="A4897" s="11">
        <v>42782</v>
      </c>
      <c r="B4897" s="10" t="s">
        <v>10147</v>
      </c>
      <c r="C4897" s="10" t="s">
        <v>10148</v>
      </c>
      <c r="D4897" s="11">
        <v>42782.588055555556</v>
      </c>
      <c r="E4897" s="10" t="s">
        <v>237</v>
      </c>
    </row>
    <row r="4898" spans="1:5">
      <c r="A4898" s="11">
        <v>42782</v>
      </c>
      <c r="B4898" s="10" t="s">
        <v>10149</v>
      </c>
      <c r="C4898" s="10" t="s">
        <v>10150</v>
      </c>
      <c r="D4898" s="11">
        <v>42782.588171296295</v>
      </c>
      <c r="E4898" s="10" t="s">
        <v>433</v>
      </c>
    </row>
    <row r="4899" spans="1:5">
      <c r="A4899" s="11">
        <v>42782</v>
      </c>
      <c r="B4899" s="10" t="s">
        <v>10151</v>
      </c>
      <c r="C4899" s="10" t="s">
        <v>10152</v>
      </c>
      <c r="D4899" s="11">
        <v>42782.588287037041</v>
      </c>
      <c r="E4899" s="10" t="s">
        <v>152</v>
      </c>
    </row>
    <row r="4900" spans="1:5">
      <c r="A4900" s="11">
        <v>42782</v>
      </c>
      <c r="B4900" s="10" t="s">
        <v>10153</v>
      </c>
      <c r="C4900" s="10" t="s">
        <v>10154</v>
      </c>
      <c r="D4900" s="11">
        <v>42782.58866898148</v>
      </c>
      <c r="E4900" s="10" t="s">
        <v>433</v>
      </c>
    </row>
    <row r="4901" spans="1:5">
      <c r="A4901" s="11">
        <v>42782</v>
      </c>
      <c r="B4901" s="10" t="s">
        <v>10155</v>
      </c>
      <c r="C4901" s="10" t="s">
        <v>10156</v>
      </c>
      <c r="D4901" s="11">
        <v>42782.589143518519</v>
      </c>
      <c r="E4901" s="10" t="s">
        <v>433</v>
      </c>
    </row>
    <row r="4902" spans="1:5">
      <c r="A4902" s="11">
        <v>42782</v>
      </c>
      <c r="B4902" s="10" t="s">
        <v>10157</v>
      </c>
      <c r="C4902" s="10" t="s">
        <v>10158</v>
      </c>
      <c r="D4902" s="11">
        <v>42782.589733796296</v>
      </c>
      <c r="E4902" s="10" t="s">
        <v>122</v>
      </c>
    </row>
    <row r="4903" spans="1:5">
      <c r="A4903" s="11">
        <v>42782</v>
      </c>
      <c r="B4903" s="10" t="s">
        <v>10159</v>
      </c>
      <c r="C4903" s="10" t="s">
        <v>10160</v>
      </c>
      <c r="D4903" s="11">
        <v>42782.589791666665</v>
      </c>
      <c r="E4903" s="10" t="s">
        <v>2742</v>
      </c>
    </row>
    <row r="4904" spans="1:5">
      <c r="A4904" s="11">
        <v>42782</v>
      </c>
      <c r="B4904" s="10" t="s">
        <v>10161</v>
      </c>
      <c r="C4904" s="10" t="s">
        <v>10162</v>
      </c>
      <c r="D4904" s="11">
        <v>42782.589907407404</v>
      </c>
      <c r="E4904" s="10" t="s">
        <v>7557</v>
      </c>
    </row>
    <row r="4905" spans="1:5" ht="21.6">
      <c r="A4905" s="11">
        <v>42782</v>
      </c>
      <c r="B4905" s="10" t="s">
        <v>10163</v>
      </c>
      <c r="C4905" s="10" t="s">
        <v>10164</v>
      </c>
      <c r="D4905" s="11">
        <v>42782.589930555558</v>
      </c>
      <c r="E4905" s="10" t="s">
        <v>165</v>
      </c>
    </row>
    <row r="4906" spans="1:5">
      <c r="A4906" s="11">
        <v>42782</v>
      </c>
      <c r="B4906" s="10" t="s">
        <v>10165</v>
      </c>
      <c r="C4906" s="10" t="s">
        <v>10166</v>
      </c>
      <c r="D4906" s="11">
        <v>42782.588576388887</v>
      </c>
      <c r="E4906" s="10" t="s">
        <v>433</v>
      </c>
    </row>
    <row r="4907" spans="1:5">
      <c r="A4907" s="11">
        <v>42782</v>
      </c>
      <c r="B4907" s="10" t="s">
        <v>10167</v>
      </c>
      <c r="C4907" s="10" t="s">
        <v>10168</v>
      </c>
      <c r="D4907" s="11">
        <v>42782.591226851851</v>
      </c>
      <c r="E4907" s="10" t="s">
        <v>4865</v>
      </c>
    </row>
    <row r="4908" spans="1:5">
      <c r="A4908" s="11">
        <v>42782</v>
      </c>
      <c r="B4908" s="10" t="s">
        <v>10169</v>
      </c>
      <c r="C4908" s="10" t="s">
        <v>10170</v>
      </c>
      <c r="D4908" s="11">
        <v>42782.591377314813</v>
      </c>
      <c r="E4908" s="10" t="s">
        <v>218</v>
      </c>
    </row>
    <row r="4909" spans="1:5">
      <c r="A4909" s="11">
        <v>42782</v>
      </c>
      <c r="B4909" s="10" t="s">
        <v>10171</v>
      </c>
      <c r="C4909" s="10" t="s">
        <v>10172</v>
      </c>
      <c r="D4909" s="11">
        <v>42782.591585648152</v>
      </c>
      <c r="E4909" s="10" t="s">
        <v>193</v>
      </c>
    </row>
    <row r="4910" spans="1:5">
      <c r="A4910" s="11">
        <v>42782</v>
      </c>
      <c r="B4910" s="10" t="s">
        <v>10173</v>
      </c>
      <c r="C4910" s="10" t="s">
        <v>10174</v>
      </c>
      <c r="D4910" s="11">
        <v>42782.59171296296</v>
      </c>
      <c r="E4910" s="10" t="s">
        <v>218</v>
      </c>
    </row>
    <row r="4911" spans="1:5">
      <c r="A4911" s="11">
        <v>42782</v>
      </c>
      <c r="B4911" s="10" t="s">
        <v>10175</v>
      </c>
      <c r="C4911" s="10" t="s">
        <v>10176</v>
      </c>
      <c r="D4911" s="11">
        <v>42782.591828703706</v>
      </c>
      <c r="E4911" s="10" t="s">
        <v>237</v>
      </c>
    </row>
    <row r="4912" spans="1:5">
      <c r="A4912" s="11">
        <v>42782</v>
      </c>
      <c r="B4912" s="10" t="s">
        <v>10177</v>
      </c>
      <c r="C4912" s="10" t="s">
        <v>10178</v>
      </c>
      <c r="D4912" s="11">
        <v>42782.591956018521</v>
      </c>
      <c r="E4912" s="10" t="s">
        <v>122</v>
      </c>
    </row>
    <row r="4913" spans="1:5">
      <c r="A4913" s="11">
        <v>42782</v>
      </c>
      <c r="B4913" s="10" t="s">
        <v>10179</v>
      </c>
      <c r="C4913" s="10" t="s">
        <v>10180</v>
      </c>
      <c r="D4913" s="11">
        <v>42782.659375000003</v>
      </c>
      <c r="E4913" s="10" t="s">
        <v>237</v>
      </c>
    </row>
    <row r="4914" spans="1:5">
      <c r="A4914" s="11">
        <v>42782</v>
      </c>
      <c r="B4914" s="10" t="s">
        <v>10181</v>
      </c>
      <c r="C4914" s="10" t="s">
        <v>10182</v>
      </c>
      <c r="D4914" s="11">
        <v>42782.592465277776</v>
      </c>
      <c r="E4914" s="10" t="s">
        <v>433</v>
      </c>
    </row>
    <row r="4915" spans="1:5">
      <c r="A4915" s="11">
        <v>42782</v>
      </c>
      <c r="B4915" s="10" t="s">
        <v>10183</v>
      </c>
      <c r="C4915" s="10" t="s">
        <v>10184</v>
      </c>
      <c r="D4915" s="11">
        <v>42782.592673611114</v>
      </c>
      <c r="E4915" s="10" t="s">
        <v>237</v>
      </c>
    </row>
    <row r="4916" spans="1:5">
      <c r="A4916" s="11">
        <v>42782</v>
      </c>
      <c r="B4916" s="10" t="s">
        <v>10185</v>
      </c>
      <c r="C4916" s="10" t="s">
        <v>10186</v>
      </c>
      <c r="D4916" s="11">
        <v>42782.593425925923</v>
      </c>
      <c r="E4916" s="10" t="s">
        <v>218</v>
      </c>
    </row>
    <row r="4917" spans="1:5">
      <c r="A4917" s="11">
        <v>42782</v>
      </c>
      <c r="B4917" s="10" t="s">
        <v>10187</v>
      </c>
      <c r="C4917" s="10" t="s">
        <v>10188</v>
      </c>
      <c r="D4917" s="11">
        <v>42782.589699074073</v>
      </c>
      <c r="E4917" s="10" t="s">
        <v>122</v>
      </c>
    </row>
    <row r="4918" spans="1:5">
      <c r="A4918" s="11">
        <v>42782</v>
      </c>
      <c r="B4918" s="10" t="s">
        <v>10189</v>
      </c>
      <c r="C4918" s="10" t="s">
        <v>10190</v>
      </c>
      <c r="D4918" s="11">
        <v>42782.593506944446</v>
      </c>
      <c r="E4918" s="10" t="s">
        <v>237</v>
      </c>
    </row>
    <row r="4919" spans="1:5">
      <c r="A4919" s="11">
        <v>42782</v>
      </c>
      <c r="B4919" s="10" t="s">
        <v>10191</v>
      </c>
      <c r="C4919" s="10" t="s">
        <v>10192</v>
      </c>
      <c r="D4919" s="11">
        <v>42782.69258101852</v>
      </c>
      <c r="E4919" s="10" t="s">
        <v>108</v>
      </c>
    </row>
    <row r="4920" spans="1:5">
      <c r="A4920" s="11">
        <v>42782</v>
      </c>
      <c r="B4920" s="10" t="s">
        <v>10193</v>
      </c>
      <c r="C4920" s="10" t="s">
        <v>10194</v>
      </c>
      <c r="D4920" s="11">
        <v>42782.593900462962</v>
      </c>
      <c r="E4920" s="10" t="s">
        <v>237</v>
      </c>
    </row>
    <row r="4921" spans="1:5">
      <c r="A4921" s="11">
        <v>42782</v>
      </c>
      <c r="B4921" s="10" t="s">
        <v>10195</v>
      </c>
      <c r="C4921" s="10" t="s">
        <v>10196</v>
      </c>
      <c r="D4921" s="11">
        <v>42782.594513888886</v>
      </c>
      <c r="E4921" s="10" t="s">
        <v>237</v>
      </c>
    </row>
    <row r="4922" spans="1:5">
      <c r="A4922" s="11">
        <v>42782</v>
      </c>
      <c r="B4922" s="10" t="s">
        <v>10197</v>
      </c>
      <c r="C4922" s="10" t="s">
        <v>10198</v>
      </c>
      <c r="D4922" s="11">
        <v>42782.594722222224</v>
      </c>
      <c r="E4922" s="10" t="s">
        <v>237</v>
      </c>
    </row>
    <row r="4923" spans="1:5">
      <c r="A4923" s="11">
        <v>42782</v>
      </c>
      <c r="B4923" s="10" t="s">
        <v>10199</v>
      </c>
      <c r="C4923" s="10" t="s">
        <v>10200</v>
      </c>
      <c r="D4923" s="11">
        <v>42782.594849537039</v>
      </c>
      <c r="E4923" s="10" t="s">
        <v>237</v>
      </c>
    </row>
    <row r="4924" spans="1:5">
      <c r="A4924" s="11">
        <v>42782</v>
      </c>
      <c r="B4924" s="10" t="s">
        <v>10201</v>
      </c>
      <c r="C4924" s="10" t="s">
        <v>10202</v>
      </c>
      <c r="D4924" s="11">
        <v>42782.594965277778</v>
      </c>
      <c r="E4924" s="10" t="s">
        <v>237</v>
      </c>
    </row>
    <row r="4925" spans="1:5">
      <c r="A4925" s="11">
        <v>42782</v>
      </c>
      <c r="B4925" s="10" t="s">
        <v>10203</v>
      </c>
      <c r="C4925" s="10" t="s">
        <v>10204</v>
      </c>
      <c r="D4925" s="11">
        <v>42782.595289351855</v>
      </c>
      <c r="E4925" s="10" t="s">
        <v>237</v>
      </c>
    </row>
    <row r="4926" spans="1:5">
      <c r="A4926" s="11">
        <v>42782</v>
      </c>
      <c r="B4926" s="10" t="s">
        <v>10205</v>
      </c>
      <c r="C4926" s="10" t="s">
        <v>10206</v>
      </c>
      <c r="D4926" s="11">
        <v>42782.59542824074</v>
      </c>
      <c r="E4926" s="10" t="s">
        <v>237</v>
      </c>
    </row>
    <row r="4927" spans="1:5">
      <c r="A4927" s="11">
        <v>42782</v>
      </c>
      <c r="B4927" s="10" t="s">
        <v>10207</v>
      </c>
      <c r="C4927" s="10" t="s">
        <v>10208</v>
      </c>
      <c r="D4927" s="11">
        <v>42782.595717592594</v>
      </c>
      <c r="E4927" s="10" t="s">
        <v>237</v>
      </c>
    </row>
    <row r="4928" spans="1:5">
      <c r="A4928" s="11">
        <v>42782</v>
      </c>
      <c r="B4928" s="10" t="s">
        <v>10209</v>
      </c>
      <c r="C4928" s="10" t="s">
        <v>10210</v>
      </c>
      <c r="D4928" s="11">
        <v>42782.595856481479</v>
      </c>
      <c r="E4928" s="10" t="s">
        <v>237</v>
      </c>
    </row>
    <row r="4929" spans="1:5">
      <c r="A4929" s="11">
        <v>42782</v>
      </c>
      <c r="B4929" s="10" t="s">
        <v>10211</v>
      </c>
      <c r="C4929" s="10" t="s">
        <v>10212</v>
      </c>
      <c r="D4929" s="11">
        <v>42782.595960648148</v>
      </c>
      <c r="E4929" s="10" t="s">
        <v>237</v>
      </c>
    </row>
    <row r="4930" spans="1:5">
      <c r="A4930" s="11">
        <v>42782</v>
      </c>
      <c r="B4930" s="10" t="s">
        <v>10213</v>
      </c>
      <c r="C4930" s="10" t="s">
        <v>10214</v>
      </c>
      <c r="D4930" s="11">
        <v>42782.59615740741</v>
      </c>
      <c r="E4930" s="10" t="s">
        <v>237</v>
      </c>
    </row>
    <row r="4931" spans="1:5">
      <c r="A4931" s="11">
        <v>42782</v>
      </c>
      <c r="B4931" s="10" t="s">
        <v>10215</v>
      </c>
      <c r="C4931" s="10" t="s">
        <v>10216</v>
      </c>
      <c r="D4931" s="11">
        <v>42782.649282407408</v>
      </c>
      <c r="E4931" s="10" t="s">
        <v>193</v>
      </c>
    </row>
    <row r="4932" spans="1:5">
      <c r="A4932" s="11">
        <v>42782</v>
      </c>
      <c r="B4932" s="10" t="s">
        <v>10217</v>
      </c>
      <c r="C4932" s="10" t="s">
        <v>10218</v>
      </c>
      <c r="D4932" s="11">
        <v>42782.596504629626</v>
      </c>
      <c r="E4932" s="10" t="s">
        <v>625</v>
      </c>
    </row>
    <row r="4933" spans="1:5">
      <c r="A4933" s="11">
        <v>42782</v>
      </c>
      <c r="B4933" s="10" t="s">
        <v>10219</v>
      </c>
      <c r="C4933" s="10" t="s">
        <v>10220</v>
      </c>
      <c r="D4933" s="11">
        <v>42782.586527777778</v>
      </c>
      <c r="E4933" s="10" t="s">
        <v>122</v>
      </c>
    </row>
    <row r="4934" spans="1:5">
      <c r="A4934" s="11">
        <v>42782</v>
      </c>
      <c r="B4934" s="10" t="s">
        <v>10221</v>
      </c>
      <c r="C4934" s="10" t="s">
        <v>10222</v>
      </c>
      <c r="D4934" s="11">
        <v>42782.597361111111</v>
      </c>
      <c r="E4934" s="10" t="s">
        <v>2978</v>
      </c>
    </row>
    <row r="4935" spans="1:5">
      <c r="A4935" s="11">
        <v>42782</v>
      </c>
      <c r="B4935" s="10" t="s">
        <v>10223</v>
      </c>
      <c r="C4935" s="10" t="s">
        <v>10224</v>
      </c>
      <c r="D4935" s="11">
        <v>42782.595891203702</v>
      </c>
      <c r="E4935" s="10" t="s">
        <v>122</v>
      </c>
    </row>
    <row r="4936" spans="1:5">
      <c r="A4936" s="11">
        <v>42782</v>
      </c>
      <c r="B4936" s="10" t="s">
        <v>10225</v>
      </c>
      <c r="C4936" s="10" t="s">
        <v>10226</v>
      </c>
      <c r="D4936" s="11">
        <v>42782.59752314815</v>
      </c>
      <c r="E4936" s="10" t="s">
        <v>152</v>
      </c>
    </row>
    <row r="4937" spans="1:5">
      <c r="A4937" s="11">
        <v>42782</v>
      </c>
      <c r="B4937" s="10" t="s">
        <v>10227</v>
      </c>
      <c r="C4937" s="10" t="s">
        <v>10228</v>
      </c>
      <c r="D4937" s="11">
        <v>42782.59275462963</v>
      </c>
      <c r="E4937" s="10" t="s">
        <v>308</v>
      </c>
    </row>
    <row r="4938" spans="1:5">
      <c r="A4938" s="11">
        <v>42782</v>
      </c>
      <c r="B4938" s="10" t="s">
        <v>10229</v>
      </c>
      <c r="C4938" s="10" t="s">
        <v>10230</v>
      </c>
      <c r="D4938" s="11">
        <v>42782.599363425928</v>
      </c>
      <c r="E4938" s="10" t="s">
        <v>122</v>
      </c>
    </row>
    <row r="4939" spans="1:5">
      <c r="A4939" s="11">
        <v>42782</v>
      </c>
      <c r="B4939" s="10" t="s">
        <v>10231</v>
      </c>
      <c r="C4939" s="10" t="s">
        <v>10232</v>
      </c>
      <c r="D4939" s="11">
        <v>42782.599386574075</v>
      </c>
      <c r="E4939" s="10" t="s">
        <v>433</v>
      </c>
    </row>
    <row r="4940" spans="1:5">
      <c r="A4940" s="11">
        <v>42782</v>
      </c>
      <c r="B4940" s="10" t="s">
        <v>10233</v>
      </c>
      <c r="C4940" s="10" t="s">
        <v>10234</v>
      </c>
      <c r="D4940" s="11">
        <v>42782.594097222223</v>
      </c>
      <c r="E4940" s="10" t="s">
        <v>122</v>
      </c>
    </row>
    <row r="4941" spans="1:5">
      <c r="A4941" s="11">
        <v>42782</v>
      </c>
      <c r="B4941" s="10" t="s">
        <v>10235</v>
      </c>
      <c r="C4941" s="10" t="s">
        <v>10236</v>
      </c>
      <c r="D4941" s="11">
        <v>42782.597534722219</v>
      </c>
      <c r="E4941" s="10" t="s">
        <v>96</v>
      </c>
    </row>
    <row r="4942" spans="1:5">
      <c r="A4942" s="11">
        <v>42782</v>
      </c>
      <c r="B4942" s="10" t="s">
        <v>10237</v>
      </c>
      <c r="C4942" s="10" t="s">
        <v>10238</v>
      </c>
      <c r="D4942" s="11">
        <v>42782.597997685189</v>
      </c>
      <c r="E4942" s="10" t="s">
        <v>2234</v>
      </c>
    </row>
    <row r="4943" spans="1:5">
      <c r="A4943" s="11">
        <v>42782</v>
      </c>
      <c r="B4943" s="10" t="s">
        <v>10239</v>
      </c>
      <c r="C4943" s="10" t="s">
        <v>10240</v>
      </c>
      <c r="D4943" s="11">
        <v>42782.59615740741</v>
      </c>
      <c r="E4943" s="10" t="s">
        <v>122</v>
      </c>
    </row>
    <row r="4944" spans="1:5">
      <c r="A4944" s="11">
        <v>42782</v>
      </c>
      <c r="B4944" s="10" t="s">
        <v>10241</v>
      </c>
      <c r="C4944" s="10" t="s">
        <v>10242</v>
      </c>
      <c r="D4944" s="11">
        <v>42782.600729166668</v>
      </c>
      <c r="E4944" s="10" t="s">
        <v>625</v>
      </c>
    </row>
    <row r="4945" spans="1:5">
      <c r="A4945" s="11">
        <v>42782</v>
      </c>
      <c r="B4945" s="10" t="s">
        <v>10243</v>
      </c>
      <c r="C4945" s="10" t="s">
        <v>10244</v>
      </c>
      <c r="D4945" s="11">
        <v>42782.599849537037</v>
      </c>
      <c r="E4945" s="10" t="s">
        <v>232</v>
      </c>
    </row>
    <row r="4946" spans="1:5">
      <c r="A4946" s="11">
        <v>42782</v>
      </c>
      <c r="B4946" s="10" t="s">
        <v>10245</v>
      </c>
      <c r="C4946" s="10" t="s">
        <v>10246</v>
      </c>
      <c r="D4946" s="11">
        <v>42782.596631944441</v>
      </c>
      <c r="E4946" s="10" t="s">
        <v>308</v>
      </c>
    </row>
    <row r="4947" spans="1:5">
      <c r="A4947" s="11">
        <v>42782</v>
      </c>
      <c r="B4947" s="10" t="s">
        <v>10247</v>
      </c>
      <c r="C4947" s="10" t="s">
        <v>10248</v>
      </c>
      <c r="D4947" s="11">
        <v>42782.597546296296</v>
      </c>
      <c r="E4947" s="10" t="s">
        <v>433</v>
      </c>
    </row>
    <row r="4948" spans="1:5">
      <c r="A4948" s="11">
        <v>42782</v>
      </c>
      <c r="B4948" s="10" t="s">
        <v>10249</v>
      </c>
      <c r="C4948" s="10" t="s">
        <v>10250</v>
      </c>
      <c r="D4948" s="11">
        <v>42782.601400462961</v>
      </c>
      <c r="E4948" s="10" t="s">
        <v>152</v>
      </c>
    </row>
    <row r="4949" spans="1:5">
      <c r="A4949" s="11">
        <v>42782</v>
      </c>
      <c r="B4949" s="10" t="s">
        <v>10251</v>
      </c>
      <c r="C4949" s="10" t="s">
        <v>10252</v>
      </c>
      <c r="D4949" s="11">
        <v>42782.601840277777</v>
      </c>
      <c r="E4949" s="10" t="s">
        <v>4865</v>
      </c>
    </row>
    <row r="4950" spans="1:5">
      <c r="A4950" s="11">
        <v>42782</v>
      </c>
      <c r="B4950" s="10" t="s">
        <v>10253</v>
      </c>
      <c r="C4950" s="10" t="s">
        <v>10254</v>
      </c>
      <c r="D4950" s="11">
        <v>42782.601851851854</v>
      </c>
      <c r="E4950" s="10" t="s">
        <v>9535</v>
      </c>
    </row>
    <row r="4951" spans="1:5">
      <c r="A4951" s="11">
        <v>42782</v>
      </c>
      <c r="B4951" s="10" t="s">
        <v>10255</v>
      </c>
      <c r="C4951" s="10" t="s">
        <v>10256</v>
      </c>
      <c r="D4951" s="11">
        <v>42782.600752314815</v>
      </c>
      <c r="E4951" s="10" t="s">
        <v>232</v>
      </c>
    </row>
    <row r="4952" spans="1:5">
      <c r="A4952" s="11">
        <v>42782</v>
      </c>
      <c r="B4952" s="10" t="s">
        <v>10257</v>
      </c>
      <c r="C4952" s="10" t="s">
        <v>10258</v>
      </c>
      <c r="D4952" s="11">
        <v>42782.600798611114</v>
      </c>
      <c r="E4952" s="10" t="s">
        <v>193</v>
      </c>
    </row>
    <row r="4953" spans="1:5">
      <c r="A4953" s="11">
        <v>42782</v>
      </c>
      <c r="B4953" s="10" t="s">
        <v>10259</v>
      </c>
      <c r="C4953" s="10" t="s">
        <v>10260</v>
      </c>
      <c r="D4953" s="11">
        <v>42782.58829861111</v>
      </c>
      <c r="E4953" s="10" t="s">
        <v>1103</v>
      </c>
    </row>
    <row r="4954" spans="1:5">
      <c r="A4954" s="11">
        <v>42782</v>
      </c>
      <c r="B4954" s="10" t="s">
        <v>10261</v>
      </c>
      <c r="C4954" s="10" t="s">
        <v>10262</v>
      </c>
      <c r="D4954" s="11">
        <v>42782.602256944447</v>
      </c>
      <c r="E4954" s="10" t="s">
        <v>193</v>
      </c>
    </row>
    <row r="4955" spans="1:5">
      <c r="A4955" s="11">
        <v>42782</v>
      </c>
      <c r="B4955" s="10" t="s">
        <v>10263</v>
      </c>
      <c r="C4955" s="10" t="s">
        <v>10264</v>
      </c>
      <c r="D4955" s="11">
        <v>42782.602418981478</v>
      </c>
      <c r="E4955" s="10" t="s">
        <v>859</v>
      </c>
    </row>
    <row r="4956" spans="1:5">
      <c r="A4956" s="11">
        <v>42782</v>
      </c>
      <c r="B4956" s="10" t="s">
        <v>10265</v>
      </c>
      <c r="C4956" s="10" t="s">
        <v>10266</v>
      </c>
      <c r="D4956" s="11">
        <v>42782.59715277778</v>
      </c>
      <c r="E4956" s="10" t="s">
        <v>218</v>
      </c>
    </row>
    <row r="4957" spans="1:5">
      <c r="A4957" s="11">
        <v>42782</v>
      </c>
      <c r="B4957" s="10" t="s">
        <v>10267</v>
      </c>
      <c r="C4957" s="10" t="s">
        <v>10268</v>
      </c>
      <c r="D4957" s="11">
        <v>42782.601840277777</v>
      </c>
      <c r="E4957" s="10" t="s">
        <v>96</v>
      </c>
    </row>
    <row r="4958" spans="1:5">
      <c r="A4958" s="11">
        <v>42782</v>
      </c>
      <c r="B4958" s="10" t="s">
        <v>10269</v>
      </c>
      <c r="C4958" s="10" t="s">
        <v>10270</v>
      </c>
      <c r="D4958" s="11">
        <v>42782.602812500001</v>
      </c>
      <c r="E4958" s="10" t="s">
        <v>320</v>
      </c>
    </row>
    <row r="4959" spans="1:5">
      <c r="A4959" s="11">
        <v>42782</v>
      </c>
      <c r="B4959" s="10" t="s">
        <v>10271</v>
      </c>
      <c r="C4959" s="10" t="s">
        <v>10272</v>
      </c>
      <c r="D4959" s="11">
        <v>42782.603194444448</v>
      </c>
      <c r="E4959" s="10" t="s">
        <v>2688</v>
      </c>
    </row>
    <row r="4960" spans="1:5">
      <c r="A4960" s="11">
        <v>42782</v>
      </c>
      <c r="B4960" s="10" t="s">
        <v>10273</v>
      </c>
      <c r="C4960" s="10" t="s">
        <v>10274</v>
      </c>
      <c r="D4960" s="11">
        <v>42782.603391203702</v>
      </c>
      <c r="E4960" s="10" t="s">
        <v>221</v>
      </c>
    </row>
    <row r="4961" spans="1:5">
      <c r="A4961" s="11">
        <v>42782</v>
      </c>
      <c r="B4961" s="10" t="s">
        <v>10275</v>
      </c>
      <c r="C4961" s="10" t="s">
        <v>10276</v>
      </c>
      <c r="D4961" s="11">
        <v>42782.603298611109</v>
      </c>
      <c r="E4961" s="10" t="s">
        <v>422</v>
      </c>
    </row>
    <row r="4962" spans="1:5">
      <c r="A4962" s="11">
        <v>42782</v>
      </c>
      <c r="B4962" s="10" t="s">
        <v>10277</v>
      </c>
      <c r="C4962" s="10" t="s">
        <v>10278</v>
      </c>
      <c r="D4962" s="11">
        <v>42782.591400462959</v>
      </c>
      <c r="E4962" s="10" t="s">
        <v>308</v>
      </c>
    </row>
    <row r="4963" spans="1:5">
      <c r="A4963" s="11">
        <v>42782</v>
      </c>
      <c r="B4963" s="10" t="s">
        <v>10279</v>
      </c>
      <c r="C4963" s="10" t="s">
        <v>10280</v>
      </c>
      <c r="D4963" s="11">
        <v>42782.602500000001</v>
      </c>
      <c r="E4963" s="10" t="s">
        <v>2995</v>
      </c>
    </row>
    <row r="4964" spans="1:5">
      <c r="A4964" s="11">
        <v>42782</v>
      </c>
      <c r="B4964" s="10" t="s">
        <v>10281</v>
      </c>
      <c r="C4964" s="10" t="s">
        <v>10282</v>
      </c>
      <c r="D4964" s="11">
        <v>42782.587337962963</v>
      </c>
      <c r="E4964" s="10" t="s">
        <v>122</v>
      </c>
    </row>
    <row r="4965" spans="1:5">
      <c r="A4965" s="11">
        <v>42782</v>
      </c>
      <c r="B4965" s="10" t="s">
        <v>10283</v>
      </c>
      <c r="C4965" s="10" t="s">
        <v>10284</v>
      </c>
      <c r="D4965" s="11">
        <v>42782.597129629627</v>
      </c>
      <c r="E4965" s="10" t="s">
        <v>193</v>
      </c>
    </row>
    <row r="4966" spans="1:5">
      <c r="A4966" s="11">
        <v>42782</v>
      </c>
      <c r="B4966" s="10" t="s">
        <v>10285</v>
      </c>
      <c r="C4966" s="10" t="s">
        <v>10286</v>
      </c>
      <c r="D4966" s="11">
        <v>42782.648993055554</v>
      </c>
      <c r="E4966" s="10" t="s">
        <v>2995</v>
      </c>
    </row>
    <row r="4967" spans="1:5">
      <c r="A4967" s="11">
        <v>42782</v>
      </c>
      <c r="B4967" s="10" t="s">
        <v>10287</v>
      </c>
      <c r="C4967" s="10" t="s">
        <v>10288</v>
      </c>
      <c r="D4967" s="11">
        <v>42782.596550925926</v>
      </c>
      <c r="E4967" s="10" t="s">
        <v>193</v>
      </c>
    </row>
    <row r="4968" spans="1:5">
      <c r="A4968" s="11">
        <v>42782</v>
      </c>
      <c r="B4968" s="10" t="s">
        <v>10289</v>
      </c>
      <c r="C4968" s="10" t="s">
        <v>10290</v>
      </c>
      <c r="D4968" s="11">
        <v>42782.599074074074</v>
      </c>
      <c r="E4968" s="10" t="s">
        <v>1103</v>
      </c>
    </row>
    <row r="4969" spans="1:5">
      <c r="A4969" s="11">
        <v>42782</v>
      </c>
      <c r="B4969" s="10" t="s">
        <v>10291</v>
      </c>
      <c r="C4969" s="10" t="s">
        <v>10292</v>
      </c>
      <c r="D4969" s="11">
        <v>42782.605092592596</v>
      </c>
      <c r="E4969" s="10" t="s">
        <v>465</v>
      </c>
    </row>
    <row r="4970" spans="1:5">
      <c r="A4970" s="11">
        <v>42782</v>
      </c>
      <c r="B4970" s="10" t="s">
        <v>10293</v>
      </c>
      <c r="C4970" s="10" t="s">
        <v>10294</v>
      </c>
      <c r="D4970" s="11">
        <v>42782.597245370373</v>
      </c>
      <c r="E4970" s="10" t="s">
        <v>2865</v>
      </c>
    </row>
    <row r="4971" spans="1:5">
      <c r="A4971" s="11">
        <v>42782</v>
      </c>
      <c r="B4971" s="10" t="s">
        <v>10295</v>
      </c>
      <c r="C4971" s="10" t="s">
        <v>10296</v>
      </c>
      <c r="D4971" s="11">
        <v>42782.601412037038</v>
      </c>
      <c r="E4971" s="10" t="s">
        <v>373</v>
      </c>
    </row>
    <row r="4972" spans="1:5">
      <c r="A4972" s="11">
        <v>42782</v>
      </c>
      <c r="B4972" s="10" t="s">
        <v>10297</v>
      </c>
      <c r="C4972" s="10" t="s">
        <v>10298</v>
      </c>
      <c r="D4972" s="11">
        <v>42782.605636574073</v>
      </c>
      <c r="E4972" s="10" t="s">
        <v>122</v>
      </c>
    </row>
    <row r="4973" spans="1:5">
      <c r="A4973" s="11">
        <v>42782</v>
      </c>
      <c r="B4973" s="10" t="s">
        <v>10299</v>
      </c>
      <c r="C4973" s="10" t="s">
        <v>10300</v>
      </c>
      <c r="D4973" s="11">
        <v>42782.60565972222</v>
      </c>
      <c r="E4973" s="10" t="s">
        <v>1316</v>
      </c>
    </row>
    <row r="4974" spans="1:5" ht="21.6">
      <c r="A4974" s="11">
        <v>42782</v>
      </c>
      <c r="B4974" s="10" t="s">
        <v>10301</v>
      </c>
      <c r="C4974" s="10" t="s">
        <v>10302</v>
      </c>
      <c r="D4974" s="11">
        <v>42782.591886574075</v>
      </c>
      <c r="E4974" s="10" t="s">
        <v>1316</v>
      </c>
    </row>
    <row r="4975" spans="1:5">
      <c r="A4975" s="11">
        <v>42782</v>
      </c>
      <c r="B4975" s="10" t="s">
        <v>10303</v>
      </c>
      <c r="C4975" s="10" t="s">
        <v>10304</v>
      </c>
      <c r="D4975" s="11">
        <v>42782.598425925928</v>
      </c>
      <c r="E4975" s="10" t="s">
        <v>373</v>
      </c>
    </row>
    <row r="4976" spans="1:5">
      <c r="A4976" s="11">
        <v>42782</v>
      </c>
      <c r="B4976" s="10" t="s">
        <v>10305</v>
      </c>
      <c r="C4976" s="10" t="s">
        <v>10306</v>
      </c>
      <c r="D4976" s="11">
        <v>42782.592523148145</v>
      </c>
      <c r="E4976" s="10" t="s">
        <v>2538</v>
      </c>
    </row>
    <row r="4977" spans="1:5">
      <c r="A4977" s="11">
        <v>42782</v>
      </c>
      <c r="B4977" s="10" t="s">
        <v>10307</v>
      </c>
      <c r="C4977" s="10" t="s">
        <v>10308</v>
      </c>
      <c r="D4977" s="11">
        <v>42782.593368055554</v>
      </c>
      <c r="E4977" s="10" t="s">
        <v>209</v>
      </c>
    </row>
    <row r="4978" spans="1:5">
      <c r="A4978" s="11">
        <v>42782</v>
      </c>
      <c r="B4978" s="10" t="s">
        <v>10309</v>
      </c>
      <c r="C4978" s="10" t="s">
        <v>10310</v>
      </c>
      <c r="D4978" s="11">
        <v>42782.607627314814</v>
      </c>
      <c r="E4978" s="10" t="s">
        <v>193</v>
      </c>
    </row>
    <row r="4979" spans="1:5">
      <c r="A4979" s="11">
        <v>42782</v>
      </c>
      <c r="B4979" s="10" t="s">
        <v>10311</v>
      </c>
      <c r="C4979" s="10" t="s">
        <v>10312</v>
      </c>
      <c r="D4979" s="11">
        <v>42782.606608796297</v>
      </c>
      <c r="E4979" s="10" t="s">
        <v>433</v>
      </c>
    </row>
    <row r="4980" spans="1:5">
      <c r="A4980" s="11">
        <v>42782</v>
      </c>
      <c r="B4980" s="10" t="s">
        <v>10313</v>
      </c>
      <c r="C4980" s="10" t="s">
        <v>10314</v>
      </c>
      <c r="D4980" s="11">
        <v>42782.602337962962</v>
      </c>
      <c r="E4980" s="10" t="s">
        <v>373</v>
      </c>
    </row>
    <row r="4981" spans="1:5" ht="21.6">
      <c r="A4981" s="11">
        <v>42782</v>
      </c>
      <c r="B4981" s="10" t="s">
        <v>10315</v>
      </c>
      <c r="C4981" s="10" t="s">
        <v>10316</v>
      </c>
      <c r="D4981" s="11">
        <v>42782.608553240738</v>
      </c>
      <c r="E4981" s="10" t="s">
        <v>966</v>
      </c>
    </row>
    <row r="4982" spans="1:5">
      <c r="A4982" s="11">
        <v>42782</v>
      </c>
      <c r="B4982" s="10" t="s">
        <v>10317</v>
      </c>
      <c r="C4982" s="10" t="s">
        <v>10318</v>
      </c>
      <c r="D4982" s="11">
        <v>42782.601481481484</v>
      </c>
      <c r="E4982" s="10" t="s">
        <v>433</v>
      </c>
    </row>
    <row r="4983" spans="1:5">
      <c r="A4983" s="11">
        <v>42782</v>
      </c>
      <c r="B4983" s="10" t="s">
        <v>10319</v>
      </c>
      <c r="C4983" s="10" t="s">
        <v>10320</v>
      </c>
      <c r="D4983" s="11">
        <v>42782.599976851852</v>
      </c>
      <c r="E4983" s="10" t="s">
        <v>433</v>
      </c>
    </row>
    <row r="4984" spans="1:5">
      <c r="A4984" s="11">
        <v>42782</v>
      </c>
      <c r="B4984" s="10" t="s">
        <v>10321</v>
      </c>
      <c r="C4984" s="10" t="s">
        <v>10322</v>
      </c>
      <c r="D4984" s="11">
        <v>42782.607442129629</v>
      </c>
      <c r="E4984" s="10" t="s">
        <v>433</v>
      </c>
    </row>
    <row r="4985" spans="1:5">
      <c r="A4985" s="11">
        <v>42782</v>
      </c>
      <c r="B4985" s="10" t="s">
        <v>10323</v>
      </c>
      <c r="C4985" s="10" t="s">
        <v>10324</v>
      </c>
      <c r="D4985" s="11">
        <v>42782.607187499998</v>
      </c>
      <c r="E4985" s="10" t="s">
        <v>433</v>
      </c>
    </row>
    <row r="4986" spans="1:5">
      <c r="A4986" s="11">
        <v>42782</v>
      </c>
      <c r="B4986" s="10" t="s">
        <v>10325</v>
      </c>
      <c r="C4986" s="10" t="s">
        <v>10326</v>
      </c>
      <c r="D4986" s="11">
        <v>42782.606921296298</v>
      </c>
      <c r="E4986" s="10" t="s">
        <v>433</v>
      </c>
    </row>
    <row r="4987" spans="1:5">
      <c r="A4987" s="11">
        <v>42782</v>
      </c>
      <c r="B4987" s="10" t="s">
        <v>10327</v>
      </c>
      <c r="C4987" s="10" t="s">
        <v>10328</v>
      </c>
      <c r="D4987" s="11">
        <v>42782.606932870367</v>
      </c>
      <c r="E4987" s="10" t="s">
        <v>2144</v>
      </c>
    </row>
    <row r="4988" spans="1:5">
      <c r="A4988" s="11">
        <v>42782</v>
      </c>
      <c r="B4988" s="10" t="s">
        <v>10329</v>
      </c>
      <c r="C4988" s="10" t="s">
        <v>10330</v>
      </c>
      <c r="D4988" s="11">
        <v>42782.592291666668</v>
      </c>
      <c r="E4988" s="10" t="s">
        <v>237</v>
      </c>
    </row>
    <row r="4989" spans="1:5">
      <c r="A4989" s="11">
        <v>42782</v>
      </c>
      <c r="B4989" s="10" t="s">
        <v>10331</v>
      </c>
      <c r="C4989" s="10" t="s">
        <v>10332</v>
      </c>
      <c r="D4989" s="11">
        <v>42782.608576388891</v>
      </c>
      <c r="E4989" s="10" t="s">
        <v>218</v>
      </c>
    </row>
    <row r="4990" spans="1:5">
      <c r="A4990" s="11">
        <v>42782</v>
      </c>
      <c r="B4990" s="10" t="s">
        <v>10333</v>
      </c>
      <c r="C4990" s="10" t="s">
        <v>10334</v>
      </c>
      <c r="D4990" s="11">
        <v>42782.641967592594</v>
      </c>
      <c r="E4990" s="10" t="s">
        <v>414</v>
      </c>
    </row>
    <row r="4991" spans="1:5">
      <c r="A4991" s="11">
        <v>42782</v>
      </c>
      <c r="B4991" s="10" t="s">
        <v>10335</v>
      </c>
      <c r="C4991" s="10" t="s">
        <v>10336</v>
      </c>
      <c r="D4991" s="11">
        <v>42782.609444444446</v>
      </c>
      <c r="E4991" s="10" t="s">
        <v>237</v>
      </c>
    </row>
    <row r="4992" spans="1:5">
      <c r="A4992" s="11">
        <v>42782</v>
      </c>
      <c r="B4992" s="10" t="s">
        <v>10337</v>
      </c>
      <c r="C4992" s="10" t="s">
        <v>10338</v>
      </c>
      <c r="D4992" s="11">
        <v>42782.609548611108</v>
      </c>
      <c r="E4992" s="10" t="s">
        <v>433</v>
      </c>
    </row>
    <row r="4993" spans="1:5" ht="21.6">
      <c r="A4993" s="11">
        <v>42782</v>
      </c>
      <c r="B4993" s="10" t="s">
        <v>10339</v>
      </c>
      <c r="C4993" s="10" t="s">
        <v>10340</v>
      </c>
      <c r="D4993" s="11">
        <v>42782.609907407408</v>
      </c>
      <c r="E4993" s="10" t="s">
        <v>966</v>
      </c>
    </row>
    <row r="4994" spans="1:5">
      <c r="A4994" s="11">
        <v>42782</v>
      </c>
      <c r="B4994" s="10" t="s">
        <v>10341</v>
      </c>
      <c r="C4994" s="10" t="s">
        <v>10342</v>
      </c>
      <c r="D4994" s="11">
        <v>42782.609236111108</v>
      </c>
      <c r="E4994" s="10" t="s">
        <v>193</v>
      </c>
    </row>
    <row r="4995" spans="1:5">
      <c r="A4995" s="11">
        <v>42782</v>
      </c>
      <c r="B4995" s="10" t="s">
        <v>10343</v>
      </c>
      <c r="C4995" s="10" t="s">
        <v>10344</v>
      </c>
      <c r="D4995" s="11">
        <v>42782.605150462965</v>
      </c>
      <c r="E4995" s="10" t="s">
        <v>193</v>
      </c>
    </row>
    <row r="4996" spans="1:5">
      <c r="A4996" s="11">
        <v>42782</v>
      </c>
      <c r="B4996" s="10" t="s">
        <v>10345</v>
      </c>
      <c r="C4996" s="10" t="s">
        <v>10346</v>
      </c>
      <c r="D4996" s="11">
        <v>42782.605613425927</v>
      </c>
      <c r="E4996" s="10" t="s">
        <v>240</v>
      </c>
    </row>
    <row r="4997" spans="1:5" ht="21.6">
      <c r="A4997" s="11">
        <v>42782</v>
      </c>
      <c r="B4997" s="10" t="s">
        <v>10347</v>
      </c>
      <c r="C4997" s="10" t="s">
        <v>10348</v>
      </c>
      <c r="D4997" s="11">
        <v>42782.594965277778</v>
      </c>
      <c r="E4997" s="10" t="s">
        <v>368</v>
      </c>
    </row>
    <row r="4998" spans="1:5" ht="21.6">
      <c r="A4998" s="11">
        <v>42782</v>
      </c>
      <c r="B4998" s="10" t="s">
        <v>10349</v>
      </c>
      <c r="C4998" s="10" t="s">
        <v>10350</v>
      </c>
      <c r="D4998" s="11">
        <v>42782.610300925924</v>
      </c>
      <c r="E4998" s="10" t="s">
        <v>966</v>
      </c>
    </row>
    <row r="4999" spans="1:5">
      <c r="A4999" s="11">
        <v>42782</v>
      </c>
      <c r="B4999" s="10" t="s">
        <v>10351</v>
      </c>
      <c r="C4999" s="10" t="s">
        <v>10352</v>
      </c>
      <c r="D4999" s="11">
        <v>42782.587743055556</v>
      </c>
      <c r="E4999" s="10" t="s">
        <v>433</v>
      </c>
    </row>
    <row r="5000" spans="1:5">
      <c r="A5000" s="11">
        <v>42782</v>
      </c>
      <c r="B5000" s="10" t="s">
        <v>10353</v>
      </c>
      <c r="C5000" s="10" t="s">
        <v>10354</v>
      </c>
      <c r="D5000" s="11">
        <v>42782.606238425928</v>
      </c>
      <c r="E5000" s="10" t="s">
        <v>433</v>
      </c>
    </row>
    <row r="5001" spans="1:5">
      <c r="A5001" s="11">
        <v>42782</v>
      </c>
      <c r="B5001" s="10" t="s">
        <v>10355</v>
      </c>
      <c r="C5001" s="10" t="s">
        <v>10356</v>
      </c>
      <c r="D5001" s="11">
        <v>42782.600995370369</v>
      </c>
      <c r="E5001" s="10" t="s">
        <v>707</v>
      </c>
    </row>
    <row r="5002" spans="1:5">
      <c r="A5002" s="11">
        <v>42782</v>
      </c>
      <c r="B5002" s="10" t="s">
        <v>10357</v>
      </c>
      <c r="C5002" s="10" t="s">
        <v>10358</v>
      </c>
      <c r="D5002" s="11">
        <v>42782.610601851855</v>
      </c>
      <c r="E5002" s="10" t="s">
        <v>707</v>
      </c>
    </row>
    <row r="5003" spans="1:5">
      <c r="A5003" s="11">
        <v>42782</v>
      </c>
      <c r="B5003" s="10" t="s">
        <v>10359</v>
      </c>
      <c r="C5003" s="10" t="s">
        <v>10360</v>
      </c>
      <c r="D5003" s="11">
        <v>42782.607870370368</v>
      </c>
      <c r="E5003" s="10" t="s">
        <v>240</v>
      </c>
    </row>
    <row r="5004" spans="1:5">
      <c r="A5004" s="11">
        <v>42782</v>
      </c>
      <c r="B5004" s="10" t="s">
        <v>10361</v>
      </c>
      <c r="C5004" s="10" t="s">
        <v>10362</v>
      </c>
      <c r="D5004" s="11">
        <v>42782.610798611109</v>
      </c>
      <c r="E5004" s="10" t="s">
        <v>108</v>
      </c>
    </row>
    <row r="5005" spans="1:5">
      <c r="A5005" s="11">
        <v>42782</v>
      </c>
      <c r="B5005" s="10" t="s">
        <v>10363</v>
      </c>
      <c r="C5005" s="10" t="s">
        <v>10364</v>
      </c>
      <c r="D5005" s="11">
        <v>42782.606134259258</v>
      </c>
      <c r="E5005" s="10" t="s">
        <v>152</v>
      </c>
    </row>
    <row r="5006" spans="1:5">
      <c r="A5006" s="11">
        <v>42782</v>
      </c>
      <c r="B5006" s="10" t="s">
        <v>10365</v>
      </c>
      <c r="C5006" s="10" t="s">
        <v>10366</v>
      </c>
      <c r="D5006" s="11">
        <v>42782.611273148148</v>
      </c>
      <c r="E5006" s="10" t="s">
        <v>433</v>
      </c>
    </row>
    <row r="5007" spans="1:5">
      <c r="A5007" s="11">
        <v>42782</v>
      </c>
      <c r="B5007" s="10" t="s">
        <v>10367</v>
      </c>
      <c r="C5007" s="10" t="s">
        <v>10368</v>
      </c>
      <c r="D5007" s="11">
        <v>42782.595949074072</v>
      </c>
      <c r="E5007" s="10" t="s">
        <v>209</v>
      </c>
    </row>
    <row r="5008" spans="1:5">
      <c r="A5008" s="11">
        <v>42782</v>
      </c>
      <c r="B5008" s="10" t="s">
        <v>10369</v>
      </c>
      <c r="C5008" s="10" t="s">
        <v>10370</v>
      </c>
      <c r="D5008" s="11">
        <v>42782.61178240741</v>
      </c>
      <c r="E5008" s="10" t="s">
        <v>859</v>
      </c>
    </row>
    <row r="5009" spans="1:5">
      <c r="A5009" s="11">
        <v>42782</v>
      </c>
      <c r="B5009" s="10" t="s">
        <v>10371</v>
      </c>
      <c r="C5009" s="10" t="s">
        <v>10372</v>
      </c>
      <c r="D5009" s="11">
        <v>42782.611712962964</v>
      </c>
      <c r="E5009" s="10" t="s">
        <v>433</v>
      </c>
    </row>
    <row r="5010" spans="1:5">
      <c r="A5010" s="11">
        <v>42782</v>
      </c>
      <c r="B5010" s="10" t="s">
        <v>10373</v>
      </c>
      <c r="C5010" s="10" t="s">
        <v>10374</v>
      </c>
      <c r="D5010" s="11">
        <v>42782.597662037035</v>
      </c>
      <c r="E5010" s="10" t="s">
        <v>433</v>
      </c>
    </row>
    <row r="5011" spans="1:5">
      <c r="A5011" s="11">
        <v>42782</v>
      </c>
      <c r="B5011" s="10" t="s">
        <v>10375</v>
      </c>
      <c r="C5011" s="10" t="s">
        <v>10376</v>
      </c>
      <c r="D5011" s="11">
        <v>42782.605717592596</v>
      </c>
      <c r="E5011" s="10" t="s">
        <v>433</v>
      </c>
    </row>
    <row r="5012" spans="1:5">
      <c r="A5012" s="11">
        <v>42782</v>
      </c>
      <c r="B5012" s="10" t="s">
        <v>10377</v>
      </c>
      <c r="C5012" s="10" t="s">
        <v>10378</v>
      </c>
      <c r="D5012" s="11">
        <v>42782.612233796295</v>
      </c>
      <c r="E5012" s="10" t="s">
        <v>152</v>
      </c>
    </row>
    <row r="5013" spans="1:5">
      <c r="A5013" s="11">
        <v>42782</v>
      </c>
      <c r="B5013" s="10" t="s">
        <v>10379</v>
      </c>
      <c r="C5013" s="10" t="s">
        <v>10380</v>
      </c>
      <c r="D5013" s="11">
        <v>42782.607708333337</v>
      </c>
      <c r="E5013" s="10" t="s">
        <v>96</v>
      </c>
    </row>
    <row r="5014" spans="1:5">
      <c r="A5014" s="11">
        <v>42782</v>
      </c>
      <c r="B5014" s="10" t="s">
        <v>10381</v>
      </c>
      <c r="C5014" s="10" t="s">
        <v>10382</v>
      </c>
      <c r="D5014" s="11">
        <v>42782.605347222219</v>
      </c>
      <c r="E5014" s="10" t="s">
        <v>433</v>
      </c>
    </row>
    <row r="5015" spans="1:5">
      <c r="A5015" s="11">
        <v>42782</v>
      </c>
      <c r="B5015" s="10" t="s">
        <v>10383</v>
      </c>
      <c r="C5015" s="10" t="s">
        <v>10384</v>
      </c>
      <c r="D5015" s="11">
        <v>42782.612453703703</v>
      </c>
      <c r="E5015" s="10" t="s">
        <v>218</v>
      </c>
    </row>
    <row r="5016" spans="1:5">
      <c r="A5016" s="11">
        <v>42782</v>
      </c>
      <c r="B5016" s="10" t="s">
        <v>10385</v>
      </c>
      <c r="C5016" s="10" t="s">
        <v>10386</v>
      </c>
      <c r="D5016" s="11">
        <v>42782.604062500002</v>
      </c>
      <c r="E5016" s="10" t="s">
        <v>2180</v>
      </c>
    </row>
    <row r="5017" spans="1:5">
      <c r="A5017" s="11">
        <v>42782</v>
      </c>
      <c r="B5017" s="10" t="s">
        <v>10387</v>
      </c>
      <c r="C5017" s="10" t="s">
        <v>10388</v>
      </c>
      <c r="D5017" s="11">
        <v>42782.610324074078</v>
      </c>
      <c r="E5017" s="10" t="s">
        <v>193</v>
      </c>
    </row>
    <row r="5018" spans="1:5">
      <c r="A5018" s="11">
        <v>42782</v>
      </c>
      <c r="B5018" s="10" t="s">
        <v>10389</v>
      </c>
      <c r="C5018" s="10" t="s">
        <v>10390</v>
      </c>
      <c r="D5018" s="11">
        <v>42782.61277777778</v>
      </c>
      <c r="E5018" s="10" t="s">
        <v>414</v>
      </c>
    </row>
    <row r="5019" spans="1:5">
      <c r="A5019" s="11">
        <v>42782</v>
      </c>
      <c r="B5019" s="10" t="s">
        <v>10391</v>
      </c>
      <c r="C5019" s="10" t="s">
        <v>10392</v>
      </c>
      <c r="D5019" s="11">
        <v>42782.603402777779</v>
      </c>
      <c r="E5019" s="10" t="s">
        <v>2180</v>
      </c>
    </row>
    <row r="5020" spans="1:5">
      <c r="A5020" s="11">
        <v>42782</v>
      </c>
      <c r="B5020" s="10" t="s">
        <v>10393</v>
      </c>
      <c r="C5020" s="10" t="s">
        <v>10394</v>
      </c>
      <c r="D5020" s="11">
        <v>42782.612858796296</v>
      </c>
      <c r="E5020" s="10" t="s">
        <v>218</v>
      </c>
    </row>
    <row r="5021" spans="1:5">
      <c r="A5021" s="11">
        <v>42782</v>
      </c>
      <c r="B5021" s="10" t="s">
        <v>10395</v>
      </c>
      <c r="C5021" s="10" t="s">
        <v>10396</v>
      </c>
      <c r="D5021" s="11">
        <v>42782.587245370371</v>
      </c>
      <c r="E5021" s="10" t="s">
        <v>433</v>
      </c>
    </row>
    <row r="5022" spans="1:5">
      <c r="A5022" s="11">
        <v>42782</v>
      </c>
      <c r="B5022" s="10" t="s">
        <v>10397</v>
      </c>
      <c r="C5022" s="10" t="s">
        <v>10398</v>
      </c>
      <c r="D5022" s="11">
        <v>42782.61309027778</v>
      </c>
      <c r="E5022" s="10" t="s">
        <v>218</v>
      </c>
    </row>
    <row r="5023" spans="1:5">
      <c r="A5023" s="11">
        <v>42782</v>
      </c>
      <c r="B5023" s="10" t="s">
        <v>10399</v>
      </c>
      <c r="C5023" s="10" t="s">
        <v>10400</v>
      </c>
      <c r="D5023" s="11">
        <v>42782.613692129627</v>
      </c>
      <c r="E5023" s="10" t="s">
        <v>422</v>
      </c>
    </row>
    <row r="5024" spans="1:5">
      <c r="A5024" s="11">
        <v>42782</v>
      </c>
      <c r="B5024" s="10" t="s">
        <v>10401</v>
      </c>
      <c r="C5024" s="10" t="s">
        <v>10402</v>
      </c>
      <c r="D5024" s="11">
        <v>42782.614293981482</v>
      </c>
      <c r="E5024" s="10" t="s">
        <v>433</v>
      </c>
    </row>
    <row r="5025" spans="1:5">
      <c r="A5025" s="11">
        <v>42782</v>
      </c>
      <c r="B5025" s="10" t="s">
        <v>10403</v>
      </c>
      <c r="C5025" s="10" t="s">
        <v>10404</v>
      </c>
      <c r="D5025" s="11">
        <v>42782.60738425926</v>
      </c>
      <c r="E5025" s="10" t="s">
        <v>240</v>
      </c>
    </row>
    <row r="5026" spans="1:5">
      <c r="A5026" s="11">
        <v>42782</v>
      </c>
      <c r="B5026" s="10" t="s">
        <v>10405</v>
      </c>
      <c r="C5026" s="10" t="s">
        <v>10406</v>
      </c>
      <c r="D5026" s="11">
        <v>42782.614444444444</v>
      </c>
      <c r="E5026" s="10" t="s">
        <v>433</v>
      </c>
    </row>
    <row r="5027" spans="1:5">
      <c r="A5027" s="11">
        <v>42782</v>
      </c>
      <c r="B5027" s="10" t="s">
        <v>10407</v>
      </c>
      <c r="C5027" s="10" t="s">
        <v>10408</v>
      </c>
      <c r="D5027" s="11">
        <v>42782.612523148149</v>
      </c>
      <c r="E5027" s="10" t="s">
        <v>308</v>
      </c>
    </row>
    <row r="5028" spans="1:5">
      <c r="A5028" s="11">
        <v>42782</v>
      </c>
      <c r="B5028" s="10" t="s">
        <v>10409</v>
      </c>
      <c r="C5028" s="10" t="s">
        <v>10410</v>
      </c>
      <c r="D5028" s="11">
        <v>42782.593622685185</v>
      </c>
      <c r="E5028" s="10" t="s">
        <v>218</v>
      </c>
    </row>
    <row r="5029" spans="1:5">
      <c r="A5029" s="11">
        <v>42782</v>
      </c>
      <c r="B5029" s="10" t="s">
        <v>10411</v>
      </c>
      <c r="C5029" s="10" t="s">
        <v>10412</v>
      </c>
      <c r="D5029" s="11">
        <v>42782.607604166667</v>
      </c>
      <c r="E5029" s="10" t="s">
        <v>433</v>
      </c>
    </row>
    <row r="5030" spans="1:5">
      <c r="A5030" s="11">
        <v>42782</v>
      </c>
      <c r="B5030" s="10" t="s">
        <v>10413</v>
      </c>
      <c r="C5030" s="10" t="s">
        <v>10414</v>
      </c>
      <c r="D5030" s="11">
        <v>42782.590856481482</v>
      </c>
      <c r="E5030" s="10" t="s">
        <v>433</v>
      </c>
    </row>
    <row r="5031" spans="1:5">
      <c r="A5031" s="11">
        <v>42782</v>
      </c>
      <c r="B5031" s="10" t="s">
        <v>10415</v>
      </c>
      <c r="C5031" s="10" t="s">
        <v>10416</v>
      </c>
      <c r="D5031" s="11">
        <v>42782.613020833334</v>
      </c>
      <c r="E5031" s="10" t="s">
        <v>2169</v>
      </c>
    </row>
    <row r="5032" spans="1:5">
      <c r="A5032" s="11">
        <v>42782</v>
      </c>
      <c r="B5032" s="10" t="s">
        <v>10417</v>
      </c>
      <c r="C5032" s="10" t="s">
        <v>10418</v>
      </c>
      <c r="D5032" s="11">
        <v>42782.615162037036</v>
      </c>
      <c r="E5032" s="10" t="s">
        <v>707</v>
      </c>
    </row>
    <row r="5033" spans="1:5">
      <c r="A5033" s="11">
        <v>42782</v>
      </c>
      <c r="B5033" s="10" t="s">
        <v>10419</v>
      </c>
      <c r="C5033" s="10" t="s">
        <v>10420</v>
      </c>
      <c r="D5033" s="11">
        <v>42782.615671296298</v>
      </c>
      <c r="E5033" s="10" t="s">
        <v>193</v>
      </c>
    </row>
    <row r="5034" spans="1:5">
      <c r="A5034" s="11">
        <v>42782</v>
      </c>
      <c r="B5034" s="10" t="s">
        <v>10421</v>
      </c>
      <c r="C5034" s="10" t="s">
        <v>10422</v>
      </c>
      <c r="D5034" s="11">
        <v>42782.613067129627</v>
      </c>
      <c r="E5034" s="10" t="s">
        <v>96</v>
      </c>
    </row>
    <row r="5035" spans="1:5">
      <c r="A5035" s="11">
        <v>42782</v>
      </c>
      <c r="B5035" s="10" t="s">
        <v>10423</v>
      </c>
      <c r="C5035" s="10" t="s">
        <v>10424</v>
      </c>
      <c r="D5035" s="11">
        <v>42782.597893518519</v>
      </c>
      <c r="E5035" s="10" t="s">
        <v>193</v>
      </c>
    </row>
    <row r="5036" spans="1:5">
      <c r="A5036" s="11">
        <v>42782</v>
      </c>
      <c r="B5036" s="10" t="s">
        <v>10425</v>
      </c>
      <c r="C5036" s="10" t="s">
        <v>10426</v>
      </c>
      <c r="D5036" s="11">
        <v>42782.610648148147</v>
      </c>
      <c r="E5036" s="10" t="s">
        <v>465</v>
      </c>
    </row>
    <row r="5037" spans="1:5">
      <c r="A5037" s="11">
        <v>42782</v>
      </c>
      <c r="B5037" s="10" t="s">
        <v>10427</v>
      </c>
      <c r="C5037" s="10" t="s">
        <v>10428</v>
      </c>
      <c r="D5037" s="11">
        <v>42782.607812499999</v>
      </c>
      <c r="E5037" s="10" t="s">
        <v>111</v>
      </c>
    </row>
    <row r="5038" spans="1:5">
      <c r="A5038" s="11">
        <v>42782</v>
      </c>
      <c r="B5038" s="10" t="s">
        <v>10429</v>
      </c>
      <c r="C5038" s="10" t="s">
        <v>10430</v>
      </c>
      <c r="D5038" s="11">
        <v>42782.615914351853</v>
      </c>
      <c r="E5038" s="10" t="s">
        <v>138</v>
      </c>
    </row>
    <row r="5039" spans="1:5">
      <c r="A5039" s="11">
        <v>42782</v>
      </c>
      <c r="B5039" s="10" t="s">
        <v>10431</v>
      </c>
      <c r="C5039" s="10" t="s">
        <v>10432</v>
      </c>
      <c r="D5039" s="11">
        <v>42782.611435185187</v>
      </c>
      <c r="E5039" s="10" t="s">
        <v>122</v>
      </c>
    </row>
    <row r="5040" spans="1:5">
      <c r="A5040" s="11">
        <v>42782</v>
      </c>
      <c r="B5040" s="10" t="s">
        <v>10433</v>
      </c>
      <c r="C5040" s="10" t="s">
        <v>10434</v>
      </c>
      <c r="D5040" s="11">
        <v>42782.606400462966</v>
      </c>
      <c r="E5040" s="10" t="s">
        <v>373</v>
      </c>
    </row>
    <row r="5041" spans="1:5">
      <c r="A5041" s="11">
        <v>42782</v>
      </c>
      <c r="B5041" s="10" t="s">
        <v>10435</v>
      </c>
      <c r="C5041" s="10" t="s">
        <v>10436</v>
      </c>
      <c r="D5041" s="11">
        <v>42782.589236111111</v>
      </c>
      <c r="E5041" s="10" t="s">
        <v>193</v>
      </c>
    </row>
    <row r="5042" spans="1:5">
      <c r="A5042" s="11">
        <v>42782</v>
      </c>
      <c r="B5042" s="10" t="s">
        <v>10437</v>
      </c>
      <c r="C5042" s="10" t="s">
        <v>10438</v>
      </c>
      <c r="D5042" s="11">
        <v>42782.591944444444</v>
      </c>
      <c r="E5042" s="10" t="s">
        <v>209</v>
      </c>
    </row>
    <row r="5043" spans="1:5">
      <c r="A5043" s="11">
        <v>42782</v>
      </c>
      <c r="B5043" s="10" t="s">
        <v>10439</v>
      </c>
      <c r="C5043" s="10" t="s">
        <v>10440</v>
      </c>
      <c r="D5043" s="11">
        <v>42782.608530092592</v>
      </c>
      <c r="E5043" s="10" t="s">
        <v>215</v>
      </c>
    </row>
    <row r="5044" spans="1:5">
      <c r="A5044" s="11">
        <v>42782</v>
      </c>
      <c r="B5044" s="10" t="s">
        <v>10441</v>
      </c>
      <c r="C5044" s="10" t="s">
        <v>10442</v>
      </c>
      <c r="D5044" s="11">
        <v>42782.616643518515</v>
      </c>
      <c r="E5044" s="10" t="s">
        <v>656</v>
      </c>
    </row>
    <row r="5045" spans="1:5">
      <c r="A5045" s="11">
        <v>42782</v>
      </c>
      <c r="B5045" s="10" t="s">
        <v>10443</v>
      </c>
      <c r="C5045" s="10" t="s">
        <v>10444</v>
      </c>
      <c r="D5045" s="11">
        <v>42782.615011574075</v>
      </c>
      <c r="E5045" s="10" t="s">
        <v>122</v>
      </c>
    </row>
    <row r="5046" spans="1:5">
      <c r="A5046" s="11">
        <v>42782</v>
      </c>
      <c r="B5046" s="10" t="s">
        <v>10445</v>
      </c>
      <c r="C5046" s="10" t="s">
        <v>10446</v>
      </c>
      <c r="D5046" s="11">
        <v>42782.613229166665</v>
      </c>
      <c r="E5046" s="10" t="s">
        <v>152</v>
      </c>
    </row>
    <row r="5047" spans="1:5">
      <c r="A5047" s="11">
        <v>42782</v>
      </c>
      <c r="B5047" s="10" t="s">
        <v>10447</v>
      </c>
      <c r="C5047" s="10" t="s">
        <v>10448</v>
      </c>
      <c r="D5047" s="11">
        <v>42782.599965277775</v>
      </c>
      <c r="E5047" s="10" t="s">
        <v>237</v>
      </c>
    </row>
    <row r="5048" spans="1:5">
      <c r="A5048" s="11">
        <v>42782</v>
      </c>
      <c r="B5048" s="10" t="s">
        <v>10449</v>
      </c>
      <c r="C5048" s="10" t="s">
        <v>10450</v>
      </c>
      <c r="D5048" s="11">
        <v>42782.617002314815</v>
      </c>
      <c r="E5048" s="10" t="s">
        <v>433</v>
      </c>
    </row>
    <row r="5049" spans="1:5">
      <c r="A5049" s="11">
        <v>42782</v>
      </c>
      <c r="B5049" s="10" t="s">
        <v>10451</v>
      </c>
      <c r="C5049" s="10" t="s">
        <v>10452</v>
      </c>
      <c r="D5049" s="11">
        <v>42782.617326388892</v>
      </c>
      <c r="E5049" s="10" t="s">
        <v>433</v>
      </c>
    </row>
    <row r="5050" spans="1:5">
      <c r="A5050" s="11">
        <v>42782</v>
      </c>
      <c r="B5050" s="10" t="s">
        <v>10453</v>
      </c>
      <c r="C5050" s="10" t="s">
        <v>10454</v>
      </c>
      <c r="D5050" s="11">
        <v>42782.616481481484</v>
      </c>
      <c r="E5050" s="10" t="s">
        <v>422</v>
      </c>
    </row>
    <row r="5051" spans="1:5">
      <c r="A5051" s="11">
        <v>42782</v>
      </c>
      <c r="B5051" s="10" t="s">
        <v>10455</v>
      </c>
      <c r="C5051" s="10" t="s">
        <v>10456</v>
      </c>
      <c r="D5051" s="11">
        <v>42782.613749999997</v>
      </c>
      <c r="E5051" s="10" t="s">
        <v>683</v>
      </c>
    </row>
    <row r="5052" spans="1:5">
      <c r="A5052" s="11">
        <v>42782</v>
      </c>
      <c r="B5052" s="10" t="s">
        <v>10457</v>
      </c>
      <c r="C5052" s="10" t="s">
        <v>10458</v>
      </c>
      <c r="D5052" s="11">
        <v>42782.617766203701</v>
      </c>
      <c r="E5052" s="10" t="s">
        <v>433</v>
      </c>
    </row>
    <row r="5053" spans="1:5">
      <c r="A5053" s="11">
        <v>42782</v>
      </c>
      <c r="B5053" s="10" t="s">
        <v>10459</v>
      </c>
      <c r="C5053" s="10" t="s">
        <v>10460</v>
      </c>
      <c r="D5053" s="11">
        <v>42782.615763888891</v>
      </c>
      <c r="E5053" s="10" t="s">
        <v>193</v>
      </c>
    </row>
    <row r="5054" spans="1:5">
      <c r="A5054" s="11">
        <v>42782</v>
      </c>
      <c r="B5054" s="10" t="s">
        <v>10461</v>
      </c>
      <c r="C5054" s="10" t="s">
        <v>10462</v>
      </c>
      <c r="D5054" s="11">
        <v>42782.617511574077</v>
      </c>
      <c r="E5054" s="10" t="s">
        <v>380</v>
      </c>
    </row>
    <row r="5055" spans="1:5">
      <c r="A5055" s="11">
        <v>42782</v>
      </c>
      <c r="B5055" s="10" t="s">
        <v>10463</v>
      </c>
      <c r="C5055" s="10" t="s">
        <v>10464</v>
      </c>
      <c r="D5055" s="11">
        <v>42782.614131944443</v>
      </c>
      <c r="E5055" s="10" t="s">
        <v>3319</v>
      </c>
    </row>
    <row r="5056" spans="1:5">
      <c r="A5056" s="11">
        <v>42782</v>
      </c>
      <c r="B5056" s="10" t="s">
        <v>10465</v>
      </c>
      <c r="C5056" s="10" t="s">
        <v>10466</v>
      </c>
      <c r="D5056" s="11">
        <v>42782.616539351853</v>
      </c>
      <c r="E5056" s="10" t="s">
        <v>683</v>
      </c>
    </row>
    <row r="5057" spans="1:5">
      <c r="A5057" s="11">
        <v>42782</v>
      </c>
      <c r="B5057" s="10" t="s">
        <v>10467</v>
      </c>
      <c r="C5057" s="10" t="s">
        <v>10468</v>
      </c>
      <c r="D5057" s="11">
        <v>42782.618217592593</v>
      </c>
      <c r="E5057" s="10" t="s">
        <v>433</v>
      </c>
    </row>
    <row r="5058" spans="1:5" ht="21.6">
      <c r="A5058" s="11">
        <v>42782</v>
      </c>
      <c r="B5058" s="10" t="s">
        <v>10469</v>
      </c>
      <c r="C5058" s="10" t="s">
        <v>10470</v>
      </c>
      <c r="D5058" s="11">
        <v>42782.6</v>
      </c>
      <c r="E5058" s="10" t="s">
        <v>2299</v>
      </c>
    </row>
    <row r="5059" spans="1:5">
      <c r="A5059" s="11">
        <v>42782</v>
      </c>
      <c r="B5059" s="10" t="s">
        <v>10471</v>
      </c>
      <c r="C5059" s="10" t="s">
        <v>10472</v>
      </c>
      <c r="D5059" s="11">
        <v>42782.677719907406</v>
      </c>
      <c r="E5059" s="10" t="s">
        <v>122</v>
      </c>
    </row>
    <row r="5060" spans="1:5">
      <c r="A5060" s="11">
        <v>42782</v>
      </c>
      <c r="B5060" s="10" t="s">
        <v>10473</v>
      </c>
      <c r="C5060" s="10" t="s">
        <v>10474</v>
      </c>
      <c r="D5060" s="11">
        <v>42782.612407407411</v>
      </c>
      <c r="E5060" s="10" t="s">
        <v>4865</v>
      </c>
    </row>
    <row r="5061" spans="1:5">
      <c r="A5061" s="11">
        <v>42782</v>
      </c>
      <c r="B5061" s="10" t="s">
        <v>10475</v>
      </c>
      <c r="C5061" s="10" t="s">
        <v>10476</v>
      </c>
      <c r="D5061" s="11">
        <v>42782.595601851855</v>
      </c>
      <c r="E5061" s="10" t="s">
        <v>2912</v>
      </c>
    </row>
    <row r="5062" spans="1:5">
      <c r="A5062" s="11">
        <v>42782</v>
      </c>
      <c r="B5062" s="10" t="s">
        <v>10477</v>
      </c>
      <c r="C5062" s="10" t="s">
        <v>10478</v>
      </c>
      <c r="D5062" s="11">
        <v>42782.619166666664</v>
      </c>
      <c r="E5062" s="10" t="s">
        <v>1103</v>
      </c>
    </row>
    <row r="5063" spans="1:5">
      <c r="A5063" s="11">
        <v>42782</v>
      </c>
      <c r="B5063" s="10" t="s">
        <v>10479</v>
      </c>
      <c r="C5063" s="10" t="s">
        <v>10480</v>
      </c>
      <c r="D5063" s="11">
        <v>42782.616782407407</v>
      </c>
      <c r="E5063" s="10" t="s">
        <v>373</v>
      </c>
    </row>
    <row r="5064" spans="1:5">
      <c r="A5064" s="11">
        <v>42782</v>
      </c>
      <c r="B5064" s="10" t="s">
        <v>10481</v>
      </c>
      <c r="C5064" s="10" t="s">
        <v>10482</v>
      </c>
      <c r="D5064" s="11">
        <v>42782.611805555556</v>
      </c>
      <c r="E5064" s="10" t="s">
        <v>218</v>
      </c>
    </row>
    <row r="5065" spans="1:5">
      <c r="A5065" s="11">
        <v>42782</v>
      </c>
      <c r="B5065" s="10" t="s">
        <v>10483</v>
      </c>
      <c r="C5065" s="10" t="s">
        <v>10484</v>
      </c>
      <c r="D5065" s="11">
        <v>42782.606273148151</v>
      </c>
      <c r="E5065" s="10" t="s">
        <v>96</v>
      </c>
    </row>
    <row r="5066" spans="1:5">
      <c r="A5066" s="11">
        <v>42782</v>
      </c>
      <c r="B5066" s="10" t="s">
        <v>10485</v>
      </c>
      <c r="C5066" s="10" t="s">
        <v>10486</v>
      </c>
      <c r="D5066" s="11">
        <v>42782.616064814814</v>
      </c>
      <c r="E5066" s="10" t="s">
        <v>373</v>
      </c>
    </row>
    <row r="5067" spans="1:5">
      <c r="A5067" s="11">
        <v>42782</v>
      </c>
      <c r="B5067" s="10" t="s">
        <v>10487</v>
      </c>
      <c r="C5067" s="10" t="s">
        <v>10488</v>
      </c>
      <c r="D5067" s="11">
        <v>42782.610856481479</v>
      </c>
      <c r="E5067" s="10" t="s">
        <v>625</v>
      </c>
    </row>
    <row r="5068" spans="1:5">
      <c r="A5068" s="11">
        <v>42782</v>
      </c>
      <c r="B5068" s="10" t="s">
        <v>10489</v>
      </c>
      <c r="C5068" s="10" t="s">
        <v>10490</v>
      </c>
      <c r="D5068" s="11">
        <v>42782.619618055556</v>
      </c>
      <c r="E5068" s="10" t="s">
        <v>218</v>
      </c>
    </row>
    <row r="5069" spans="1:5">
      <c r="A5069" s="11">
        <v>42782</v>
      </c>
      <c r="B5069" s="10" t="s">
        <v>10491</v>
      </c>
      <c r="C5069" s="10" t="s">
        <v>10492</v>
      </c>
      <c r="D5069" s="11">
        <v>42782.620254629626</v>
      </c>
      <c r="E5069" s="10" t="s">
        <v>683</v>
      </c>
    </row>
    <row r="5070" spans="1:5">
      <c r="A5070" s="11">
        <v>42782</v>
      </c>
      <c r="B5070" s="10" t="s">
        <v>10493</v>
      </c>
      <c r="C5070" s="10" t="s">
        <v>10494</v>
      </c>
      <c r="D5070" s="11">
        <v>42782.619710648149</v>
      </c>
      <c r="E5070" s="10" t="s">
        <v>9718</v>
      </c>
    </row>
    <row r="5071" spans="1:5">
      <c r="A5071" s="11">
        <v>42782</v>
      </c>
      <c r="B5071" s="10" t="s">
        <v>10495</v>
      </c>
      <c r="C5071" s="10" t="s">
        <v>10496</v>
      </c>
      <c r="D5071" s="11">
        <v>42782.610011574077</v>
      </c>
      <c r="E5071" s="10" t="s">
        <v>152</v>
      </c>
    </row>
    <row r="5072" spans="1:5">
      <c r="A5072" s="11">
        <v>42782</v>
      </c>
      <c r="B5072" s="10" t="s">
        <v>10497</v>
      </c>
      <c r="C5072" s="10" t="s">
        <v>10498</v>
      </c>
      <c r="D5072" s="11">
        <v>42782.617291666669</v>
      </c>
      <c r="E5072" s="10" t="s">
        <v>96</v>
      </c>
    </row>
    <row r="5073" spans="1:5">
      <c r="A5073" s="11">
        <v>42782</v>
      </c>
      <c r="B5073" s="10" t="s">
        <v>10499</v>
      </c>
      <c r="C5073" s="10" t="s">
        <v>10500</v>
      </c>
      <c r="D5073" s="11">
        <v>42782.614062499997</v>
      </c>
      <c r="E5073" s="10" t="s">
        <v>122</v>
      </c>
    </row>
    <row r="5074" spans="1:5">
      <c r="A5074" s="11">
        <v>42782</v>
      </c>
      <c r="B5074" s="10" t="s">
        <v>10501</v>
      </c>
      <c r="C5074" s="10" t="s">
        <v>10502</v>
      </c>
      <c r="D5074" s="11">
        <v>42782.671099537038</v>
      </c>
      <c r="E5074" s="10" t="s">
        <v>414</v>
      </c>
    </row>
    <row r="5075" spans="1:5">
      <c r="A5075" s="11">
        <v>42782</v>
      </c>
      <c r="B5075" s="10" t="s">
        <v>10503</v>
      </c>
      <c r="C5075" s="10" t="s">
        <v>10504</v>
      </c>
      <c r="D5075" s="11">
        <v>42782.618333333332</v>
      </c>
      <c r="E5075" s="10" t="s">
        <v>4865</v>
      </c>
    </row>
    <row r="5076" spans="1:5">
      <c r="A5076" s="11">
        <v>42782</v>
      </c>
      <c r="B5076" s="10" t="s">
        <v>10505</v>
      </c>
      <c r="C5076" s="10" t="s">
        <v>10506</v>
      </c>
      <c r="D5076" s="11">
        <v>42782.602222222224</v>
      </c>
      <c r="E5076" s="10" t="s">
        <v>373</v>
      </c>
    </row>
    <row r="5077" spans="1:5">
      <c r="A5077" s="11">
        <v>42782</v>
      </c>
      <c r="B5077" s="10" t="s">
        <v>10507</v>
      </c>
      <c r="C5077" s="10" t="s">
        <v>10508</v>
      </c>
      <c r="D5077" s="11">
        <v>42782.621539351851</v>
      </c>
      <c r="E5077" s="10" t="s">
        <v>193</v>
      </c>
    </row>
    <row r="5078" spans="1:5">
      <c r="A5078" s="11">
        <v>42782</v>
      </c>
      <c r="B5078" s="10" t="s">
        <v>10509</v>
      </c>
      <c r="C5078" s="10" t="s">
        <v>10510</v>
      </c>
      <c r="D5078" s="11">
        <v>42782.62158564815</v>
      </c>
      <c r="E5078" s="10" t="s">
        <v>6712</v>
      </c>
    </row>
    <row r="5079" spans="1:5">
      <c r="A5079" s="11">
        <v>42782</v>
      </c>
      <c r="B5079" s="10" t="s">
        <v>10511</v>
      </c>
      <c r="C5079" s="10" t="s">
        <v>10512</v>
      </c>
      <c r="D5079" s="11">
        <v>42782.62159722222</v>
      </c>
      <c r="E5079" s="10" t="s">
        <v>237</v>
      </c>
    </row>
    <row r="5080" spans="1:5">
      <c r="A5080" s="11">
        <v>42782</v>
      </c>
      <c r="B5080" s="10" t="s">
        <v>10513</v>
      </c>
      <c r="C5080" s="10" t="s">
        <v>10514</v>
      </c>
      <c r="D5080" s="11">
        <v>42782.612662037034</v>
      </c>
      <c r="E5080" s="10" t="s">
        <v>240</v>
      </c>
    </row>
    <row r="5081" spans="1:5">
      <c r="A5081" s="11">
        <v>42782</v>
      </c>
      <c r="B5081" s="10" t="s">
        <v>10515</v>
      </c>
      <c r="C5081" s="10" t="s">
        <v>10516</v>
      </c>
      <c r="D5081" s="11">
        <v>42782.621689814812</v>
      </c>
      <c r="E5081" s="10" t="s">
        <v>683</v>
      </c>
    </row>
    <row r="5082" spans="1:5">
      <c r="A5082" s="11">
        <v>42782</v>
      </c>
      <c r="B5082" s="10" t="s">
        <v>10517</v>
      </c>
      <c r="C5082" s="10" t="s">
        <v>10518</v>
      </c>
      <c r="D5082" s="11">
        <v>42782.605266203704</v>
      </c>
      <c r="E5082" s="10" t="s">
        <v>122</v>
      </c>
    </row>
    <row r="5083" spans="1:5">
      <c r="A5083" s="11">
        <v>42782</v>
      </c>
      <c r="B5083" s="10" t="s">
        <v>10519</v>
      </c>
      <c r="C5083" s="10" t="s">
        <v>10520</v>
      </c>
      <c r="D5083" s="11">
        <v>42782.619421296295</v>
      </c>
      <c r="E5083" s="10" t="s">
        <v>96</v>
      </c>
    </row>
    <row r="5084" spans="1:5">
      <c r="A5084" s="11">
        <v>42782</v>
      </c>
      <c r="B5084" s="10" t="s">
        <v>10521</v>
      </c>
      <c r="C5084" s="10" t="s">
        <v>10522</v>
      </c>
      <c r="D5084" s="11">
        <v>42782.648993055554</v>
      </c>
      <c r="E5084" s="10" t="s">
        <v>380</v>
      </c>
    </row>
    <row r="5085" spans="1:5">
      <c r="A5085" s="11">
        <v>42782</v>
      </c>
      <c r="B5085" s="10" t="s">
        <v>10523</v>
      </c>
      <c r="C5085" s="10" t="s">
        <v>10524</v>
      </c>
      <c r="D5085" s="11">
        <v>42782.621932870374</v>
      </c>
      <c r="E5085" s="10" t="s">
        <v>5026</v>
      </c>
    </row>
    <row r="5086" spans="1:5">
      <c r="A5086" s="11">
        <v>42782</v>
      </c>
      <c r="B5086" s="10" t="s">
        <v>10525</v>
      </c>
      <c r="C5086" s="10" t="s">
        <v>10526</v>
      </c>
      <c r="D5086" s="11">
        <v>42782.621944444443</v>
      </c>
      <c r="E5086" s="10" t="s">
        <v>683</v>
      </c>
    </row>
    <row r="5087" spans="1:5">
      <c r="A5087" s="11">
        <v>42782</v>
      </c>
      <c r="B5087" s="10" t="s">
        <v>10527</v>
      </c>
      <c r="C5087" s="10" t="s">
        <v>10528</v>
      </c>
      <c r="D5087" s="11">
        <v>42782.621874999997</v>
      </c>
      <c r="E5087" s="10" t="s">
        <v>625</v>
      </c>
    </row>
    <row r="5088" spans="1:5">
      <c r="A5088" s="11">
        <v>42782</v>
      </c>
      <c r="B5088" s="10" t="s">
        <v>10529</v>
      </c>
      <c r="C5088" s="10" t="s">
        <v>10530</v>
      </c>
      <c r="D5088" s="11">
        <v>42782.622372685182</v>
      </c>
      <c r="E5088" s="10" t="s">
        <v>707</v>
      </c>
    </row>
    <row r="5089" spans="1:5">
      <c r="A5089" s="11">
        <v>42782</v>
      </c>
      <c r="B5089" s="10" t="s">
        <v>10531</v>
      </c>
      <c r="C5089" s="10" t="s">
        <v>10532</v>
      </c>
      <c r="D5089" s="11">
        <v>42782.619629629633</v>
      </c>
      <c r="E5089" s="10" t="s">
        <v>479</v>
      </c>
    </row>
    <row r="5090" spans="1:5">
      <c r="A5090" s="11">
        <v>42782</v>
      </c>
      <c r="B5090" s="10" t="s">
        <v>10533</v>
      </c>
      <c r="C5090" s="10" t="s">
        <v>10534</v>
      </c>
      <c r="D5090" s="11">
        <v>42782.622349537036</v>
      </c>
      <c r="E5090" s="10" t="s">
        <v>433</v>
      </c>
    </row>
    <row r="5091" spans="1:5">
      <c r="A5091" s="11">
        <v>42782</v>
      </c>
      <c r="B5091" s="10" t="s">
        <v>10535</v>
      </c>
      <c r="C5091" s="10" t="s">
        <v>10536</v>
      </c>
      <c r="D5091" s="11">
        <v>42782.61787037037</v>
      </c>
      <c r="E5091" s="10" t="s">
        <v>373</v>
      </c>
    </row>
    <row r="5092" spans="1:5">
      <c r="A5092" s="11">
        <v>42782</v>
      </c>
      <c r="B5092" s="10" t="s">
        <v>10537</v>
      </c>
      <c r="C5092" s="10" t="s">
        <v>10538</v>
      </c>
      <c r="D5092" s="11">
        <v>42782.620127314818</v>
      </c>
      <c r="E5092" s="10" t="s">
        <v>152</v>
      </c>
    </row>
    <row r="5093" spans="1:5">
      <c r="A5093" s="11">
        <v>42782</v>
      </c>
      <c r="B5093" s="10" t="s">
        <v>10539</v>
      </c>
      <c r="C5093" s="10" t="s">
        <v>10540</v>
      </c>
      <c r="D5093" s="11">
        <v>42782.617858796293</v>
      </c>
      <c r="E5093" s="10" t="s">
        <v>240</v>
      </c>
    </row>
    <row r="5094" spans="1:5">
      <c r="A5094" s="11">
        <v>42782</v>
      </c>
      <c r="B5094" s="10" t="s">
        <v>10541</v>
      </c>
      <c r="C5094" s="10" t="s">
        <v>10542</v>
      </c>
      <c r="D5094" s="11">
        <v>42782.61515046296</v>
      </c>
      <c r="E5094" s="10" t="s">
        <v>414</v>
      </c>
    </row>
    <row r="5095" spans="1:5">
      <c r="A5095" s="11">
        <v>42782</v>
      </c>
      <c r="B5095" s="10" t="s">
        <v>10543</v>
      </c>
      <c r="C5095" s="10" t="s">
        <v>10544</v>
      </c>
      <c r="D5095" s="11">
        <v>42782.615474537037</v>
      </c>
      <c r="E5095" s="10" t="s">
        <v>152</v>
      </c>
    </row>
    <row r="5096" spans="1:5">
      <c r="A5096" s="11">
        <v>42782</v>
      </c>
      <c r="B5096" s="10" t="s">
        <v>10545</v>
      </c>
      <c r="C5096" s="10" t="s">
        <v>10546</v>
      </c>
      <c r="D5096" s="11">
        <v>42782.622766203705</v>
      </c>
      <c r="E5096" s="10" t="s">
        <v>433</v>
      </c>
    </row>
    <row r="5097" spans="1:5">
      <c r="A5097" s="11">
        <v>42782</v>
      </c>
      <c r="B5097" s="10" t="s">
        <v>10547</v>
      </c>
      <c r="C5097" s="10" t="s">
        <v>10548</v>
      </c>
      <c r="D5097" s="11">
        <v>42782.620856481481</v>
      </c>
      <c r="E5097" s="10" t="s">
        <v>1103</v>
      </c>
    </row>
    <row r="5098" spans="1:5">
      <c r="A5098" s="11">
        <v>42782</v>
      </c>
      <c r="B5098" s="10" t="s">
        <v>10549</v>
      </c>
      <c r="C5098" s="10" t="s">
        <v>10550</v>
      </c>
      <c r="D5098" s="11">
        <v>42782.622928240744</v>
      </c>
      <c r="E5098" s="10" t="s">
        <v>152</v>
      </c>
    </row>
    <row r="5099" spans="1:5">
      <c r="A5099" s="11">
        <v>42782</v>
      </c>
      <c r="B5099" s="10" t="s">
        <v>10551</v>
      </c>
      <c r="C5099" s="10" t="s">
        <v>10552</v>
      </c>
      <c r="D5099" s="11">
        <v>42782.620451388888</v>
      </c>
      <c r="E5099" s="10" t="s">
        <v>193</v>
      </c>
    </row>
    <row r="5100" spans="1:5">
      <c r="A5100" s="11">
        <v>42782</v>
      </c>
      <c r="B5100" s="10" t="s">
        <v>10553</v>
      </c>
      <c r="C5100" s="10" t="s">
        <v>10554</v>
      </c>
      <c r="D5100" s="11">
        <v>42782.62296296296</v>
      </c>
      <c r="E5100" s="10" t="s">
        <v>2180</v>
      </c>
    </row>
    <row r="5101" spans="1:5">
      <c r="A5101" s="11">
        <v>42782</v>
      </c>
      <c r="B5101" s="10" t="s">
        <v>10555</v>
      </c>
      <c r="C5101" s="10" t="s">
        <v>10556</v>
      </c>
      <c r="D5101" s="11">
        <v>42782.601006944446</v>
      </c>
      <c r="E5101" s="10" t="s">
        <v>1758</v>
      </c>
    </row>
    <row r="5102" spans="1:5">
      <c r="A5102" s="11">
        <v>42782</v>
      </c>
      <c r="B5102" s="10" t="s">
        <v>10557</v>
      </c>
      <c r="C5102" s="10" t="s">
        <v>10558</v>
      </c>
      <c r="D5102" s="11">
        <v>42782.62300925926</v>
      </c>
      <c r="E5102" s="10" t="s">
        <v>707</v>
      </c>
    </row>
    <row r="5103" spans="1:5">
      <c r="A5103" s="11">
        <v>42782</v>
      </c>
      <c r="B5103" s="10" t="s">
        <v>10559</v>
      </c>
      <c r="C5103" s="10" t="s">
        <v>10560</v>
      </c>
      <c r="D5103" s="11">
        <v>42782.616620370369</v>
      </c>
      <c r="E5103" s="10" t="s">
        <v>237</v>
      </c>
    </row>
    <row r="5104" spans="1:5">
      <c r="A5104" s="11">
        <v>42782</v>
      </c>
      <c r="B5104" s="10" t="s">
        <v>10561</v>
      </c>
      <c r="C5104" s="10" t="s">
        <v>10562</v>
      </c>
      <c r="D5104" s="11">
        <v>42782.610706018517</v>
      </c>
      <c r="E5104" s="10" t="s">
        <v>2180</v>
      </c>
    </row>
    <row r="5105" spans="1:5">
      <c r="A5105" s="11">
        <v>42782</v>
      </c>
      <c r="B5105" s="10" t="s">
        <v>10563</v>
      </c>
      <c r="C5105" s="10" t="s">
        <v>10564</v>
      </c>
      <c r="D5105" s="11">
        <v>42782.623148148145</v>
      </c>
      <c r="E5105" s="10" t="s">
        <v>152</v>
      </c>
    </row>
    <row r="5106" spans="1:5">
      <c r="A5106" s="11">
        <v>42782</v>
      </c>
      <c r="B5106" s="10" t="s">
        <v>10565</v>
      </c>
      <c r="C5106" s="10" t="s">
        <v>10566</v>
      </c>
      <c r="D5106" s="11">
        <v>42782.623159722221</v>
      </c>
      <c r="E5106" s="10" t="s">
        <v>383</v>
      </c>
    </row>
    <row r="5107" spans="1:5">
      <c r="A5107" s="11">
        <v>42782</v>
      </c>
      <c r="B5107" s="10" t="s">
        <v>10567</v>
      </c>
      <c r="C5107" s="10" t="s">
        <v>10568</v>
      </c>
      <c r="D5107" s="11">
        <v>42782.623067129629</v>
      </c>
      <c r="E5107" s="10" t="s">
        <v>433</v>
      </c>
    </row>
    <row r="5108" spans="1:5">
      <c r="A5108" s="11">
        <v>42782</v>
      </c>
      <c r="B5108" s="10" t="s">
        <v>10569</v>
      </c>
      <c r="C5108" s="10" t="s">
        <v>10570</v>
      </c>
      <c r="D5108" s="11">
        <v>42782.604502314818</v>
      </c>
      <c r="E5108" s="10" t="s">
        <v>380</v>
      </c>
    </row>
    <row r="5109" spans="1:5">
      <c r="A5109" s="11">
        <v>42782</v>
      </c>
      <c r="B5109" s="10" t="s">
        <v>10571</v>
      </c>
      <c r="C5109" s="10" t="s">
        <v>10572</v>
      </c>
      <c r="D5109" s="11">
        <v>42782.667962962965</v>
      </c>
      <c r="E5109" s="10" t="s">
        <v>4862</v>
      </c>
    </row>
    <row r="5110" spans="1:5">
      <c r="A5110" s="11">
        <v>42782</v>
      </c>
      <c r="B5110" s="10" t="s">
        <v>10573</v>
      </c>
      <c r="C5110" s="10" t="s">
        <v>10574</v>
      </c>
      <c r="D5110" s="11">
        <v>42782.619444444441</v>
      </c>
      <c r="E5110" s="10" t="s">
        <v>2515</v>
      </c>
    </row>
    <row r="5111" spans="1:5">
      <c r="A5111" s="11">
        <v>42782</v>
      </c>
      <c r="B5111" s="10" t="s">
        <v>10575</v>
      </c>
      <c r="C5111" s="10" t="s">
        <v>10576</v>
      </c>
      <c r="D5111" s="11">
        <v>42782.623506944445</v>
      </c>
      <c r="E5111" s="10" t="s">
        <v>433</v>
      </c>
    </row>
    <row r="5112" spans="1:5">
      <c r="A5112" s="11">
        <v>42782</v>
      </c>
      <c r="B5112" s="10" t="s">
        <v>10577</v>
      </c>
      <c r="C5112" s="10" t="s">
        <v>10578</v>
      </c>
      <c r="D5112" s="11">
        <v>42782.622256944444</v>
      </c>
      <c r="E5112" s="10" t="s">
        <v>209</v>
      </c>
    </row>
    <row r="5113" spans="1:5">
      <c r="A5113" s="11">
        <v>42782</v>
      </c>
      <c r="B5113" s="10" t="s">
        <v>10579</v>
      </c>
      <c r="C5113" s="10" t="s">
        <v>10580</v>
      </c>
      <c r="D5113" s="11">
        <v>42782.623715277776</v>
      </c>
      <c r="E5113" s="10" t="s">
        <v>2554</v>
      </c>
    </row>
    <row r="5114" spans="1:5">
      <c r="A5114" s="11">
        <v>42782</v>
      </c>
      <c r="B5114" s="10" t="s">
        <v>10581</v>
      </c>
      <c r="C5114" s="10" t="s">
        <v>10582</v>
      </c>
      <c r="D5114" s="11">
        <v>42782.623067129629</v>
      </c>
      <c r="E5114" s="10" t="s">
        <v>5406</v>
      </c>
    </row>
    <row r="5115" spans="1:5">
      <c r="A5115" s="11">
        <v>42782</v>
      </c>
      <c r="B5115" s="10" t="s">
        <v>10583</v>
      </c>
      <c r="C5115" s="10" t="s">
        <v>10584</v>
      </c>
      <c r="D5115" s="11">
        <v>42782.623865740738</v>
      </c>
      <c r="E5115" s="10" t="s">
        <v>433</v>
      </c>
    </row>
    <row r="5116" spans="1:5">
      <c r="A5116" s="11">
        <v>42782</v>
      </c>
      <c r="B5116" s="10" t="s">
        <v>10585</v>
      </c>
      <c r="C5116" s="10" t="s">
        <v>10586</v>
      </c>
      <c r="D5116" s="11">
        <v>42782.6094212963</v>
      </c>
      <c r="E5116" s="10" t="s">
        <v>433</v>
      </c>
    </row>
    <row r="5117" spans="1:5">
      <c r="A5117" s="11">
        <v>42782</v>
      </c>
      <c r="B5117" s="10" t="s">
        <v>10587</v>
      </c>
      <c r="C5117" s="10" t="s">
        <v>10588</v>
      </c>
      <c r="D5117" s="11">
        <v>42782.620300925926</v>
      </c>
      <c r="E5117" s="10" t="s">
        <v>308</v>
      </c>
    </row>
    <row r="5118" spans="1:5">
      <c r="A5118" s="11">
        <v>42782</v>
      </c>
      <c r="B5118" s="10" t="s">
        <v>10589</v>
      </c>
      <c r="C5118" s="10" t="s">
        <v>10590</v>
      </c>
      <c r="D5118" s="11">
        <v>42782.62158564815</v>
      </c>
      <c r="E5118" s="10" t="s">
        <v>240</v>
      </c>
    </row>
    <row r="5119" spans="1:5">
      <c r="A5119" s="11">
        <v>42782</v>
      </c>
      <c r="B5119" s="10" t="s">
        <v>10591</v>
      </c>
      <c r="C5119" s="10" t="s">
        <v>10592</v>
      </c>
      <c r="D5119" s="11">
        <v>42782.593310185184</v>
      </c>
      <c r="E5119" s="10" t="s">
        <v>122</v>
      </c>
    </row>
    <row r="5120" spans="1:5">
      <c r="A5120" s="11">
        <v>42782</v>
      </c>
      <c r="B5120" s="10" t="s">
        <v>10593</v>
      </c>
      <c r="C5120" s="10" t="s">
        <v>10594</v>
      </c>
      <c r="D5120" s="11">
        <v>42782.623460648145</v>
      </c>
      <c r="E5120" s="10" t="s">
        <v>373</v>
      </c>
    </row>
    <row r="5121" spans="1:5">
      <c r="A5121" s="11">
        <v>42782</v>
      </c>
      <c r="B5121" s="10" t="s">
        <v>10595</v>
      </c>
      <c r="C5121" s="10" t="s">
        <v>10596</v>
      </c>
      <c r="D5121" s="11">
        <v>42782.624571759261</v>
      </c>
      <c r="E5121" s="10" t="s">
        <v>237</v>
      </c>
    </row>
    <row r="5122" spans="1:5">
      <c r="A5122" s="11">
        <v>42782</v>
      </c>
      <c r="B5122" s="10" t="s">
        <v>10597</v>
      </c>
      <c r="C5122" s="10" t="s">
        <v>10598</v>
      </c>
      <c r="D5122" s="11">
        <v>42782.623229166667</v>
      </c>
      <c r="E5122" s="10" t="s">
        <v>122</v>
      </c>
    </row>
    <row r="5123" spans="1:5">
      <c r="A5123" s="11">
        <v>42782</v>
      </c>
      <c r="B5123" s="10" t="s">
        <v>10599</v>
      </c>
      <c r="C5123" s="10" t="s">
        <v>10600</v>
      </c>
      <c r="D5123" s="11">
        <v>42782.598009259258</v>
      </c>
      <c r="E5123" s="10" t="s">
        <v>240</v>
      </c>
    </row>
    <row r="5124" spans="1:5">
      <c r="A5124" s="11">
        <v>42782</v>
      </c>
      <c r="B5124" s="10" t="s">
        <v>10601</v>
      </c>
      <c r="C5124" s="10" t="s">
        <v>10602</v>
      </c>
      <c r="D5124" s="11">
        <v>42782.625</v>
      </c>
      <c r="E5124" s="10" t="s">
        <v>433</v>
      </c>
    </row>
    <row r="5125" spans="1:5">
      <c r="A5125" s="11">
        <v>42782</v>
      </c>
      <c r="B5125" s="10" t="s">
        <v>10603</v>
      </c>
      <c r="C5125" s="10" t="s">
        <v>10604</v>
      </c>
      <c r="D5125" s="11">
        <v>42782.625150462962</v>
      </c>
      <c r="E5125" s="10" t="s">
        <v>152</v>
      </c>
    </row>
    <row r="5126" spans="1:5">
      <c r="A5126" s="11">
        <v>42782</v>
      </c>
      <c r="B5126" s="10" t="s">
        <v>10605</v>
      </c>
      <c r="C5126" s="10" t="s">
        <v>10606</v>
      </c>
      <c r="D5126" s="11">
        <v>42782.618541666663</v>
      </c>
      <c r="E5126" s="10" t="s">
        <v>122</v>
      </c>
    </row>
    <row r="5127" spans="1:5">
      <c r="A5127" s="11">
        <v>42782</v>
      </c>
      <c r="B5127" s="10" t="s">
        <v>10607</v>
      </c>
      <c r="C5127" s="10" t="s">
        <v>10608</v>
      </c>
      <c r="D5127" s="11">
        <v>42782.618148148147</v>
      </c>
      <c r="E5127" s="10" t="s">
        <v>433</v>
      </c>
    </row>
    <row r="5128" spans="1:5">
      <c r="A5128" s="11">
        <v>42782</v>
      </c>
      <c r="B5128" s="10" t="s">
        <v>10609</v>
      </c>
      <c r="C5128" s="10" t="s">
        <v>10610</v>
      </c>
      <c r="D5128" s="11">
        <v>42782.616006944445</v>
      </c>
      <c r="E5128" s="10" t="s">
        <v>193</v>
      </c>
    </row>
    <row r="5129" spans="1:5">
      <c r="A5129" s="11">
        <v>42782</v>
      </c>
      <c r="B5129" s="10" t="s">
        <v>10611</v>
      </c>
      <c r="C5129" s="10" t="s">
        <v>10612</v>
      </c>
      <c r="D5129" s="11">
        <v>42782.615474537037</v>
      </c>
      <c r="E5129" s="10" t="s">
        <v>3434</v>
      </c>
    </row>
    <row r="5130" spans="1:5">
      <c r="A5130" s="11">
        <v>42782</v>
      </c>
      <c r="B5130" s="10" t="s">
        <v>10613</v>
      </c>
      <c r="C5130" s="10" t="s">
        <v>10614</v>
      </c>
      <c r="D5130" s="11">
        <v>42782.62027777778</v>
      </c>
      <c r="E5130" s="10" t="s">
        <v>240</v>
      </c>
    </row>
    <row r="5131" spans="1:5">
      <c r="A5131" s="11">
        <v>42782</v>
      </c>
      <c r="B5131" s="10" t="s">
        <v>10615</v>
      </c>
      <c r="C5131" s="10" t="s">
        <v>10616</v>
      </c>
      <c r="D5131" s="11">
        <v>42782.625717592593</v>
      </c>
      <c r="E5131" s="10" t="s">
        <v>292</v>
      </c>
    </row>
    <row r="5132" spans="1:5">
      <c r="A5132" s="11">
        <v>42782</v>
      </c>
      <c r="B5132" s="10" t="s">
        <v>10617</v>
      </c>
      <c r="C5132" s="10" t="s">
        <v>10618</v>
      </c>
      <c r="D5132" s="11">
        <v>42782.625972222224</v>
      </c>
      <c r="E5132" s="10" t="s">
        <v>320</v>
      </c>
    </row>
    <row r="5133" spans="1:5">
      <c r="A5133" s="11">
        <v>42782</v>
      </c>
      <c r="B5133" s="10" t="s">
        <v>10619</v>
      </c>
      <c r="C5133" s="10" t="s">
        <v>10620</v>
      </c>
      <c r="D5133" s="11">
        <v>42782.625798611109</v>
      </c>
      <c r="E5133" s="10" t="s">
        <v>237</v>
      </c>
    </row>
    <row r="5134" spans="1:5">
      <c r="A5134" s="11">
        <v>42782</v>
      </c>
      <c r="B5134" s="10" t="s">
        <v>10621</v>
      </c>
      <c r="C5134" s="10" t="s">
        <v>10622</v>
      </c>
      <c r="D5134" s="11">
        <v>42782.601261574076</v>
      </c>
      <c r="E5134" s="10" t="s">
        <v>380</v>
      </c>
    </row>
    <row r="5135" spans="1:5">
      <c r="A5135" s="11">
        <v>42782</v>
      </c>
      <c r="B5135" s="10" t="s">
        <v>10623</v>
      </c>
      <c r="C5135" s="10" t="s">
        <v>10624</v>
      </c>
      <c r="D5135" s="11">
        <v>42782.625127314815</v>
      </c>
      <c r="E5135" s="10" t="s">
        <v>2144</v>
      </c>
    </row>
    <row r="5136" spans="1:5">
      <c r="A5136" s="11">
        <v>42782</v>
      </c>
      <c r="B5136" s="10" t="s">
        <v>10625</v>
      </c>
      <c r="C5136" s="10" t="s">
        <v>10626</v>
      </c>
      <c r="D5136" s="11">
        <v>42782.613009259258</v>
      </c>
      <c r="E5136" s="10" t="s">
        <v>2995</v>
      </c>
    </row>
    <row r="5137" spans="1:5">
      <c r="A5137" s="11">
        <v>42782</v>
      </c>
      <c r="B5137" s="10" t="s">
        <v>10627</v>
      </c>
      <c r="C5137" s="10" t="s">
        <v>10628</v>
      </c>
      <c r="D5137" s="11">
        <v>42782.62190972222</v>
      </c>
      <c r="E5137" s="10" t="s">
        <v>240</v>
      </c>
    </row>
    <row r="5138" spans="1:5">
      <c r="A5138" s="11">
        <v>42782</v>
      </c>
      <c r="B5138" s="10" t="s">
        <v>10629</v>
      </c>
      <c r="C5138" s="10" t="s">
        <v>10630</v>
      </c>
      <c r="D5138" s="11">
        <v>42782.625474537039</v>
      </c>
      <c r="E5138" s="10" t="s">
        <v>1145</v>
      </c>
    </row>
    <row r="5139" spans="1:5">
      <c r="A5139" s="11">
        <v>42782</v>
      </c>
      <c r="B5139" s="10" t="s">
        <v>10631</v>
      </c>
      <c r="C5139" s="10" t="s">
        <v>10632</v>
      </c>
      <c r="D5139" s="11">
        <v>42782.624097222222</v>
      </c>
      <c r="E5139" s="10" t="s">
        <v>373</v>
      </c>
    </row>
    <row r="5140" spans="1:5">
      <c r="A5140" s="11">
        <v>42782</v>
      </c>
      <c r="B5140" s="10" t="s">
        <v>10633</v>
      </c>
      <c r="C5140" s="10" t="s">
        <v>10634</v>
      </c>
      <c r="D5140" s="11">
        <v>42782.587592592594</v>
      </c>
      <c r="E5140" s="10" t="s">
        <v>433</v>
      </c>
    </row>
    <row r="5141" spans="1:5">
      <c r="A5141" s="11">
        <v>42782</v>
      </c>
      <c r="B5141" s="10" t="s">
        <v>10635</v>
      </c>
      <c r="C5141" s="10" t="s">
        <v>10636</v>
      </c>
      <c r="D5141" s="11">
        <v>42782.618784722225</v>
      </c>
      <c r="E5141" s="10" t="s">
        <v>433</v>
      </c>
    </row>
    <row r="5142" spans="1:5">
      <c r="A5142" s="11">
        <v>42782</v>
      </c>
      <c r="B5142" s="10" t="s">
        <v>10637</v>
      </c>
      <c r="C5142" s="10" t="s">
        <v>10638</v>
      </c>
      <c r="D5142" s="11">
        <v>42782.625474537039</v>
      </c>
      <c r="E5142" s="10" t="s">
        <v>2995</v>
      </c>
    </row>
    <row r="5143" spans="1:5">
      <c r="A5143" s="11">
        <v>42782</v>
      </c>
      <c r="B5143" s="10" t="s">
        <v>10639</v>
      </c>
      <c r="C5143" s="10" t="s">
        <v>10640</v>
      </c>
      <c r="D5143" s="11">
        <v>42782.626423611109</v>
      </c>
      <c r="E5143" s="10" t="s">
        <v>656</v>
      </c>
    </row>
    <row r="5144" spans="1:5">
      <c r="A5144" s="11">
        <v>42782</v>
      </c>
      <c r="B5144" s="10" t="s">
        <v>10641</v>
      </c>
      <c r="C5144" s="10" t="s">
        <v>10642</v>
      </c>
      <c r="D5144" s="11">
        <v>42782.626435185186</v>
      </c>
      <c r="E5144" s="10" t="s">
        <v>2180</v>
      </c>
    </row>
    <row r="5145" spans="1:5">
      <c r="A5145" s="11">
        <v>42782</v>
      </c>
      <c r="B5145" s="10" t="s">
        <v>10643</v>
      </c>
      <c r="C5145" s="10" t="s">
        <v>10644</v>
      </c>
      <c r="D5145" s="11">
        <v>42782.593819444446</v>
      </c>
      <c r="E5145" s="10" t="s">
        <v>4898</v>
      </c>
    </row>
    <row r="5146" spans="1:5">
      <c r="A5146" s="11">
        <v>42782</v>
      </c>
      <c r="B5146" s="10" t="s">
        <v>10645</v>
      </c>
      <c r="C5146" s="10" t="s">
        <v>10646</v>
      </c>
      <c r="D5146" s="11">
        <v>42782.694780092592</v>
      </c>
      <c r="E5146" s="10" t="s">
        <v>152</v>
      </c>
    </row>
    <row r="5147" spans="1:5">
      <c r="A5147" s="11">
        <v>42782</v>
      </c>
      <c r="B5147" s="10" t="s">
        <v>10647</v>
      </c>
      <c r="C5147" s="10" t="s">
        <v>10648</v>
      </c>
      <c r="D5147" s="11">
        <v>42782.625104166669</v>
      </c>
      <c r="E5147" s="10" t="s">
        <v>96</v>
      </c>
    </row>
    <row r="5148" spans="1:5">
      <c r="A5148" s="11">
        <v>42782</v>
      </c>
      <c r="B5148" s="10" t="s">
        <v>10649</v>
      </c>
      <c r="C5148" s="10" t="s">
        <v>10650</v>
      </c>
      <c r="D5148" s="11">
        <v>42782.62190972222</v>
      </c>
      <c r="E5148" s="10" t="s">
        <v>902</v>
      </c>
    </row>
    <row r="5149" spans="1:5">
      <c r="A5149" s="11">
        <v>42782</v>
      </c>
      <c r="B5149" s="10" t="s">
        <v>10651</v>
      </c>
      <c r="C5149" s="10" t="s">
        <v>10652</v>
      </c>
      <c r="D5149" s="11">
        <v>42782.611585648148</v>
      </c>
      <c r="E5149" s="10" t="s">
        <v>10094</v>
      </c>
    </row>
    <row r="5150" spans="1:5">
      <c r="A5150" s="11">
        <v>42782</v>
      </c>
      <c r="B5150" s="10" t="s">
        <v>10653</v>
      </c>
      <c r="C5150" s="10" t="s">
        <v>10654</v>
      </c>
      <c r="D5150" s="11">
        <v>42782.625231481485</v>
      </c>
      <c r="E5150" s="10" t="s">
        <v>96</v>
      </c>
    </row>
    <row r="5151" spans="1:5">
      <c r="A5151" s="11">
        <v>42782</v>
      </c>
      <c r="B5151" s="10" t="s">
        <v>10655</v>
      </c>
      <c r="C5151" s="10" t="s">
        <v>10656</v>
      </c>
      <c r="D5151" s="11">
        <v>42782.621319444443</v>
      </c>
      <c r="E5151" s="10" t="s">
        <v>6712</v>
      </c>
    </row>
    <row r="5152" spans="1:5">
      <c r="A5152" s="11">
        <v>42782</v>
      </c>
      <c r="B5152" s="10" t="s">
        <v>10657</v>
      </c>
      <c r="C5152" s="10" t="s">
        <v>10658</v>
      </c>
      <c r="D5152" s="11">
        <v>42782.607685185183</v>
      </c>
      <c r="E5152" s="10" t="s">
        <v>215</v>
      </c>
    </row>
    <row r="5153" spans="1:5">
      <c r="A5153" s="11">
        <v>42782</v>
      </c>
      <c r="B5153" s="10" t="s">
        <v>10659</v>
      </c>
      <c r="C5153" s="10" t="s">
        <v>10660</v>
      </c>
      <c r="D5153" s="11">
        <v>42782.619247685187</v>
      </c>
      <c r="E5153" s="10" t="s">
        <v>193</v>
      </c>
    </row>
    <row r="5154" spans="1:5" ht="21.6">
      <c r="A5154" s="11">
        <v>42782</v>
      </c>
      <c r="B5154" s="10" t="s">
        <v>10661</v>
      </c>
      <c r="C5154" s="10" t="s">
        <v>10662</v>
      </c>
      <c r="D5154" s="11">
        <v>42782.607812499999</v>
      </c>
      <c r="E5154" s="10" t="s">
        <v>966</v>
      </c>
    </row>
    <row r="5155" spans="1:5">
      <c r="A5155" s="11">
        <v>42782</v>
      </c>
      <c r="B5155" s="10" t="s">
        <v>10663</v>
      </c>
      <c r="C5155" s="10" t="s">
        <v>10664</v>
      </c>
      <c r="D5155" s="11">
        <v>42782.610543981478</v>
      </c>
      <c r="E5155" s="10" t="s">
        <v>2180</v>
      </c>
    </row>
    <row r="5156" spans="1:5">
      <c r="A5156" s="11">
        <v>42782</v>
      </c>
      <c r="B5156" s="10" t="s">
        <v>10665</v>
      </c>
      <c r="C5156" s="10" t="s">
        <v>10666</v>
      </c>
      <c r="D5156" s="11">
        <v>42782.624305555553</v>
      </c>
      <c r="E5156" s="10" t="s">
        <v>193</v>
      </c>
    </row>
    <row r="5157" spans="1:5">
      <c r="A5157" s="11">
        <v>42782</v>
      </c>
      <c r="B5157" s="10" t="s">
        <v>10667</v>
      </c>
      <c r="C5157" s="10" t="s">
        <v>10668</v>
      </c>
      <c r="D5157" s="11">
        <v>42782.623217592591</v>
      </c>
      <c r="E5157" s="10" t="s">
        <v>193</v>
      </c>
    </row>
    <row r="5158" spans="1:5">
      <c r="A5158" s="11">
        <v>42782</v>
      </c>
      <c r="B5158" s="10" t="s">
        <v>10669</v>
      </c>
      <c r="C5158" s="10" t="s">
        <v>10670</v>
      </c>
      <c r="D5158" s="11">
        <v>42782.639745370368</v>
      </c>
      <c r="E5158" s="10" t="s">
        <v>2912</v>
      </c>
    </row>
    <row r="5159" spans="1:5">
      <c r="A5159" s="11">
        <v>42782</v>
      </c>
      <c r="B5159" s="10" t="s">
        <v>10671</v>
      </c>
      <c r="C5159" s="10" t="s">
        <v>10672</v>
      </c>
      <c r="D5159" s="11">
        <v>42782.600532407407</v>
      </c>
      <c r="E5159" s="10" t="s">
        <v>320</v>
      </c>
    </row>
    <row r="5160" spans="1:5">
      <c r="A5160" s="11">
        <v>42782</v>
      </c>
      <c r="B5160" s="10" t="s">
        <v>10673</v>
      </c>
      <c r="C5160" s="10" t="s">
        <v>10674</v>
      </c>
      <c r="D5160" s="11">
        <v>42782.622997685183</v>
      </c>
      <c r="E5160" s="10" t="s">
        <v>707</v>
      </c>
    </row>
    <row r="5161" spans="1:5">
      <c r="A5161" s="11">
        <v>42782</v>
      </c>
      <c r="B5161" s="10" t="s">
        <v>10675</v>
      </c>
      <c r="C5161" s="10" t="s">
        <v>10676</v>
      </c>
      <c r="D5161" s="11">
        <v>42782.638599537036</v>
      </c>
      <c r="E5161" s="10" t="s">
        <v>1319</v>
      </c>
    </row>
    <row r="5162" spans="1:5">
      <c r="A5162" s="11">
        <v>42782</v>
      </c>
      <c r="B5162" s="10" t="s">
        <v>10677</v>
      </c>
      <c r="C5162" s="10" t="s">
        <v>10678</v>
      </c>
      <c r="D5162" s="11">
        <v>42782.696412037039</v>
      </c>
      <c r="E5162" s="10" t="s">
        <v>193</v>
      </c>
    </row>
    <row r="5163" spans="1:5">
      <c r="A5163" s="11">
        <v>42782</v>
      </c>
      <c r="B5163" s="10" t="s">
        <v>10679</v>
      </c>
      <c r="C5163" s="10" t="s">
        <v>10680</v>
      </c>
      <c r="D5163" s="11">
        <v>42782.631851851853</v>
      </c>
      <c r="E5163" s="10" t="s">
        <v>625</v>
      </c>
    </row>
    <row r="5164" spans="1:5">
      <c r="A5164" s="11">
        <v>42782</v>
      </c>
      <c r="B5164" s="10" t="s">
        <v>10681</v>
      </c>
      <c r="C5164" s="10" t="s">
        <v>10682</v>
      </c>
      <c r="D5164" s="11">
        <v>42782.623171296298</v>
      </c>
      <c r="E5164" s="10" t="s">
        <v>2144</v>
      </c>
    </row>
    <row r="5165" spans="1:5">
      <c r="A5165" s="11">
        <v>42782</v>
      </c>
      <c r="B5165" s="10" t="s">
        <v>10683</v>
      </c>
      <c r="C5165" s="10" t="s">
        <v>10684</v>
      </c>
      <c r="D5165" s="11">
        <v>42782.624895833331</v>
      </c>
      <c r="E5165" s="10" t="s">
        <v>373</v>
      </c>
    </row>
    <row r="5166" spans="1:5">
      <c r="A5166" s="11">
        <v>42782</v>
      </c>
      <c r="B5166" s="10" t="s">
        <v>10685</v>
      </c>
      <c r="C5166" s="10" t="s">
        <v>10686</v>
      </c>
      <c r="D5166" s="11">
        <v>42782.590358796297</v>
      </c>
      <c r="E5166" s="10" t="s">
        <v>193</v>
      </c>
    </row>
    <row r="5167" spans="1:5">
      <c r="A5167" s="11">
        <v>42782</v>
      </c>
      <c r="B5167" s="10" t="s">
        <v>10687</v>
      </c>
      <c r="C5167" s="10" t="s">
        <v>10688</v>
      </c>
      <c r="D5167" s="11">
        <v>42782.624050925922</v>
      </c>
      <c r="E5167" s="10" t="s">
        <v>4865</v>
      </c>
    </row>
    <row r="5168" spans="1:5">
      <c r="A5168" s="11">
        <v>42782</v>
      </c>
      <c r="B5168" s="10" t="s">
        <v>10689</v>
      </c>
      <c r="C5168" s="10" t="s">
        <v>10690</v>
      </c>
      <c r="D5168" s="11">
        <v>42782.658020833333</v>
      </c>
      <c r="E5168" s="10" t="s">
        <v>433</v>
      </c>
    </row>
    <row r="5169" spans="1:5">
      <c r="A5169" s="11">
        <v>42782</v>
      </c>
      <c r="B5169" s="10" t="s">
        <v>10691</v>
      </c>
      <c r="C5169" s="10" t="s">
        <v>10692</v>
      </c>
      <c r="D5169" s="11">
        <v>42782.627534722225</v>
      </c>
      <c r="E5169" s="10" t="s">
        <v>1092</v>
      </c>
    </row>
    <row r="5170" spans="1:5">
      <c r="A5170" s="11">
        <v>42782</v>
      </c>
      <c r="B5170" s="10" t="s">
        <v>10693</v>
      </c>
      <c r="C5170" s="10" t="s">
        <v>10694</v>
      </c>
      <c r="D5170" s="11">
        <v>42782.616087962961</v>
      </c>
      <c r="E5170" s="10" t="s">
        <v>308</v>
      </c>
    </row>
    <row r="5171" spans="1:5">
      <c r="A5171" s="11">
        <v>42782</v>
      </c>
      <c r="B5171" s="10" t="s">
        <v>10695</v>
      </c>
      <c r="C5171" s="10" t="s">
        <v>10696</v>
      </c>
      <c r="D5171" s="11">
        <v>42782.627662037034</v>
      </c>
      <c r="E5171" s="10" t="s">
        <v>2515</v>
      </c>
    </row>
    <row r="5172" spans="1:5">
      <c r="A5172" s="11">
        <v>42782</v>
      </c>
      <c r="B5172" s="10" t="s">
        <v>10697</v>
      </c>
      <c r="C5172" s="10" t="s">
        <v>10698</v>
      </c>
      <c r="D5172" s="11">
        <v>42782.627696759257</v>
      </c>
      <c r="E5172" s="10" t="s">
        <v>2183</v>
      </c>
    </row>
    <row r="5173" spans="1:5">
      <c r="A5173" s="11">
        <v>42782</v>
      </c>
      <c r="B5173" s="10" t="s">
        <v>10699</v>
      </c>
      <c r="C5173" s="10" t="s">
        <v>10700</v>
      </c>
      <c r="D5173" s="11">
        <v>42782.617962962962</v>
      </c>
      <c r="E5173" s="10" t="s">
        <v>433</v>
      </c>
    </row>
    <row r="5174" spans="1:5">
      <c r="A5174" s="11">
        <v>42782</v>
      </c>
      <c r="B5174" s="10" t="s">
        <v>10701</v>
      </c>
      <c r="C5174" s="10" t="s">
        <v>10702</v>
      </c>
      <c r="D5174" s="11">
        <v>42782.606342592589</v>
      </c>
      <c r="E5174" s="10" t="s">
        <v>707</v>
      </c>
    </row>
    <row r="5175" spans="1:5">
      <c r="A5175" s="11">
        <v>42782</v>
      </c>
      <c r="B5175" s="10" t="s">
        <v>10703</v>
      </c>
      <c r="C5175" s="10" t="s">
        <v>10704</v>
      </c>
      <c r="D5175" s="11">
        <v>42782.62777777778</v>
      </c>
      <c r="E5175" s="10" t="s">
        <v>218</v>
      </c>
    </row>
    <row r="5176" spans="1:5">
      <c r="A5176" s="11">
        <v>42782</v>
      </c>
      <c r="B5176" s="10" t="s">
        <v>10705</v>
      </c>
      <c r="C5176" s="10" t="s">
        <v>10706</v>
      </c>
      <c r="D5176" s="11">
        <v>42782.628159722219</v>
      </c>
      <c r="E5176" s="10" t="s">
        <v>178</v>
      </c>
    </row>
    <row r="5177" spans="1:5">
      <c r="A5177" s="11">
        <v>42782</v>
      </c>
      <c r="B5177" s="10" t="s">
        <v>10707</v>
      </c>
      <c r="C5177" s="10" t="s">
        <v>10708</v>
      </c>
      <c r="D5177" s="11">
        <v>42782.629965277774</v>
      </c>
      <c r="E5177" s="10" t="s">
        <v>122</v>
      </c>
    </row>
    <row r="5178" spans="1:5">
      <c r="A5178" s="11">
        <v>42782</v>
      </c>
      <c r="B5178" s="10" t="s">
        <v>10709</v>
      </c>
      <c r="C5178" s="10" t="s">
        <v>10710</v>
      </c>
      <c r="D5178" s="11">
        <v>42782.628599537034</v>
      </c>
      <c r="E5178" s="10" t="s">
        <v>433</v>
      </c>
    </row>
    <row r="5179" spans="1:5">
      <c r="A5179" s="11">
        <v>42782</v>
      </c>
      <c r="B5179" s="10" t="s">
        <v>10711</v>
      </c>
      <c r="C5179" s="10" t="s">
        <v>10712</v>
      </c>
      <c r="D5179" s="11">
        <v>42782.630960648145</v>
      </c>
      <c r="E5179" s="10" t="s">
        <v>240</v>
      </c>
    </row>
    <row r="5180" spans="1:5">
      <c r="A5180" s="11">
        <v>42782</v>
      </c>
      <c r="B5180" s="10" t="s">
        <v>10713</v>
      </c>
      <c r="C5180" s="10" t="s">
        <v>10714</v>
      </c>
      <c r="D5180" s="11">
        <v>42782.629606481481</v>
      </c>
      <c r="E5180" s="10" t="s">
        <v>193</v>
      </c>
    </row>
    <row r="5181" spans="1:5">
      <c r="A5181" s="11">
        <v>42782</v>
      </c>
      <c r="B5181" s="10" t="s">
        <v>10715</v>
      </c>
      <c r="C5181" s="10" t="s">
        <v>10716</v>
      </c>
      <c r="D5181" s="11">
        <v>42782.630069444444</v>
      </c>
      <c r="E5181" s="10" t="s">
        <v>96</v>
      </c>
    </row>
    <row r="5182" spans="1:5">
      <c r="A5182" s="11">
        <v>42782</v>
      </c>
      <c r="B5182" s="10" t="s">
        <v>10717</v>
      </c>
      <c r="C5182" s="10" t="s">
        <v>10718</v>
      </c>
      <c r="D5182" s="11">
        <v>42782.631851851853</v>
      </c>
      <c r="E5182" s="10" t="s">
        <v>240</v>
      </c>
    </row>
    <row r="5183" spans="1:5">
      <c r="A5183" s="11">
        <v>42782</v>
      </c>
      <c r="B5183" s="10" t="s">
        <v>10719</v>
      </c>
      <c r="C5183" s="10" t="s">
        <v>10720</v>
      </c>
      <c r="D5183" s="11">
        <v>42782.628912037035</v>
      </c>
      <c r="E5183" s="10" t="s">
        <v>96</v>
      </c>
    </row>
    <row r="5184" spans="1:5">
      <c r="A5184" s="11">
        <v>42782</v>
      </c>
      <c r="B5184" s="10" t="s">
        <v>10721</v>
      </c>
      <c r="C5184" s="10" t="s">
        <v>10722</v>
      </c>
      <c r="D5184" s="11">
        <v>42782.6330787037</v>
      </c>
      <c r="E5184" s="10" t="s">
        <v>152</v>
      </c>
    </row>
    <row r="5185" spans="1:5">
      <c r="A5185" s="11">
        <v>42782</v>
      </c>
      <c r="B5185" s="10" t="s">
        <v>10723</v>
      </c>
      <c r="C5185" s="10" t="s">
        <v>10724</v>
      </c>
      <c r="D5185" s="11">
        <v>42782.630347222221</v>
      </c>
      <c r="E5185" s="10" t="s">
        <v>152</v>
      </c>
    </row>
    <row r="5186" spans="1:5">
      <c r="A5186" s="11">
        <v>42782</v>
      </c>
      <c r="B5186" s="10" t="s">
        <v>10725</v>
      </c>
      <c r="C5186" s="10" t="s">
        <v>10726</v>
      </c>
      <c r="D5186" s="11">
        <v>42782.633171296293</v>
      </c>
      <c r="E5186" s="10" t="s">
        <v>237</v>
      </c>
    </row>
    <row r="5187" spans="1:5">
      <c r="A5187" s="11">
        <v>42782</v>
      </c>
      <c r="B5187" s="10" t="s">
        <v>10727</v>
      </c>
      <c r="C5187" s="10" t="s">
        <v>10728</v>
      </c>
      <c r="D5187" s="11">
        <v>42782.633171296293</v>
      </c>
      <c r="E5187" s="10" t="s">
        <v>193</v>
      </c>
    </row>
    <row r="5188" spans="1:5">
      <c r="A5188" s="11">
        <v>42782</v>
      </c>
      <c r="B5188" s="10" t="s">
        <v>10729</v>
      </c>
      <c r="C5188" s="10" t="s">
        <v>10730</v>
      </c>
      <c r="D5188" s="11">
        <v>42782.633449074077</v>
      </c>
      <c r="E5188" s="10" t="s">
        <v>152</v>
      </c>
    </row>
    <row r="5189" spans="1:5">
      <c r="A5189" s="11">
        <v>42782</v>
      </c>
      <c r="B5189" s="10" t="s">
        <v>10731</v>
      </c>
      <c r="C5189" s="10" t="s">
        <v>10732</v>
      </c>
      <c r="D5189" s="11">
        <v>42782.633738425924</v>
      </c>
      <c r="E5189" s="10" t="s">
        <v>414</v>
      </c>
    </row>
    <row r="5190" spans="1:5">
      <c r="A5190" s="11">
        <v>42782</v>
      </c>
      <c r="B5190" s="10" t="s">
        <v>10733</v>
      </c>
      <c r="C5190" s="10" t="s">
        <v>10734</v>
      </c>
      <c r="D5190" s="11">
        <v>42782.630057870374</v>
      </c>
      <c r="E5190" s="10" t="s">
        <v>966</v>
      </c>
    </row>
    <row r="5191" spans="1:5">
      <c r="A5191" s="11">
        <v>42782</v>
      </c>
      <c r="B5191" s="10" t="s">
        <v>10735</v>
      </c>
      <c r="C5191" s="10" t="s">
        <v>10736</v>
      </c>
      <c r="D5191" s="11">
        <v>42782.633912037039</v>
      </c>
      <c r="E5191" s="10" t="s">
        <v>152</v>
      </c>
    </row>
    <row r="5192" spans="1:5">
      <c r="A5192" s="11">
        <v>42782</v>
      </c>
      <c r="B5192" s="10" t="s">
        <v>10737</v>
      </c>
      <c r="C5192" s="10" t="s">
        <v>10738</v>
      </c>
      <c r="D5192" s="11">
        <v>42782.707604166666</v>
      </c>
      <c r="E5192" s="10" t="s">
        <v>422</v>
      </c>
    </row>
    <row r="5193" spans="1:5">
      <c r="A5193" s="11">
        <v>42782</v>
      </c>
      <c r="B5193" s="10" t="s">
        <v>10739</v>
      </c>
      <c r="C5193" s="10" t="s">
        <v>10740</v>
      </c>
      <c r="D5193" s="11">
        <v>42782.63548611111</v>
      </c>
      <c r="E5193" s="10" t="s">
        <v>240</v>
      </c>
    </row>
    <row r="5194" spans="1:5">
      <c r="A5194" s="11">
        <v>42782</v>
      </c>
      <c r="B5194" s="10" t="s">
        <v>10741</v>
      </c>
      <c r="C5194" s="10" t="s">
        <v>10742</v>
      </c>
      <c r="D5194" s="11">
        <v>42782.635555555556</v>
      </c>
      <c r="E5194" s="10" t="s">
        <v>218</v>
      </c>
    </row>
    <row r="5195" spans="1:5">
      <c r="A5195" s="11">
        <v>42782</v>
      </c>
      <c r="B5195" s="10" t="s">
        <v>10743</v>
      </c>
      <c r="C5195" s="10" t="s">
        <v>10744</v>
      </c>
      <c r="D5195" s="11">
        <v>42782.635914351849</v>
      </c>
      <c r="E5195" s="10" t="s">
        <v>122</v>
      </c>
    </row>
    <row r="5196" spans="1:5">
      <c r="A5196" s="11">
        <v>42782</v>
      </c>
      <c r="B5196" s="10" t="s">
        <v>10745</v>
      </c>
      <c r="C5196" s="10" t="s">
        <v>10746</v>
      </c>
      <c r="D5196" s="11">
        <v>42782.63082175926</v>
      </c>
      <c r="E5196" s="10" t="s">
        <v>193</v>
      </c>
    </row>
    <row r="5197" spans="1:5">
      <c r="A5197" s="11">
        <v>42782</v>
      </c>
      <c r="B5197" s="10" t="s">
        <v>10747</v>
      </c>
      <c r="C5197" s="10" t="s">
        <v>10748</v>
      </c>
      <c r="D5197" s="11">
        <v>42782.634120370371</v>
      </c>
      <c r="E5197" s="10" t="s">
        <v>422</v>
      </c>
    </row>
    <row r="5198" spans="1:5">
      <c r="A5198" s="11">
        <v>42782</v>
      </c>
      <c r="B5198" s="10" t="s">
        <v>10749</v>
      </c>
      <c r="C5198" s="10" t="s">
        <v>10750</v>
      </c>
      <c r="D5198" s="11">
        <v>42782.632384259261</v>
      </c>
      <c r="E5198" s="10" t="s">
        <v>433</v>
      </c>
    </row>
    <row r="5199" spans="1:5">
      <c r="A5199" s="11">
        <v>42782</v>
      </c>
      <c r="B5199" s="10" t="s">
        <v>10751</v>
      </c>
      <c r="C5199" s="10" t="s">
        <v>10752</v>
      </c>
      <c r="D5199" s="11">
        <v>42782.636620370373</v>
      </c>
      <c r="E5199" s="10" t="s">
        <v>4865</v>
      </c>
    </row>
    <row r="5200" spans="1:5">
      <c r="A5200" s="11">
        <v>42782</v>
      </c>
      <c r="B5200" s="10" t="s">
        <v>10753</v>
      </c>
      <c r="C5200" s="10" t="s">
        <v>10754</v>
      </c>
      <c r="D5200" s="11">
        <v>42782.627905092595</v>
      </c>
      <c r="E5200" s="10" t="s">
        <v>902</v>
      </c>
    </row>
    <row r="5201" spans="1:5">
      <c r="A5201" s="11">
        <v>42782</v>
      </c>
      <c r="B5201" s="10" t="s">
        <v>10755</v>
      </c>
      <c r="C5201" s="10" t="s">
        <v>10756</v>
      </c>
      <c r="D5201" s="11">
        <v>42782.637384259258</v>
      </c>
      <c r="E5201" s="10" t="s">
        <v>152</v>
      </c>
    </row>
    <row r="5202" spans="1:5">
      <c r="A5202" s="11">
        <v>42782</v>
      </c>
      <c r="B5202" s="10" t="s">
        <v>10757</v>
      </c>
      <c r="C5202" s="10" t="s">
        <v>10758</v>
      </c>
      <c r="D5202" s="11">
        <v>42782.637465277781</v>
      </c>
      <c r="E5202" s="10" t="s">
        <v>152</v>
      </c>
    </row>
    <row r="5203" spans="1:5">
      <c r="A5203" s="11">
        <v>42782</v>
      </c>
      <c r="B5203" s="10" t="s">
        <v>10759</v>
      </c>
      <c r="C5203" s="10" t="s">
        <v>10760</v>
      </c>
      <c r="D5203" s="11">
        <v>42782.637546296297</v>
      </c>
      <c r="E5203" s="10" t="s">
        <v>433</v>
      </c>
    </row>
    <row r="5204" spans="1:5">
      <c r="A5204" s="11">
        <v>42782</v>
      </c>
      <c r="B5204" s="10" t="s">
        <v>10761</v>
      </c>
      <c r="C5204" s="10" t="s">
        <v>10762</v>
      </c>
      <c r="D5204" s="11">
        <v>42782.637604166666</v>
      </c>
      <c r="E5204" s="10" t="s">
        <v>152</v>
      </c>
    </row>
    <row r="5205" spans="1:5">
      <c r="A5205" s="11">
        <v>42782</v>
      </c>
      <c r="B5205" s="10" t="s">
        <v>10763</v>
      </c>
      <c r="C5205" s="10" t="s">
        <v>10764</v>
      </c>
      <c r="D5205" s="11">
        <v>42782.62835648148</v>
      </c>
      <c r="E5205" s="10" t="s">
        <v>96</v>
      </c>
    </row>
    <row r="5206" spans="1:5">
      <c r="A5206" s="11">
        <v>42782</v>
      </c>
      <c r="B5206" s="10" t="s">
        <v>10765</v>
      </c>
      <c r="C5206" s="10" t="s">
        <v>10766</v>
      </c>
      <c r="D5206" s="11">
        <v>42782.632696759261</v>
      </c>
      <c r="E5206" s="10" t="s">
        <v>96</v>
      </c>
    </row>
    <row r="5207" spans="1:5">
      <c r="A5207" s="11">
        <v>42782</v>
      </c>
      <c r="B5207" s="10" t="s">
        <v>10767</v>
      </c>
      <c r="C5207" s="10" t="s">
        <v>10768</v>
      </c>
      <c r="D5207" s="11">
        <v>42782.637731481482</v>
      </c>
      <c r="E5207" s="10" t="s">
        <v>433</v>
      </c>
    </row>
    <row r="5208" spans="1:5">
      <c r="A5208" s="11">
        <v>42782</v>
      </c>
      <c r="B5208" s="10" t="s">
        <v>10769</v>
      </c>
      <c r="C5208" s="10" t="s">
        <v>10770</v>
      </c>
      <c r="D5208" s="11">
        <v>42782.633784722224</v>
      </c>
      <c r="E5208" s="10" t="s">
        <v>152</v>
      </c>
    </row>
    <row r="5209" spans="1:5">
      <c r="A5209" s="11">
        <v>42782</v>
      </c>
      <c r="B5209" s="10" t="s">
        <v>10771</v>
      </c>
      <c r="C5209" s="10" t="s">
        <v>10772</v>
      </c>
      <c r="D5209" s="11">
        <v>42782.636631944442</v>
      </c>
      <c r="E5209" s="10" t="s">
        <v>4004</v>
      </c>
    </row>
    <row r="5210" spans="1:5">
      <c r="A5210" s="11">
        <v>42782</v>
      </c>
      <c r="B5210" s="10" t="s">
        <v>10773</v>
      </c>
      <c r="C5210" s="10" t="s">
        <v>10774</v>
      </c>
      <c r="D5210" s="11">
        <v>42782.62877314815</v>
      </c>
      <c r="E5210" s="10" t="s">
        <v>240</v>
      </c>
    </row>
    <row r="5211" spans="1:5">
      <c r="A5211" s="11">
        <v>42782</v>
      </c>
      <c r="B5211" s="10" t="s">
        <v>10775</v>
      </c>
      <c r="C5211" s="10" t="s">
        <v>10776</v>
      </c>
      <c r="D5211" s="11">
        <v>42782.631064814814</v>
      </c>
      <c r="E5211" s="10" t="s">
        <v>6712</v>
      </c>
    </row>
    <row r="5212" spans="1:5">
      <c r="A5212" s="11">
        <v>42782</v>
      </c>
      <c r="B5212" s="10" t="s">
        <v>10777</v>
      </c>
      <c r="C5212" s="10" t="s">
        <v>10778</v>
      </c>
      <c r="D5212" s="11">
        <v>42782.638680555552</v>
      </c>
      <c r="E5212" s="10" t="s">
        <v>1867</v>
      </c>
    </row>
    <row r="5213" spans="1:5">
      <c r="A5213" s="11">
        <v>42782</v>
      </c>
      <c r="B5213" s="10" t="s">
        <v>10779</v>
      </c>
      <c r="C5213" s="10" t="s">
        <v>10780</v>
      </c>
      <c r="D5213" s="11">
        <v>42782.638761574075</v>
      </c>
      <c r="E5213" s="10" t="s">
        <v>5026</v>
      </c>
    </row>
    <row r="5214" spans="1:5">
      <c r="A5214" s="11">
        <v>42782</v>
      </c>
      <c r="B5214" s="10" t="s">
        <v>10781</v>
      </c>
      <c r="C5214" s="10" t="s">
        <v>10782</v>
      </c>
      <c r="D5214" s="11">
        <v>42782.638773148145</v>
      </c>
      <c r="E5214" s="10" t="s">
        <v>4865</v>
      </c>
    </row>
    <row r="5215" spans="1:5">
      <c r="A5215" s="11">
        <v>42782</v>
      </c>
      <c r="B5215" s="10" t="s">
        <v>10783</v>
      </c>
      <c r="C5215" s="10" t="s">
        <v>10784</v>
      </c>
      <c r="D5215" s="11">
        <v>42782.62871527778</v>
      </c>
      <c r="E5215" s="10" t="s">
        <v>193</v>
      </c>
    </row>
    <row r="5216" spans="1:5">
      <c r="A5216" s="11">
        <v>42782</v>
      </c>
      <c r="B5216" s="10" t="s">
        <v>10785</v>
      </c>
      <c r="C5216" s="10" t="s">
        <v>10786</v>
      </c>
      <c r="D5216" s="11">
        <v>42782.639479166668</v>
      </c>
      <c r="E5216" s="10" t="s">
        <v>320</v>
      </c>
    </row>
    <row r="5217" spans="1:5">
      <c r="A5217" s="11">
        <v>42782</v>
      </c>
      <c r="B5217" s="10" t="s">
        <v>10787</v>
      </c>
      <c r="C5217" s="10" t="s">
        <v>10788</v>
      </c>
      <c r="D5217" s="11">
        <v>42782.630497685182</v>
      </c>
      <c r="E5217" s="10" t="s">
        <v>6712</v>
      </c>
    </row>
    <row r="5218" spans="1:5">
      <c r="A5218" s="11">
        <v>42782</v>
      </c>
      <c r="B5218" s="10" t="s">
        <v>10789</v>
      </c>
      <c r="C5218" s="10" t="s">
        <v>10790</v>
      </c>
      <c r="D5218" s="11">
        <v>42782.634756944448</v>
      </c>
      <c r="E5218" s="10" t="s">
        <v>707</v>
      </c>
    </row>
    <row r="5219" spans="1:5">
      <c r="A5219" s="11">
        <v>42782</v>
      </c>
      <c r="B5219" s="10" t="s">
        <v>10791</v>
      </c>
      <c r="C5219" s="10" t="s">
        <v>10792</v>
      </c>
      <c r="D5219" s="11">
        <v>42782.639884259261</v>
      </c>
      <c r="E5219" s="10" t="s">
        <v>237</v>
      </c>
    </row>
    <row r="5220" spans="1:5">
      <c r="A5220" s="11">
        <v>42782</v>
      </c>
      <c r="B5220" s="10" t="s">
        <v>10793</v>
      </c>
      <c r="C5220" s="10" t="s">
        <v>10794</v>
      </c>
      <c r="D5220" s="11">
        <v>42782.6403125</v>
      </c>
      <c r="E5220" s="10" t="s">
        <v>237</v>
      </c>
    </row>
    <row r="5221" spans="1:5">
      <c r="A5221" s="11">
        <v>42782</v>
      </c>
      <c r="B5221" s="10" t="s">
        <v>10795</v>
      </c>
      <c r="C5221" s="10" t="s">
        <v>10796</v>
      </c>
      <c r="D5221" s="11">
        <v>42782.633310185185</v>
      </c>
      <c r="E5221" s="10" t="s">
        <v>320</v>
      </c>
    </row>
    <row r="5222" spans="1:5">
      <c r="A5222" s="11">
        <v>42782</v>
      </c>
      <c r="B5222" s="10" t="s">
        <v>10797</v>
      </c>
      <c r="C5222" s="10" t="s">
        <v>10798</v>
      </c>
      <c r="D5222" s="11">
        <v>42782.640879629631</v>
      </c>
      <c r="E5222" s="10" t="s">
        <v>237</v>
      </c>
    </row>
    <row r="5223" spans="1:5">
      <c r="A5223" s="11">
        <v>42782</v>
      </c>
      <c r="B5223" s="10" t="s">
        <v>10799</v>
      </c>
      <c r="C5223" s="10" t="s">
        <v>10800</v>
      </c>
      <c r="D5223" s="11">
        <v>42782.685219907406</v>
      </c>
      <c r="E5223" s="10" t="s">
        <v>308</v>
      </c>
    </row>
    <row r="5224" spans="1:5">
      <c r="A5224" s="11">
        <v>42782</v>
      </c>
      <c r="B5224" s="10" t="s">
        <v>10801</v>
      </c>
      <c r="C5224" s="10" t="s">
        <v>10802</v>
      </c>
      <c r="D5224" s="11">
        <v>42782.630590277775</v>
      </c>
      <c r="E5224" s="10" t="s">
        <v>320</v>
      </c>
    </row>
    <row r="5225" spans="1:5">
      <c r="A5225" s="11">
        <v>42782</v>
      </c>
      <c r="B5225" s="10" t="s">
        <v>10803</v>
      </c>
      <c r="C5225" s="10" t="s">
        <v>10804</v>
      </c>
      <c r="D5225" s="11">
        <v>42782.641655092593</v>
      </c>
      <c r="E5225" s="10" t="s">
        <v>122</v>
      </c>
    </row>
    <row r="5226" spans="1:5">
      <c r="A5226" s="11">
        <v>42782</v>
      </c>
      <c r="B5226" s="10" t="s">
        <v>10805</v>
      </c>
      <c r="C5226" s="10" t="s">
        <v>10806</v>
      </c>
      <c r="D5226" s="11">
        <v>42782.641747685186</v>
      </c>
      <c r="E5226" s="10" t="s">
        <v>122</v>
      </c>
    </row>
    <row r="5227" spans="1:5">
      <c r="A5227" s="11">
        <v>42782</v>
      </c>
      <c r="B5227" s="10" t="s">
        <v>10807</v>
      </c>
      <c r="C5227" s="10" t="s">
        <v>10808</v>
      </c>
      <c r="D5227" s="11">
        <v>42782.628379629627</v>
      </c>
      <c r="E5227" s="10" t="s">
        <v>707</v>
      </c>
    </row>
    <row r="5228" spans="1:5">
      <c r="A5228" s="11">
        <v>42782</v>
      </c>
      <c r="B5228" s="10" t="s">
        <v>10809</v>
      </c>
      <c r="C5228" s="10" t="s">
        <v>10810</v>
      </c>
      <c r="D5228" s="11">
        <v>42782.642361111109</v>
      </c>
      <c r="E5228" s="10" t="s">
        <v>193</v>
      </c>
    </row>
    <row r="5229" spans="1:5">
      <c r="A5229" s="11">
        <v>42782</v>
      </c>
      <c r="B5229" s="10" t="s">
        <v>10811</v>
      </c>
      <c r="C5229" s="10" t="s">
        <v>10812</v>
      </c>
      <c r="D5229" s="11">
        <v>42782.638680555552</v>
      </c>
      <c r="E5229" s="10" t="s">
        <v>433</v>
      </c>
    </row>
    <row r="5230" spans="1:5">
      <c r="A5230" s="11">
        <v>42782</v>
      </c>
      <c r="B5230" s="10" t="s">
        <v>10813</v>
      </c>
      <c r="C5230" s="10" t="s">
        <v>10814</v>
      </c>
      <c r="D5230" s="11">
        <v>42782.642442129632</v>
      </c>
      <c r="E5230" s="10" t="s">
        <v>193</v>
      </c>
    </row>
    <row r="5231" spans="1:5">
      <c r="A5231" s="11">
        <v>42782</v>
      </c>
      <c r="B5231" s="10" t="s">
        <v>10815</v>
      </c>
      <c r="C5231" s="10" t="s">
        <v>10816</v>
      </c>
      <c r="D5231" s="11">
        <v>42782.642326388886</v>
      </c>
      <c r="E5231" s="10" t="s">
        <v>1103</v>
      </c>
    </row>
    <row r="5232" spans="1:5">
      <c r="A5232" s="11">
        <v>42782</v>
      </c>
      <c r="B5232" s="10" t="s">
        <v>10817</v>
      </c>
      <c r="C5232" s="10" t="s">
        <v>10818</v>
      </c>
      <c r="D5232" s="11">
        <v>42782.639432870368</v>
      </c>
      <c r="E5232" s="10" t="s">
        <v>3570</v>
      </c>
    </row>
    <row r="5233" spans="1:5">
      <c r="A5233" s="11">
        <v>42782</v>
      </c>
      <c r="B5233" s="10" t="s">
        <v>10819</v>
      </c>
      <c r="C5233" s="10" t="s">
        <v>10820</v>
      </c>
      <c r="D5233" s="11">
        <v>42782.637824074074</v>
      </c>
      <c r="E5233" s="10" t="s">
        <v>178</v>
      </c>
    </row>
    <row r="5234" spans="1:5">
      <c r="A5234" s="11">
        <v>42782</v>
      </c>
      <c r="B5234" s="10" t="s">
        <v>10821</v>
      </c>
      <c r="C5234" s="10" t="s">
        <v>10822</v>
      </c>
      <c r="D5234" s="11">
        <v>42782.632534722223</v>
      </c>
      <c r="E5234" s="10" t="s">
        <v>240</v>
      </c>
    </row>
    <row r="5235" spans="1:5">
      <c r="A5235" s="11">
        <v>42782</v>
      </c>
      <c r="B5235" s="10" t="s">
        <v>10823</v>
      </c>
      <c r="C5235" s="10" t="s">
        <v>10824</v>
      </c>
      <c r="D5235" s="11">
        <v>42782.642789351848</v>
      </c>
      <c r="E5235" s="10" t="s">
        <v>1103</v>
      </c>
    </row>
    <row r="5236" spans="1:5">
      <c r="A5236" s="11">
        <v>42782</v>
      </c>
      <c r="B5236" s="10" t="s">
        <v>10825</v>
      </c>
      <c r="C5236" s="10" t="s">
        <v>10826</v>
      </c>
      <c r="D5236" s="11">
        <v>42782.643055555556</v>
      </c>
      <c r="E5236" s="10" t="s">
        <v>422</v>
      </c>
    </row>
    <row r="5237" spans="1:5">
      <c r="A5237" s="11">
        <v>42782</v>
      </c>
      <c r="B5237" s="10" t="s">
        <v>10827</v>
      </c>
      <c r="C5237" s="10" t="s">
        <v>10828</v>
      </c>
      <c r="D5237" s="11">
        <v>42782.643587962964</v>
      </c>
      <c r="E5237" s="10" t="s">
        <v>1867</v>
      </c>
    </row>
    <row r="5238" spans="1:5">
      <c r="A5238" s="11">
        <v>42782</v>
      </c>
      <c r="B5238" s="10" t="s">
        <v>10829</v>
      </c>
      <c r="C5238" s="10" t="s">
        <v>10830</v>
      </c>
      <c r="D5238" s="11">
        <v>42782.633657407408</v>
      </c>
      <c r="E5238" s="10" t="s">
        <v>707</v>
      </c>
    </row>
    <row r="5239" spans="1:5">
      <c r="A5239" s="11">
        <v>42782</v>
      </c>
      <c r="B5239" s="10" t="s">
        <v>10831</v>
      </c>
      <c r="C5239" s="10" t="s">
        <v>10832</v>
      </c>
      <c r="D5239" s="11">
        <v>42782.635983796295</v>
      </c>
      <c r="E5239" s="10" t="s">
        <v>237</v>
      </c>
    </row>
    <row r="5240" spans="1:5">
      <c r="A5240" s="11">
        <v>42782</v>
      </c>
      <c r="B5240" s="10" t="s">
        <v>10833</v>
      </c>
      <c r="C5240" s="10" t="s">
        <v>10834</v>
      </c>
      <c r="D5240" s="11">
        <v>42782.640243055554</v>
      </c>
      <c r="E5240" s="10" t="s">
        <v>96</v>
      </c>
    </row>
    <row r="5241" spans="1:5">
      <c r="A5241" s="11">
        <v>42782</v>
      </c>
      <c r="B5241" s="10" t="s">
        <v>10835</v>
      </c>
      <c r="C5241" s="10" t="s">
        <v>10836</v>
      </c>
      <c r="D5241" s="11">
        <v>42782.644085648149</v>
      </c>
      <c r="E5241" s="10" t="s">
        <v>320</v>
      </c>
    </row>
    <row r="5242" spans="1:5">
      <c r="A5242" s="11">
        <v>42782</v>
      </c>
      <c r="B5242" s="10" t="s">
        <v>10837</v>
      </c>
      <c r="C5242" s="10" t="s">
        <v>10838</v>
      </c>
      <c r="D5242" s="11">
        <v>42782.644131944442</v>
      </c>
      <c r="E5242" s="10" t="s">
        <v>193</v>
      </c>
    </row>
    <row r="5243" spans="1:5">
      <c r="A5243" s="11">
        <v>42782</v>
      </c>
      <c r="B5243" s="10" t="s">
        <v>10839</v>
      </c>
      <c r="C5243" s="10" t="s">
        <v>10840</v>
      </c>
      <c r="D5243" s="11">
        <v>42782.672581018516</v>
      </c>
      <c r="E5243" s="10" t="s">
        <v>218</v>
      </c>
    </row>
    <row r="5244" spans="1:5">
      <c r="A5244" s="11">
        <v>42782</v>
      </c>
      <c r="B5244" s="10" t="s">
        <v>10841</v>
      </c>
      <c r="C5244" s="10" t="s">
        <v>10842</v>
      </c>
      <c r="D5244" s="11">
        <v>42782.644189814811</v>
      </c>
      <c r="E5244" s="10" t="s">
        <v>2234</v>
      </c>
    </row>
    <row r="5245" spans="1:5">
      <c r="A5245" s="11">
        <v>42782</v>
      </c>
      <c r="B5245" s="10" t="s">
        <v>10843</v>
      </c>
      <c r="C5245" s="10" t="s">
        <v>10844</v>
      </c>
      <c r="D5245" s="11">
        <v>42782.62835648148</v>
      </c>
      <c r="E5245" s="10" t="s">
        <v>240</v>
      </c>
    </row>
    <row r="5246" spans="1:5">
      <c r="A5246" s="11">
        <v>42782</v>
      </c>
      <c r="B5246" s="10" t="s">
        <v>10845</v>
      </c>
      <c r="C5246" s="10" t="s">
        <v>10846</v>
      </c>
      <c r="D5246" s="11">
        <v>42782.64130787037</v>
      </c>
      <c r="E5246" s="10" t="s">
        <v>2183</v>
      </c>
    </row>
    <row r="5247" spans="1:5">
      <c r="A5247" s="11">
        <v>42782</v>
      </c>
      <c r="B5247" s="10" t="s">
        <v>10847</v>
      </c>
      <c r="C5247" s="10" t="s">
        <v>10848</v>
      </c>
      <c r="D5247" s="11">
        <v>42782.645300925928</v>
      </c>
      <c r="E5247" s="10" t="s">
        <v>122</v>
      </c>
    </row>
    <row r="5248" spans="1:5">
      <c r="A5248" s="11">
        <v>42782</v>
      </c>
      <c r="B5248" s="10" t="s">
        <v>10849</v>
      </c>
      <c r="C5248" s="10" t="s">
        <v>10850</v>
      </c>
      <c r="D5248" s="11">
        <v>42782.703113425923</v>
      </c>
      <c r="E5248" s="10" t="s">
        <v>152</v>
      </c>
    </row>
    <row r="5249" spans="1:5">
      <c r="A5249" s="11">
        <v>42782</v>
      </c>
      <c r="B5249" s="10" t="s">
        <v>10851</v>
      </c>
      <c r="C5249" s="10" t="s">
        <v>10852</v>
      </c>
      <c r="D5249" s="11">
        <v>42782.646145833336</v>
      </c>
      <c r="E5249" s="10" t="s">
        <v>2538</v>
      </c>
    </row>
    <row r="5250" spans="1:5">
      <c r="A5250" s="11">
        <v>42782</v>
      </c>
      <c r="B5250" s="10" t="s">
        <v>10853</v>
      </c>
      <c r="C5250" s="10" t="s">
        <v>10854</v>
      </c>
      <c r="D5250" s="11">
        <v>42782.641319444447</v>
      </c>
      <c r="E5250" s="10" t="s">
        <v>966</v>
      </c>
    </row>
    <row r="5251" spans="1:5">
      <c r="A5251" s="11">
        <v>42782</v>
      </c>
      <c r="B5251" s="10" t="s">
        <v>10855</v>
      </c>
      <c r="C5251" s="10" t="s">
        <v>10856</v>
      </c>
      <c r="D5251" s="11">
        <v>42782.639097222222</v>
      </c>
      <c r="E5251" s="10" t="s">
        <v>433</v>
      </c>
    </row>
    <row r="5252" spans="1:5">
      <c r="A5252" s="11">
        <v>42782</v>
      </c>
      <c r="B5252" s="10" t="s">
        <v>10857</v>
      </c>
      <c r="C5252" s="10" t="s">
        <v>10858</v>
      </c>
      <c r="D5252" s="11">
        <v>42782.645046296297</v>
      </c>
      <c r="E5252" s="10" t="s">
        <v>96</v>
      </c>
    </row>
    <row r="5253" spans="1:5">
      <c r="A5253" s="11">
        <v>42782</v>
      </c>
      <c r="B5253" s="10" t="s">
        <v>10859</v>
      </c>
      <c r="C5253" s="10" t="s">
        <v>10860</v>
      </c>
      <c r="D5253" s="11">
        <v>42782.673483796294</v>
      </c>
      <c r="E5253" s="10" t="s">
        <v>218</v>
      </c>
    </row>
    <row r="5254" spans="1:5">
      <c r="A5254" s="11">
        <v>42782</v>
      </c>
      <c r="B5254" s="10" t="s">
        <v>10861</v>
      </c>
      <c r="C5254" s="10" t="s">
        <v>10862</v>
      </c>
      <c r="D5254" s="11">
        <v>42782.647187499999</v>
      </c>
      <c r="E5254" s="10" t="s">
        <v>320</v>
      </c>
    </row>
    <row r="5255" spans="1:5">
      <c r="A5255" s="11">
        <v>42782</v>
      </c>
      <c r="B5255" s="10" t="s">
        <v>10863</v>
      </c>
      <c r="C5255" s="10" t="s">
        <v>10864</v>
      </c>
      <c r="D5255" s="11">
        <v>42782.64739583333</v>
      </c>
      <c r="E5255" s="10" t="s">
        <v>2538</v>
      </c>
    </row>
    <row r="5256" spans="1:5" ht="21.6">
      <c r="A5256" s="11">
        <v>42782</v>
      </c>
      <c r="B5256" s="10" t="s">
        <v>10865</v>
      </c>
      <c r="C5256" s="10" t="s">
        <v>10866</v>
      </c>
      <c r="D5256" s="11">
        <v>42782.640868055554</v>
      </c>
      <c r="E5256" s="10" t="s">
        <v>1316</v>
      </c>
    </row>
    <row r="5257" spans="1:5">
      <c r="A5257" s="11">
        <v>42782</v>
      </c>
      <c r="B5257" s="10" t="s">
        <v>10867</v>
      </c>
      <c r="C5257" s="10" t="s">
        <v>10868</v>
      </c>
      <c r="D5257" s="11">
        <v>42782.643865740742</v>
      </c>
      <c r="E5257" s="10" t="s">
        <v>707</v>
      </c>
    </row>
    <row r="5258" spans="1:5">
      <c r="A5258" s="11">
        <v>42782</v>
      </c>
      <c r="B5258" s="10" t="s">
        <v>10869</v>
      </c>
      <c r="C5258" s="10" t="s">
        <v>10870</v>
      </c>
      <c r="D5258" s="11">
        <v>42782.647581018522</v>
      </c>
      <c r="E5258" s="10" t="s">
        <v>2515</v>
      </c>
    </row>
    <row r="5259" spans="1:5">
      <c r="A5259" s="11">
        <v>42782</v>
      </c>
      <c r="B5259" s="10" t="s">
        <v>10871</v>
      </c>
      <c r="C5259" s="10" t="s">
        <v>10872</v>
      </c>
      <c r="D5259" s="11">
        <v>42782.644618055558</v>
      </c>
      <c r="E5259" s="10" t="s">
        <v>902</v>
      </c>
    </row>
    <row r="5260" spans="1:5">
      <c r="A5260" s="11">
        <v>42782</v>
      </c>
      <c r="B5260" s="10" t="s">
        <v>10873</v>
      </c>
      <c r="C5260" s="10" t="s">
        <v>10874</v>
      </c>
      <c r="D5260" s="11">
        <v>42782.647928240738</v>
      </c>
      <c r="E5260" s="10" t="s">
        <v>240</v>
      </c>
    </row>
    <row r="5261" spans="1:5">
      <c r="A5261" s="11">
        <v>42782</v>
      </c>
      <c r="B5261" s="10" t="s">
        <v>10875</v>
      </c>
      <c r="C5261" s="10" t="s">
        <v>10876</v>
      </c>
      <c r="D5261" s="11">
        <v>42782.64806712963</v>
      </c>
      <c r="E5261" s="10" t="s">
        <v>320</v>
      </c>
    </row>
    <row r="5262" spans="1:5">
      <c r="A5262" s="11">
        <v>42782</v>
      </c>
      <c r="B5262" s="10" t="s">
        <v>10877</v>
      </c>
      <c r="C5262" s="10" t="s">
        <v>10878</v>
      </c>
      <c r="D5262" s="11">
        <v>42782.641516203701</v>
      </c>
      <c r="E5262" s="10" t="s">
        <v>625</v>
      </c>
    </row>
    <row r="5263" spans="1:5">
      <c r="A5263" s="11">
        <v>42782</v>
      </c>
      <c r="B5263" s="10" t="s">
        <v>10879</v>
      </c>
      <c r="C5263" s="10" t="s">
        <v>10880</v>
      </c>
      <c r="D5263" s="11">
        <v>42782.647951388892</v>
      </c>
      <c r="E5263" s="10" t="s">
        <v>422</v>
      </c>
    </row>
    <row r="5264" spans="1:5">
      <c r="A5264" s="11">
        <v>42782</v>
      </c>
      <c r="B5264" s="10" t="s">
        <v>10881</v>
      </c>
      <c r="C5264" s="10" t="s">
        <v>10882</v>
      </c>
      <c r="D5264" s="11">
        <v>42782.634166666663</v>
      </c>
      <c r="E5264" s="10" t="s">
        <v>353</v>
      </c>
    </row>
    <row r="5265" spans="1:5">
      <c r="A5265" s="11">
        <v>42782</v>
      </c>
      <c r="B5265" s="10" t="s">
        <v>10883</v>
      </c>
      <c r="C5265" s="10" t="s">
        <v>10884</v>
      </c>
      <c r="D5265" s="11">
        <v>42782.645312499997</v>
      </c>
      <c r="E5265" s="10" t="s">
        <v>2622</v>
      </c>
    </row>
    <row r="5266" spans="1:5">
      <c r="A5266" s="11">
        <v>42782</v>
      </c>
      <c r="B5266" s="10" t="s">
        <v>10885</v>
      </c>
      <c r="C5266" s="10" t="s">
        <v>10886</v>
      </c>
      <c r="D5266" s="11">
        <v>42782.633993055555</v>
      </c>
      <c r="E5266" s="10" t="s">
        <v>353</v>
      </c>
    </row>
    <row r="5267" spans="1:5">
      <c r="A5267" s="11">
        <v>42782</v>
      </c>
      <c r="B5267" s="10" t="s">
        <v>10887</v>
      </c>
      <c r="C5267" s="10" t="s">
        <v>10888</v>
      </c>
      <c r="D5267" s="11">
        <v>42782.649050925924</v>
      </c>
      <c r="E5267" s="10" t="s">
        <v>122</v>
      </c>
    </row>
    <row r="5268" spans="1:5">
      <c r="A5268" s="11">
        <v>42782</v>
      </c>
      <c r="B5268" s="10" t="s">
        <v>10889</v>
      </c>
      <c r="C5268" s="10" t="s">
        <v>10890</v>
      </c>
      <c r="D5268" s="11">
        <v>42782.641192129631</v>
      </c>
      <c r="E5268" s="10" t="s">
        <v>707</v>
      </c>
    </row>
    <row r="5269" spans="1:5">
      <c r="A5269" s="11">
        <v>42782</v>
      </c>
      <c r="B5269" s="10" t="s">
        <v>10891</v>
      </c>
      <c r="C5269" s="10" t="s">
        <v>10892</v>
      </c>
      <c r="D5269" s="11">
        <v>42782.644247685188</v>
      </c>
      <c r="E5269" s="10" t="s">
        <v>122</v>
      </c>
    </row>
    <row r="5270" spans="1:5">
      <c r="A5270" s="11">
        <v>42782</v>
      </c>
      <c r="B5270" s="10" t="s">
        <v>10893</v>
      </c>
      <c r="C5270" s="10" t="s">
        <v>10894</v>
      </c>
      <c r="D5270" s="11">
        <v>42782.642060185186</v>
      </c>
      <c r="E5270" s="10" t="s">
        <v>2180</v>
      </c>
    </row>
    <row r="5271" spans="1:5">
      <c r="A5271" s="11">
        <v>42782</v>
      </c>
      <c r="B5271" s="10" t="s">
        <v>10895</v>
      </c>
      <c r="C5271" s="10" t="s">
        <v>10896</v>
      </c>
      <c r="D5271" s="11">
        <v>42782.649814814817</v>
      </c>
      <c r="E5271" s="10" t="s">
        <v>122</v>
      </c>
    </row>
    <row r="5272" spans="1:5">
      <c r="A5272" s="11">
        <v>42782</v>
      </c>
      <c r="B5272" s="10" t="s">
        <v>10897</v>
      </c>
      <c r="C5272" s="10" t="s">
        <v>10898</v>
      </c>
      <c r="D5272" s="11">
        <v>42782.63994212963</v>
      </c>
      <c r="E5272" s="10" t="s">
        <v>2538</v>
      </c>
    </row>
    <row r="5273" spans="1:5">
      <c r="A5273" s="11">
        <v>42782</v>
      </c>
      <c r="B5273" s="10" t="s">
        <v>10899</v>
      </c>
      <c r="C5273" s="10" t="s">
        <v>10900</v>
      </c>
      <c r="D5273" s="11">
        <v>42782.645243055558</v>
      </c>
      <c r="E5273" s="10" t="s">
        <v>240</v>
      </c>
    </row>
    <row r="5274" spans="1:5">
      <c r="A5274" s="11">
        <v>42782</v>
      </c>
      <c r="B5274" s="10" t="s">
        <v>10901</v>
      </c>
      <c r="C5274" s="10" t="s">
        <v>10902</v>
      </c>
      <c r="D5274" s="11">
        <v>42782.645115740743</v>
      </c>
      <c r="E5274" s="10" t="s">
        <v>122</v>
      </c>
    </row>
    <row r="5275" spans="1:5">
      <c r="A5275" s="11">
        <v>42782</v>
      </c>
      <c r="B5275" s="10" t="s">
        <v>10903</v>
      </c>
      <c r="C5275" s="10" t="s">
        <v>10904</v>
      </c>
      <c r="D5275" s="11">
        <v>42782.645046296297</v>
      </c>
      <c r="E5275" s="10" t="s">
        <v>2742</v>
      </c>
    </row>
    <row r="5276" spans="1:5">
      <c r="A5276" s="11">
        <v>42782</v>
      </c>
      <c r="B5276" s="10" t="s">
        <v>10905</v>
      </c>
      <c r="C5276" s="10" t="s">
        <v>10906</v>
      </c>
      <c r="D5276" s="11">
        <v>42782.65115740741</v>
      </c>
      <c r="E5276" s="10" t="s">
        <v>152</v>
      </c>
    </row>
    <row r="5277" spans="1:5">
      <c r="A5277" s="11">
        <v>42782</v>
      </c>
      <c r="B5277" s="10" t="s">
        <v>10907</v>
      </c>
      <c r="C5277" s="10" t="s">
        <v>10908</v>
      </c>
      <c r="D5277" s="11">
        <v>42782.651365740741</v>
      </c>
      <c r="E5277" s="10" t="s">
        <v>240</v>
      </c>
    </row>
    <row r="5278" spans="1:5">
      <c r="A5278" s="11">
        <v>42782</v>
      </c>
      <c r="B5278" s="10" t="s">
        <v>10909</v>
      </c>
      <c r="C5278" s="10" t="s">
        <v>10910</v>
      </c>
      <c r="D5278" s="11">
        <v>42782.651516203703</v>
      </c>
      <c r="E5278" s="10" t="s">
        <v>2515</v>
      </c>
    </row>
    <row r="5279" spans="1:5">
      <c r="A5279" s="11">
        <v>42782</v>
      </c>
      <c r="B5279" s="10" t="s">
        <v>10911</v>
      </c>
      <c r="C5279" s="10" t="s">
        <v>10912</v>
      </c>
      <c r="D5279" s="11">
        <v>42782.651666666665</v>
      </c>
      <c r="E5279" s="10" t="s">
        <v>320</v>
      </c>
    </row>
    <row r="5280" spans="1:5">
      <c r="A5280" s="11">
        <v>42782</v>
      </c>
      <c r="B5280" s="10" t="s">
        <v>10913</v>
      </c>
      <c r="C5280" s="10" t="s">
        <v>10914</v>
      </c>
      <c r="D5280" s="11">
        <v>42782.642314814817</v>
      </c>
      <c r="E5280" s="10" t="s">
        <v>433</v>
      </c>
    </row>
    <row r="5281" spans="1:5">
      <c r="A5281" s="11">
        <v>42782</v>
      </c>
      <c r="B5281" s="10" t="s">
        <v>10915</v>
      </c>
      <c r="C5281" s="10" t="s">
        <v>10916</v>
      </c>
      <c r="D5281" s="11">
        <v>42782.651817129627</v>
      </c>
      <c r="E5281" s="10" t="s">
        <v>902</v>
      </c>
    </row>
    <row r="5282" spans="1:5">
      <c r="A5282" s="11">
        <v>42782</v>
      </c>
      <c r="B5282" s="10" t="s">
        <v>10917</v>
      </c>
      <c r="C5282" s="10" t="s">
        <v>10918</v>
      </c>
      <c r="D5282" s="11">
        <v>42782.651875000003</v>
      </c>
      <c r="E5282" s="10" t="s">
        <v>2688</v>
      </c>
    </row>
    <row r="5283" spans="1:5">
      <c r="A5283" s="11">
        <v>42782</v>
      </c>
      <c r="B5283" s="10" t="s">
        <v>10919</v>
      </c>
      <c r="C5283" s="10" t="s">
        <v>10920</v>
      </c>
      <c r="D5283" s="11">
        <v>42782.651967592596</v>
      </c>
      <c r="E5283" s="10" t="s">
        <v>193</v>
      </c>
    </row>
    <row r="5284" spans="1:5">
      <c r="A5284" s="11">
        <v>42782</v>
      </c>
      <c r="B5284" s="10" t="s">
        <v>10921</v>
      </c>
      <c r="C5284" s="10" t="s">
        <v>10922</v>
      </c>
      <c r="D5284" s="11">
        <v>42782.642476851855</v>
      </c>
      <c r="E5284" s="10" t="s">
        <v>433</v>
      </c>
    </row>
    <row r="5285" spans="1:5">
      <c r="A5285" s="11">
        <v>42782</v>
      </c>
      <c r="B5285" s="10" t="s">
        <v>10923</v>
      </c>
      <c r="C5285" s="10" t="s">
        <v>10924</v>
      </c>
      <c r="D5285" s="11">
        <v>42782.652245370373</v>
      </c>
      <c r="E5285" s="10" t="s">
        <v>152</v>
      </c>
    </row>
    <row r="5286" spans="1:5">
      <c r="A5286" s="11">
        <v>42782</v>
      </c>
      <c r="B5286" s="10" t="s">
        <v>10925</v>
      </c>
      <c r="C5286" s="10" t="s">
        <v>10926</v>
      </c>
      <c r="D5286" s="11">
        <v>42782.650416666664</v>
      </c>
      <c r="E5286" s="10" t="s">
        <v>193</v>
      </c>
    </row>
    <row r="5287" spans="1:5">
      <c r="A5287" s="11">
        <v>42782</v>
      </c>
      <c r="B5287" s="10" t="s">
        <v>10927</v>
      </c>
      <c r="C5287" s="10" t="s">
        <v>10928</v>
      </c>
      <c r="D5287" s="11">
        <v>42782.637372685182</v>
      </c>
      <c r="E5287" s="10" t="s">
        <v>240</v>
      </c>
    </row>
    <row r="5288" spans="1:5">
      <c r="A5288" s="11">
        <v>42782</v>
      </c>
      <c r="B5288" s="10" t="s">
        <v>10929</v>
      </c>
      <c r="C5288" s="10" t="s">
        <v>10930</v>
      </c>
      <c r="D5288" s="11">
        <v>42782.651435185187</v>
      </c>
      <c r="E5288" s="10" t="s">
        <v>2144</v>
      </c>
    </row>
    <row r="5289" spans="1:5">
      <c r="A5289" s="11">
        <v>42782</v>
      </c>
      <c r="B5289" s="10" t="s">
        <v>10931</v>
      </c>
      <c r="C5289" s="10" t="s">
        <v>10932</v>
      </c>
      <c r="D5289" s="11">
        <v>42782.646157407406</v>
      </c>
      <c r="E5289" s="10" t="s">
        <v>218</v>
      </c>
    </row>
    <row r="5290" spans="1:5">
      <c r="A5290" s="11">
        <v>42782</v>
      </c>
      <c r="B5290" s="10" t="s">
        <v>10933</v>
      </c>
      <c r="C5290" s="10" t="s">
        <v>10934</v>
      </c>
      <c r="D5290" s="11">
        <v>42782.644652777781</v>
      </c>
      <c r="E5290" s="10" t="s">
        <v>373</v>
      </c>
    </row>
    <row r="5291" spans="1:5">
      <c r="A5291" s="11">
        <v>42782</v>
      </c>
      <c r="B5291" s="10" t="s">
        <v>10935</v>
      </c>
      <c r="C5291" s="10" t="s">
        <v>10936</v>
      </c>
      <c r="D5291" s="11">
        <v>42782.653217592589</v>
      </c>
      <c r="E5291" s="10" t="s">
        <v>2538</v>
      </c>
    </row>
    <row r="5292" spans="1:5">
      <c r="A5292" s="11">
        <v>42782</v>
      </c>
      <c r="B5292" s="10" t="s">
        <v>10937</v>
      </c>
      <c r="C5292" s="10" t="s">
        <v>10938</v>
      </c>
      <c r="D5292" s="11">
        <v>42782.653622685182</v>
      </c>
      <c r="E5292" s="10" t="s">
        <v>625</v>
      </c>
    </row>
    <row r="5293" spans="1:5">
      <c r="A5293" s="11">
        <v>42782</v>
      </c>
      <c r="B5293" s="10" t="s">
        <v>10939</v>
      </c>
      <c r="C5293" s="10" t="s">
        <v>10940</v>
      </c>
      <c r="D5293" s="11">
        <v>42782.653738425928</v>
      </c>
      <c r="E5293" s="10" t="s">
        <v>292</v>
      </c>
    </row>
    <row r="5294" spans="1:5">
      <c r="A5294" s="11">
        <v>42782</v>
      </c>
      <c r="B5294" s="10" t="s">
        <v>10941</v>
      </c>
      <c r="C5294" s="10" t="s">
        <v>10942</v>
      </c>
      <c r="D5294" s="11">
        <v>42782.652581018519</v>
      </c>
      <c r="E5294" s="10" t="s">
        <v>3570</v>
      </c>
    </row>
    <row r="5295" spans="1:5">
      <c r="A5295" s="11">
        <v>42782</v>
      </c>
      <c r="B5295" s="10" t="s">
        <v>10943</v>
      </c>
      <c r="C5295" s="10" t="s">
        <v>10944</v>
      </c>
      <c r="D5295" s="11">
        <v>42782.639409722222</v>
      </c>
      <c r="E5295" s="10" t="s">
        <v>4865</v>
      </c>
    </row>
    <row r="5296" spans="1:5">
      <c r="A5296" s="11">
        <v>42782</v>
      </c>
      <c r="B5296" s="10" t="s">
        <v>10945</v>
      </c>
      <c r="C5296" s="10" t="s">
        <v>10946</v>
      </c>
      <c r="D5296" s="11">
        <v>42782.639618055553</v>
      </c>
      <c r="E5296" s="10" t="s">
        <v>218</v>
      </c>
    </row>
    <row r="5297" spans="1:5">
      <c r="A5297" s="11">
        <v>42782</v>
      </c>
      <c r="B5297" s="10" t="s">
        <v>10947</v>
      </c>
      <c r="C5297" s="10" t="s">
        <v>10948</v>
      </c>
      <c r="D5297" s="11">
        <v>42782.650717592594</v>
      </c>
      <c r="E5297" s="10" t="s">
        <v>2912</v>
      </c>
    </row>
    <row r="5298" spans="1:5">
      <c r="A5298" s="11">
        <v>42782</v>
      </c>
      <c r="B5298" s="10" t="s">
        <v>10949</v>
      </c>
      <c r="C5298" s="10" t="s">
        <v>10950</v>
      </c>
      <c r="D5298" s="11">
        <v>42782.654386574075</v>
      </c>
      <c r="E5298" s="10" t="s">
        <v>108</v>
      </c>
    </row>
    <row r="5299" spans="1:5">
      <c r="A5299" s="11">
        <v>42782</v>
      </c>
      <c r="B5299" s="10" t="s">
        <v>10951</v>
      </c>
      <c r="C5299" s="10" t="s">
        <v>10952</v>
      </c>
      <c r="D5299" s="11">
        <v>42782.652094907404</v>
      </c>
      <c r="E5299" s="10" t="s">
        <v>320</v>
      </c>
    </row>
    <row r="5300" spans="1:5">
      <c r="A5300" s="11">
        <v>42782</v>
      </c>
      <c r="B5300" s="10" t="s">
        <v>10953</v>
      </c>
      <c r="C5300" s="10" t="s">
        <v>10954</v>
      </c>
      <c r="D5300" s="11">
        <v>42782.646782407406</v>
      </c>
      <c r="E5300" s="10" t="s">
        <v>2538</v>
      </c>
    </row>
    <row r="5301" spans="1:5">
      <c r="A5301" s="11">
        <v>42782</v>
      </c>
      <c r="B5301" s="10" t="s">
        <v>10955</v>
      </c>
      <c r="C5301" s="10" t="s">
        <v>10956</v>
      </c>
      <c r="D5301" s="11">
        <v>42782.651782407411</v>
      </c>
      <c r="E5301" s="10" t="s">
        <v>683</v>
      </c>
    </row>
    <row r="5302" spans="1:5">
      <c r="A5302" s="11">
        <v>42782</v>
      </c>
      <c r="B5302" s="10" t="s">
        <v>10957</v>
      </c>
      <c r="C5302" s="10" t="s">
        <v>10958</v>
      </c>
      <c r="D5302" s="11">
        <v>42782.648553240739</v>
      </c>
      <c r="E5302" s="10" t="s">
        <v>152</v>
      </c>
    </row>
    <row r="5303" spans="1:5">
      <c r="A5303" s="11">
        <v>42782</v>
      </c>
      <c r="B5303" s="10" t="s">
        <v>10959</v>
      </c>
      <c r="C5303" s="10" t="s">
        <v>10960</v>
      </c>
      <c r="D5303" s="11">
        <v>42782.646898148145</v>
      </c>
      <c r="E5303" s="10" t="s">
        <v>122</v>
      </c>
    </row>
    <row r="5304" spans="1:5">
      <c r="A5304" s="11">
        <v>42782</v>
      </c>
      <c r="B5304" s="10" t="s">
        <v>10961</v>
      </c>
      <c r="C5304" s="10" t="s">
        <v>10962</v>
      </c>
      <c r="D5304" s="11">
        <v>42782.654976851853</v>
      </c>
      <c r="E5304" s="10" t="s">
        <v>465</v>
      </c>
    </row>
    <row r="5305" spans="1:5">
      <c r="A5305" s="11">
        <v>42782</v>
      </c>
      <c r="B5305" s="10" t="s">
        <v>10963</v>
      </c>
      <c r="C5305" s="10" t="s">
        <v>10964</v>
      </c>
      <c r="D5305" s="11">
        <v>42782.651759259257</v>
      </c>
      <c r="E5305" s="10" t="s">
        <v>4865</v>
      </c>
    </row>
    <row r="5306" spans="1:5">
      <c r="A5306" s="11">
        <v>42782</v>
      </c>
      <c r="B5306" s="10" t="s">
        <v>10965</v>
      </c>
      <c r="C5306" s="10" t="s">
        <v>10966</v>
      </c>
      <c r="D5306" s="11">
        <v>42782.691817129627</v>
      </c>
      <c r="E5306" s="10" t="s">
        <v>902</v>
      </c>
    </row>
    <row r="5307" spans="1:5">
      <c r="A5307" s="11">
        <v>42782</v>
      </c>
      <c r="B5307" s="10" t="s">
        <v>10967</v>
      </c>
      <c r="C5307" s="10" t="s">
        <v>10968</v>
      </c>
      <c r="D5307" s="11">
        <v>42782.645196759258</v>
      </c>
      <c r="E5307" s="10" t="s">
        <v>152</v>
      </c>
    </row>
    <row r="5308" spans="1:5">
      <c r="A5308" s="11">
        <v>42782</v>
      </c>
      <c r="B5308" s="10" t="s">
        <v>10969</v>
      </c>
      <c r="C5308" s="10" t="s">
        <v>10970</v>
      </c>
      <c r="D5308" s="11">
        <v>42782.655428240738</v>
      </c>
      <c r="E5308" s="10" t="s">
        <v>2515</v>
      </c>
    </row>
    <row r="5309" spans="1:5" ht="21.6">
      <c r="A5309" s="11">
        <v>42782</v>
      </c>
      <c r="B5309" s="10" t="s">
        <v>10971</v>
      </c>
      <c r="C5309" s="10" t="s">
        <v>10972</v>
      </c>
      <c r="D5309" s="11">
        <v>42782.651805555557</v>
      </c>
      <c r="E5309" s="10" t="s">
        <v>966</v>
      </c>
    </row>
    <row r="5310" spans="1:5">
      <c r="A5310" s="11">
        <v>42782</v>
      </c>
      <c r="B5310" s="10" t="s">
        <v>10973</v>
      </c>
      <c r="C5310" s="10" t="s">
        <v>10974</v>
      </c>
      <c r="D5310" s="11">
        <v>42782.652685185189</v>
      </c>
      <c r="E5310" s="10" t="s">
        <v>240</v>
      </c>
    </row>
    <row r="5311" spans="1:5">
      <c r="A5311" s="11">
        <v>42782</v>
      </c>
      <c r="B5311" s="10" t="s">
        <v>10975</v>
      </c>
      <c r="C5311" s="10" t="s">
        <v>10976</v>
      </c>
      <c r="D5311" s="11">
        <v>42782.653854166667</v>
      </c>
      <c r="E5311" s="10" t="s">
        <v>10094</v>
      </c>
    </row>
    <row r="5312" spans="1:5">
      <c r="A5312" s="11">
        <v>42782</v>
      </c>
      <c r="B5312" s="10" t="s">
        <v>10977</v>
      </c>
      <c r="C5312" s="10" t="s">
        <v>10978</v>
      </c>
      <c r="D5312" s="11">
        <v>42782.644166666665</v>
      </c>
      <c r="E5312" s="10" t="s">
        <v>433</v>
      </c>
    </row>
    <row r="5313" spans="1:5">
      <c r="A5313" s="11">
        <v>42782</v>
      </c>
      <c r="B5313" s="10" t="s">
        <v>10979</v>
      </c>
      <c r="C5313" s="10" t="s">
        <v>10980</v>
      </c>
      <c r="D5313" s="11">
        <v>42782.649594907409</v>
      </c>
      <c r="E5313" s="10" t="s">
        <v>193</v>
      </c>
    </row>
    <row r="5314" spans="1:5">
      <c r="A5314" s="11">
        <v>42782</v>
      </c>
      <c r="B5314" s="10" t="s">
        <v>10981</v>
      </c>
      <c r="C5314" s="10" t="s">
        <v>10982</v>
      </c>
      <c r="D5314" s="11">
        <v>42782.690694444442</v>
      </c>
      <c r="E5314" s="10" t="s">
        <v>683</v>
      </c>
    </row>
    <row r="5315" spans="1:5">
      <c r="A5315" s="11">
        <v>42782</v>
      </c>
      <c r="B5315" s="10" t="s">
        <v>10983</v>
      </c>
      <c r="C5315" s="10" t="s">
        <v>10984</v>
      </c>
      <c r="D5315" s="11">
        <v>42782.654999999999</v>
      </c>
      <c r="E5315" s="10" t="s">
        <v>122</v>
      </c>
    </row>
    <row r="5316" spans="1:5">
      <c r="A5316" s="11">
        <v>42782</v>
      </c>
      <c r="B5316" s="10" t="s">
        <v>10985</v>
      </c>
      <c r="C5316" s="10" t="s">
        <v>10986</v>
      </c>
      <c r="D5316" s="11">
        <v>42782.652905092589</v>
      </c>
      <c r="E5316" s="10" t="s">
        <v>96</v>
      </c>
    </row>
    <row r="5317" spans="1:5" ht="21.6">
      <c r="A5317" s="11">
        <v>42782</v>
      </c>
      <c r="B5317" s="10" t="s">
        <v>10987</v>
      </c>
      <c r="C5317" s="10" t="s">
        <v>10988</v>
      </c>
      <c r="D5317" s="11">
        <v>42782.653414351851</v>
      </c>
      <c r="E5317" s="10" t="s">
        <v>10989</v>
      </c>
    </row>
    <row r="5318" spans="1:5">
      <c r="A5318" s="11">
        <v>42782</v>
      </c>
      <c r="B5318" s="10" t="s">
        <v>10990</v>
      </c>
      <c r="C5318" s="10" t="s">
        <v>10991</v>
      </c>
      <c r="D5318" s="11">
        <v>42782.655185185184</v>
      </c>
      <c r="E5318" s="10" t="s">
        <v>433</v>
      </c>
    </row>
    <row r="5319" spans="1:5">
      <c r="A5319" s="11">
        <v>42782</v>
      </c>
      <c r="B5319" s="10" t="s">
        <v>10992</v>
      </c>
      <c r="C5319" s="10" t="s">
        <v>10993</v>
      </c>
      <c r="D5319" s="11">
        <v>42782.656747685185</v>
      </c>
      <c r="E5319" s="10" t="s">
        <v>240</v>
      </c>
    </row>
    <row r="5320" spans="1:5">
      <c r="A5320" s="11">
        <v>42782</v>
      </c>
      <c r="B5320" s="10" t="s">
        <v>10994</v>
      </c>
      <c r="C5320" s="10" t="s">
        <v>10995</v>
      </c>
      <c r="D5320" s="11">
        <v>42782.629583333335</v>
      </c>
      <c r="E5320" s="10" t="s">
        <v>305</v>
      </c>
    </row>
    <row r="5321" spans="1:5">
      <c r="A5321" s="11">
        <v>42782</v>
      </c>
      <c r="B5321" s="10" t="s">
        <v>10996</v>
      </c>
      <c r="C5321" s="10" t="s">
        <v>10997</v>
      </c>
      <c r="D5321" s="11">
        <v>42782.62939814815</v>
      </c>
      <c r="E5321" s="10" t="s">
        <v>4865</v>
      </c>
    </row>
    <row r="5322" spans="1:5">
      <c r="A5322" s="11">
        <v>42782</v>
      </c>
      <c r="B5322" s="10" t="s">
        <v>10998</v>
      </c>
      <c r="C5322" s="10" t="s">
        <v>10999</v>
      </c>
      <c r="D5322" s="11">
        <v>42782.657129629632</v>
      </c>
      <c r="E5322" s="10" t="s">
        <v>2912</v>
      </c>
    </row>
    <row r="5323" spans="1:5">
      <c r="A5323" s="11">
        <v>42782</v>
      </c>
      <c r="B5323" s="10" t="s">
        <v>11000</v>
      </c>
      <c r="C5323" s="10" t="s">
        <v>11001</v>
      </c>
      <c r="D5323" s="11">
        <v>42782.643206018518</v>
      </c>
      <c r="E5323" s="10" t="s">
        <v>433</v>
      </c>
    </row>
    <row r="5324" spans="1:5">
      <c r="A5324" s="11">
        <v>42782</v>
      </c>
      <c r="B5324" s="10" t="s">
        <v>11002</v>
      </c>
      <c r="C5324" s="10" t="s">
        <v>11003</v>
      </c>
      <c r="D5324" s="11">
        <v>42782.657442129632</v>
      </c>
      <c r="E5324" s="10" t="s">
        <v>237</v>
      </c>
    </row>
    <row r="5325" spans="1:5">
      <c r="A5325" s="11">
        <v>42782</v>
      </c>
      <c r="B5325" s="10" t="s">
        <v>11004</v>
      </c>
      <c r="C5325" s="10" t="s">
        <v>11005</v>
      </c>
      <c r="D5325" s="11">
        <v>42782.657465277778</v>
      </c>
      <c r="E5325" s="10" t="s">
        <v>1103</v>
      </c>
    </row>
    <row r="5326" spans="1:5">
      <c r="A5326" s="11">
        <v>42782</v>
      </c>
      <c r="B5326" s="10" t="s">
        <v>11006</v>
      </c>
      <c r="C5326" s="10" t="s">
        <v>11007</v>
      </c>
      <c r="D5326" s="11">
        <v>42782.656053240738</v>
      </c>
      <c r="E5326" s="10" t="s">
        <v>240</v>
      </c>
    </row>
    <row r="5327" spans="1:5">
      <c r="A5327" s="11">
        <v>42782</v>
      </c>
      <c r="B5327" s="10" t="s">
        <v>11008</v>
      </c>
      <c r="C5327" s="10" t="s">
        <v>11009</v>
      </c>
      <c r="D5327" s="11">
        <v>42782.657858796294</v>
      </c>
      <c r="E5327" s="10" t="s">
        <v>625</v>
      </c>
    </row>
    <row r="5328" spans="1:5">
      <c r="A5328" s="11">
        <v>42782</v>
      </c>
      <c r="B5328" s="10" t="s">
        <v>11010</v>
      </c>
      <c r="C5328" s="10" t="s">
        <v>11011</v>
      </c>
      <c r="D5328" s="11">
        <v>42782.656319444446</v>
      </c>
      <c r="E5328" s="10" t="s">
        <v>122</v>
      </c>
    </row>
    <row r="5329" spans="1:5">
      <c r="A5329" s="11">
        <v>42782</v>
      </c>
      <c r="B5329" s="10" t="s">
        <v>11012</v>
      </c>
      <c r="C5329" s="10" t="s">
        <v>11013</v>
      </c>
      <c r="D5329" s="11">
        <v>42782.658368055556</v>
      </c>
      <c r="E5329" s="10" t="s">
        <v>152</v>
      </c>
    </row>
    <row r="5330" spans="1:5">
      <c r="A5330" s="11">
        <v>42782</v>
      </c>
      <c r="B5330" s="10" t="s">
        <v>11014</v>
      </c>
      <c r="C5330" s="10" t="s">
        <v>11015</v>
      </c>
      <c r="D5330" s="11">
        <v>42782.658495370371</v>
      </c>
      <c r="E5330" s="10" t="s">
        <v>122</v>
      </c>
    </row>
    <row r="5331" spans="1:5">
      <c r="A5331" s="11">
        <v>42782</v>
      </c>
      <c r="B5331" s="10" t="s">
        <v>11016</v>
      </c>
      <c r="C5331" s="10" t="s">
        <v>11017</v>
      </c>
      <c r="D5331" s="11">
        <v>42782.656759259262</v>
      </c>
      <c r="E5331" s="10" t="s">
        <v>240</v>
      </c>
    </row>
    <row r="5332" spans="1:5">
      <c r="A5332" s="11">
        <v>42782</v>
      </c>
      <c r="B5332" s="10" t="s">
        <v>11018</v>
      </c>
      <c r="C5332" s="10" t="s">
        <v>11019</v>
      </c>
      <c r="D5332" s="11">
        <v>42782.658634259256</v>
      </c>
      <c r="E5332" s="10" t="s">
        <v>859</v>
      </c>
    </row>
    <row r="5333" spans="1:5">
      <c r="A5333" s="11">
        <v>42782</v>
      </c>
      <c r="B5333" s="10" t="s">
        <v>11020</v>
      </c>
      <c r="C5333" s="10" t="s">
        <v>11021</v>
      </c>
      <c r="D5333" s="11">
        <v>42782.656053240738</v>
      </c>
      <c r="E5333" s="10" t="s">
        <v>240</v>
      </c>
    </row>
    <row r="5334" spans="1:5">
      <c r="A5334" s="11">
        <v>42782</v>
      </c>
      <c r="B5334" s="10" t="s">
        <v>11022</v>
      </c>
      <c r="C5334" s="10" t="s">
        <v>11023</v>
      </c>
      <c r="D5334" s="11">
        <v>42782.658726851849</v>
      </c>
      <c r="E5334" s="10" t="s">
        <v>5769</v>
      </c>
    </row>
    <row r="5335" spans="1:5">
      <c r="A5335" s="11">
        <v>42782</v>
      </c>
      <c r="B5335" s="10" t="s">
        <v>11024</v>
      </c>
      <c r="C5335" s="10" t="s">
        <v>11025</v>
      </c>
      <c r="D5335" s="11">
        <v>42782.655300925922</v>
      </c>
      <c r="E5335" s="10" t="s">
        <v>240</v>
      </c>
    </row>
    <row r="5336" spans="1:5">
      <c r="A5336" s="11">
        <v>42782</v>
      </c>
      <c r="B5336" s="10" t="s">
        <v>11026</v>
      </c>
      <c r="C5336" s="10" t="s">
        <v>11027</v>
      </c>
      <c r="D5336" s="11">
        <v>42782.642557870371</v>
      </c>
      <c r="E5336" s="10" t="s">
        <v>2180</v>
      </c>
    </row>
    <row r="5337" spans="1:5" ht="21.6">
      <c r="A5337" s="11">
        <v>42782</v>
      </c>
      <c r="B5337" s="10" t="s">
        <v>11028</v>
      </c>
      <c r="C5337" s="10" t="s">
        <v>11029</v>
      </c>
      <c r="D5337" s="11">
        <v>42782.650046296294</v>
      </c>
      <c r="E5337" s="10" t="s">
        <v>2554</v>
      </c>
    </row>
    <row r="5338" spans="1:5">
      <c r="A5338" s="11">
        <v>42782</v>
      </c>
      <c r="B5338" s="10" t="s">
        <v>11030</v>
      </c>
      <c r="C5338" s="10" t="s">
        <v>11031</v>
      </c>
      <c r="D5338" s="11">
        <v>42782.659004629626</v>
      </c>
      <c r="E5338" s="10" t="s">
        <v>237</v>
      </c>
    </row>
    <row r="5339" spans="1:5">
      <c r="A5339" s="11">
        <v>42782</v>
      </c>
      <c r="B5339" s="10" t="s">
        <v>11032</v>
      </c>
      <c r="C5339" s="10" t="s">
        <v>11033</v>
      </c>
      <c r="D5339" s="11">
        <v>42782.659120370372</v>
      </c>
      <c r="E5339" s="10" t="s">
        <v>122</v>
      </c>
    </row>
    <row r="5340" spans="1:5">
      <c r="A5340" s="11">
        <v>42782</v>
      </c>
      <c r="B5340" s="10" t="s">
        <v>11034</v>
      </c>
      <c r="C5340" s="10" t="s">
        <v>11035</v>
      </c>
      <c r="D5340" s="11">
        <v>42782.652488425927</v>
      </c>
      <c r="E5340" s="10" t="s">
        <v>433</v>
      </c>
    </row>
    <row r="5341" spans="1:5">
      <c r="A5341" s="11">
        <v>42782</v>
      </c>
      <c r="B5341" s="10" t="s">
        <v>11036</v>
      </c>
      <c r="C5341" s="10" t="s">
        <v>11037</v>
      </c>
      <c r="D5341" s="11">
        <v>42782.654374999998</v>
      </c>
      <c r="E5341" s="10" t="s">
        <v>4865</v>
      </c>
    </row>
    <row r="5342" spans="1:5">
      <c r="A5342" s="11">
        <v>42782</v>
      </c>
      <c r="B5342" s="10" t="s">
        <v>11038</v>
      </c>
      <c r="C5342" s="10" t="s">
        <v>11039</v>
      </c>
      <c r="D5342" s="11">
        <v>42782.659479166665</v>
      </c>
      <c r="E5342" s="10" t="s">
        <v>320</v>
      </c>
    </row>
    <row r="5343" spans="1:5">
      <c r="A5343" s="11">
        <v>42782</v>
      </c>
      <c r="B5343" s="10" t="s">
        <v>11040</v>
      </c>
      <c r="C5343" s="10" t="s">
        <v>11041</v>
      </c>
      <c r="D5343" s="11">
        <v>42782.658622685187</v>
      </c>
      <c r="E5343" s="10" t="s">
        <v>193</v>
      </c>
    </row>
    <row r="5344" spans="1:5">
      <c r="A5344" s="11">
        <v>42782</v>
      </c>
      <c r="B5344" s="10" t="s">
        <v>11042</v>
      </c>
      <c r="C5344" s="10" t="s">
        <v>11043</v>
      </c>
      <c r="D5344" s="11">
        <v>42782.65457175926</v>
      </c>
      <c r="E5344" s="10" t="s">
        <v>96</v>
      </c>
    </row>
    <row r="5345" spans="1:5">
      <c r="A5345" s="11">
        <v>42782</v>
      </c>
      <c r="B5345" s="10" t="s">
        <v>11044</v>
      </c>
      <c r="C5345" s="10" t="s">
        <v>11045</v>
      </c>
      <c r="D5345" s="11">
        <v>42782.657951388886</v>
      </c>
      <c r="E5345" s="10" t="s">
        <v>193</v>
      </c>
    </row>
    <row r="5346" spans="1:5">
      <c r="A5346" s="11">
        <v>42782</v>
      </c>
      <c r="B5346" s="10" t="s">
        <v>11046</v>
      </c>
      <c r="C5346" s="10" t="s">
        <v>11047</v>
      </c>
      <c r="D5346" s="11">
        <v>42782.659722222219</v>
      </c>
      <c r="E5346" s="10" t="s">
        <v>977</v>
      </c>
    </row>
    <row r="5347" spans="1:5">
      <c r="A5347" s="11">
        <v>42782</v>
      </c>
      <c r="B5347" s="10" t="s">
        <v>11048</v>
      </c>
      <c r="C5347" s="10" t="s">
        <v>11049</v>
      </c>
      <c r="D5347" s="11">
        <v>42782.659803240742</v>
      </c>
      <c r="E5347" s="10" t="s">
        <v>122</v>
      </c>
    </row>
    <row r="5348" spans="1:5">
      <c r="A5348" s="11">
        <v>42782</v>
      </c>
      <c r="B5348" s="10" t="s">
        <v>11050</v>
      </c>
      <c r="C5348" s="10" t="s">
        <v>11051</v>
      </c>
      <c r="D5348" s="11">
        <v>42782.657233796293</v>
      </c>
      <c r="E5348" s="10" t="s">
        <v>3550</v>
      </c>
    </row>
    <row r="5349" spans="1:5">
      <c r="A5349" s="11">
        <v>42782</v>
      </c>
      <c r="B5349" s="10" t="s">
        <v>11052</v>
      </c>
      <c r="C5349" s="10" t="s">
        <v>11053</v>
      </c>
      <c r="D5349" s="11">
        <v>42782.659988425927</v>
      </c>
      <c r="E5349" s="10" t="s">
        <v>433</v>
      </c>
    </row>
    <row r="5350" spans="1:5">
      <c r="A5350" s="11">
        <v>42782</v>
      </c>
      <c r="B5350" s="10" t="s">
        <v>11054</v>
      </c>
      <c r="C5350" s="10" t="s">
        <v>11055</v>
      </c>
      <c r="D5350" s="11">
        <v>42782.660011574073</v>
      </c>
      <c r="E5350" s="10" t="s">
        <v>433</v>
      </c>
    </row>
    <row r="5351" spans="1:5">
      <c r="A5351" s="11">
        <v>42782</v>
      </c>
      <c r="B5351" s="10" t="s">
        <v>11056</v>
      </c>
      <c r="C5351" s="10" t="s">
        <v>11057</v>
      </c>
      <c r="D5351" s="11">
        <v>42782.660092592596</v>
      </c>
      <c r="E5351" s="10" t="s">
        <v>240</v>
      </c>
    </row>
    <row r="5352" spans="1:5">
      <c r="A5352" s="11">
        <v>42782</v>
      </c>
      <c r="B5352" s="10" t="s">
        <v>11058</v>
      </c>
      <c r="C5352" s="10" t="s">
        <v>11059</v>
      </c>
      <c r="D5352" s="11">
        <v>42782.660162037035</v>
      </c>
      <c r="E5352" s="10" t="s">
        <v>2688</v>
      </c>
    </row>
    <row r="5353" spans="1:5">
      <c r="A5353" s="11">
        <v>42782</v>
      </c>
      <c r="B5353" s="10" t="s">
        <v>11060</v>
      </c>
      <c r="C5353" s="10" t="s">
        <v>11061</v>
      </c>
      <c r="D5353" s="11">
        <v>42782.660254629627</v>
      </c>
      <c r="E5353" s="10" t="s">
        <v>433</v>
      </c>
    </row>
    <row r="5354" spans="1:5">
      <c r="A5354" s="11">
        <v>42782</v>
      </c>
      <c r="B5354" s="10" t="s">
        <v>11062</v>
      </c>
      <c r="C5354" s="10" t="s">
        <v>11063</v>
      </c>
      <c r="D5354" s="11">
        <v>42782.657442129632</v>
      </c>
      <c r="E5354" s="10" t="s">
        <v>193</v>
      </c>
    </row>
    <row r="5355" spans="1:5">
      <c r="A5355" s="11">
        <v>42782</v>
      </c>
      <c r="B5355" s="10" t="s">
        <v>11064</v>
      </c>
      <c r="C5355" s="10" t="s">
        <v>11065</v>
      </c>
      <c r="D5355" s="11">
        <v>42782.657442129632</v>
      </c>
      <c r="E5355" s="10" t="s">
        <v>218</v>
      </c>
    </row>
    <row r="5356" spans="1:5">
      <c r="A5356" s="11">
        <v>42782</v>
      </c>
      <c r="B5356" s="10" t="s">
        <v>11066</v>
      </c>
      <c r="C5356" s="10" t="s">
        <v>11067</v>
      </c>
      <c r="D5356" s="11">
        <v>42782.639351851853</v>
      </c>
      <c r="E5356" s="10" t="s">
        <v>218</v>
      </c>
    </row>
    <row r="5357" spans="1:5">
      <c r="A5357" s="11">
        <v>42782</v>
      </c>
      <c r="B5357" s="10" t="s">
        <v>11068</v>
      </c>
      <c r="C5357" s="10" t="s">
        <v>11069</v>
      </c>
      <c r="D5357" s="11">
        <v>42782.660405092596</v>
      </c>
      <c r="E5357" s="10" t="s">
        <v>433</v>
      </c>
    </row>
    <row r="5358" spans="1:5">
      <c r="A5358" s="11">
        <v>42782</v>
      </c>
      <c r="B5358" s="10" t="s">
        <v>11070</v>
      </c>
      <c r="C5358" s="10" t="s">
        <v>11071</v>
      </c>
      <c r="D5358" s="11">
        <v>42782.648541666669</v>
      </c>
      <c r="E5358" s="10" t="s">
        <v>320</v>
      </c>
    </row>
    <row r="5359" spans="1:5">
      <c r="A5359" s="11">
        <v>42782</v>
      </c>
      <c r="B5359" s="10" t="s">
        <v>11072</v>
      </c>
      <c r="C5359" s="10" t="s">
        <v>11073</v>
      </c>
      <c r="D5359" s="11">
        <v>42782.657569444447</v>
      </c>
      <c r="E5359" s="10" t="s">
        <v>193</v>
      </c>
    </row>
    <row r="5360" spans="1:5">
      <c r="A5360" s="11">
        <v>42782</v>
      </c>
      <c r="B5360" s="10" t="s">
        <v>11074</v>
      </c>
      <c r="C5360" s="10" t="s">
        <v>11075</v>
      </c>
      <c r="D5360" s="11">
        <v>42782.647592592592</v>
      </c>
      <c r="E5360" s="10" t="s">
        <v>902</v>
      </c>
    </row>
    <row r="5361" spans="1:5">
      <c r="A5361" s="11">
        <v>42782</v>
      </c>
      <c r="B5361" s="10" t="s">
        <v>11076</v>
      </c>
      <c r="C5361" s="10" t="s">
        <v>11077</v>
      </c>
      <c r="D5361" s="11">
        <v>42782.646608796298</v>
      </c>
      <c r="E5361" s="10" t="s">
        <v>2995</v>
      </c>
    </row>
    <row r="5362" spans="1:5">
      <c r="A5362" s="11">
        <v>42782</v>
      </c>
      <c r="B5362" s="10" t="s">
        <v>11078</v>
      </c>
      <c r="C5362" s="10" t="s">
        <v>11079</v>
      </c>
      <c r="D5362" s="11">
        <v>42782.660567129627</v>
      </c>
      <c r="E5362" s="10" t="s">
        <v>433</v>
      </c>
    </row>
    <row r="5363" spans="1:5">
      <c r="A5363" s="11">
        <v>42782</v>
      </c>
      <c r="B5363" s="10" t="s">
        <v>11080</v>
      </c>
      <c r="C5363" s="10" t="s">
        <v>11081</v>
      </c>
      <c r="D5363" s="11">
        <v>42782.649236111109</v>
      </c>
      <c r="E5363" s="10" t="s">
        <v>2515</v>
      </c>
    </row>
    <row r="5364" spans="1:5">
      <c r="A5364" s="11">
        <v>42782</v>
      </c>
      <c r="B5364" s="10" t="s">
        <v>11082</v>
      </c>
      <c r="C5364" s="10" t="s">
        <v>11083</v>
      </c>
      <c r="D5364" s="11">
        <v>42782.660729166666</v>
      </c>
      <c r="E5364" s="10" t="s">
        <v>433</v>
      </c>
    </row>
    <row r="5365" spans="1:5">
      <c r="A5365" s="11">
        <v>42782</v>
      </c>
      <c r="B5365" s="10" t="s">
        <v>11084</v>
      </c>
      <c r="C5365" s="10" t="s">
        <v>11085</v>
      </c>
      <c r="D5365" s="11">
        <v>42782.660752314812</v>
      </c>
      <c r="E5365" s="10" t="s">
        <v>130</v>
      </c>
    </row>
    <row r="5366" spans="1:5">
      <c r="A5366" s="11">
        <v>42782</v>
      </c>
      <c r="B5366" s="10" t="s">
        <v>11086</v>
      </c>
      <c r="C5366" s="10" t="s">
        <v>11087</v>
      </c>
      <c r="D5366" s="11">
        <v>42782.660856481481</v>
      </c>
      <c r="E5366" s="10" t="s">
        <v>433</v>
      </c>
    </row>
    <row r="5367" spans="1:5">
      <c r="A5367" s="11">
        <v>42782</v>
      </c>
      <c r="B5367" s="10" t="s">
        <v>11088</v>
      </c>
      <c r="C5367" s="10" t="s">
        <v>11089</v>
      </c>
      <c r="D5367" s="11">
        <v>42782.660983796297</v>
      </c>
      <c r="E5367" s="10" t="s">
        <v>433</v>
      </c>
    </row>
    <row r="5368" spans="1:5">
      <c r="A5368" s="11">
        <v>42782</v>
      </c>
      <c r="B5368" s="10" t="s">
        <v>11090</v>
      </c>
      <c r="C5368" s="10" t="s">
        <v>11091</v>
      </c>
      <c r="D5368" s="11">
        <v>42782.661180555559</v>
      </c>
      <c r="E5368" s="10" t="s">
        <v>433</v>
      </c>
    </row>
    <row r="5369" spans="1:5">
      <c r="A5369" s="11">
        <v>42782</v>
      </c>
      <c r="B5369" s="10" t="s">
        <v>11092</v>
      </c>
      <c r="C5369" s="10" t="s">
        <v>11093</v>
      </c>
      <c r="D5369" s="11">
        <v>42782.66138888889</v>
      </c>
      <c r="E5369" s="10" t="s">
        <v>122</v>
      </c>
    </row>
    <row r="5370" spans="1:5">
      <c r="A5370" s="11">
        <v>42782</v>
      </c>
      <c r="B5370" s="10" t="s">
        <v>11094</v>
      </c>
      <c r="C5370" s="10" t="s">
        <v>11095</v>
      </c>
      <c r="D5370" s="11">
        <v>42782.661481481482</v>
      </c>
      <c r="E5370" s="10" t="s">
        <v>433</v>
      </c>
    </row>
    <row r="5371" spans="1:5">
      <c r="A5371" s="11">
        <v>42782</v>
      </c>
      <c r="B5371" s="10" t="s">
        <v>11096</v>
      </c>
      <c r="C5371" s="10" t="s">
        <v>11097</v>
      </c>
      <c r="D5371" s="11">
        <v>42782.661585648151</v>
      </c>
      <c r="E5371" s="10" t="s">
        <v>433</v>
      </c>
    </row>
    <row r="5372" spans="1:5">
      <c r="A5372" s="11">
        <v>42782</v>
      </c>
      <c r="B5372" s="10" t="s">
        <v>11098</v>
      </c>
      <c r="C5372" s="10" t="s">
        <v>11099</v>
      </c>
      <c r="D5372" s="11">
        <v>42782.657881944448</v>
      </c>
      <c r="E5372" s="10" t="s">
        <v>215</v>
      </c>
    </row>
    <row r="5373" spans="1:5">
      <c r="A5373" s="11">
        <v>42782</v>
      </c>
      <c r="B5373" s="10" t="s">
        <v>11100</v>
      </c>
      <c r="C5373" s="10" t="s">
        <v>11101</v>
      </c>
      <c r="D5373" s="11">
        <v>42782.658460648148</v>
      </c>
      <c r="E5373" s="10" t="s">
        <v>380</v>
      </c>
    </row>
    <row r="5374" spans="1:5">
      <c r="A5374" s="11">
        <v>42782</v>
      </c>
      <c r="B5374" s="10" t="s">
        <v>11102</v>
      </c>
      <c r="C5374" s="10" t="s">
        <v>11103</v>
      </c>
      <c r="D5374" s="11">
        <v>42782.661736111113</v>
      </c>
      <c r="E5374" s="10" t="s">
        <v>152</v>
      </c>
    </row>
    <row r="5375" spans="1:5">
      <c r="A5375" s="11">
        <v>42782</v>
      </c>
      <c r="B5375" s="10" t="s">
        <v>11104</v>
      </c>
      <c r="C5375" s="10" t="s">
        <v>11105</v>
      </c>
      <c r="D5375" s="11">
        <v>42782.661747685182</v>
      </c>
      <c r="E5375" s="10" t="s">
        <v>433</v>
      </c>
    </row>
    <row r="5376" spans="1:5">
      <c r="A5376" s="11">
        <v>42782</v>
      </c>
      <c r="B5376" s="10" t="s">
        <v>11106</v>
      </c>
      <c r="C5376" s="10" t="s">
        <v>11107</v>
      </c>
      <c r="D5376" s="11">
        <v>42782.661793981482</v>
      </c>
      <c r="E5376" s="10" t="s">
        <v>152</v>
      </c>
    </row>
    <row r="5377" spans="1:5">
      <c r="A5377" s="11">
        <v>42782</v>
      </c>
      <c r="B5377" s="10" t="s">
        <v>11108</v>
      </c>
      <c r="C5377" s="10" t="s">
        <v>11109</v>
      </c>
      <c r="D5377" s="11">
        <v>42782.660173611112</v>
      </c>
      <c r="E5377" s="10" t="s">
        <v>193</v>
      </c>
    </row>
    <row r="5378" spans="1:5">
      <c r="A5378" s="11">
        <v>42782</v>
      </c>
      <c r="B5378" s="10" t="s">
        <v>11110</v>
      </c>
      <c r="C5378" s="10" t="s">
        <v>11111</v>
      </c>
      <c r="D5378" s="11">
        <v>42782.681643518517</v>
      </c>
      <c r="E5378" s="10" t="s">
        <v>2515</v>
      </c>
    </row>
    <row r="5379" spans="1:5">
      <c r="A5379" s="11">
        <v>42782</v>
      </c>
      <c r="B5379" s="10" t="s">
        <v>11112</v>
      </c>
      <c r="C5379" s="10" t="s">
        <v>11113</v>
      </c>
      <c r="D5379" s="11">
        <v>42782.661956018521</v>
      </c>
      <c r="E5379" s="10" t="s">
        <v>433</v>
      </c>
    </row>
    <row r="5380" spans="1:5">
      <c r="A5380" s="11">
        <v>42782</v>
      </c>
      <c r="B5380" s="10" t="s">
        <v>11114</v>
      </c>
      <c r="C5380" s="10" t="s">
        <v>11115</v>
      </c>
      <c r="D5380" s="11">
        <v>42782.659884259258</v>
      </c>
      <c r="E5380" s="10" t="s">
        <v>193</v>
      </c>
    </row>
    <row r="5381" spans="1:5">
      <c r="A5381" s="11">
        <v>42782</v>
      </c>
      <c r="B5381" s="10" t="s">
        <v>11116</v>
      </c>
      <c r="C5381" s="10" t="s">
        <v>11117</v>
      </c>
      <c r="D5381" s="11">
        <v>42782.661979166667</v>
      </c>
      <c r="E5381" s="10" t="s">
        <v>383</v>
      </c>
    </row>
    <row r="5382" spans="1:5">
      <c r="A5382" s="11">
        <v>42782</v>
      </c>
      <c r="B5382" s="10" t="s">
        <v>11118</v>
      </c>
      <c r="C5382" s="10" t="s">
        <v>11119</v>
      </c>
      <c r="D5382" s="11">
        <v>42782.644733796296</v>
      </c>
      <c r="E5382" s="10" t="s">
        <v>433</v>
      </c>
    </row>
    <row r="5383" spans="1:5">
      <c r="A5383" s="11">
        <v>42782</v>
      </c>
      <c r="B5383" s="10" t="s">
        <v>11120</v>
      </c>
      <c r="C5383" s="10" t="s">
        <v>11121</v>
      </c>
      <c r="D5383" s="11">
        <v>42782.660763888889</v>
      </c>
      <c r="E5383" s="10" t="s">
        <v>380</v>
      </c>
    </row>
    <row r="5384" spans="1:5">
      <c r="A5384" s="11">
        <v>42782</v>
      </c>
      <c r="B5384" s="10" t="s">
        <v>11122</v>
      </c>
      <c r="C5384" s="10" t="s">
        <v>11123</v>
      </c>
      <c r="D5384" s="11">
        <v>42782.661828703705</v>
      </c>
      <c r="E5384" s="10" t="s">
        <v>122</v>
      </c>
    </row>
    <row r="5385" spans="1:5">
      <c r="A5385" s="11">
        <v>42782</v>
      </c>
      <c r="B5385" s="10" t="s">
        <v>11124</v>
      </c>
      <c r="C5385" s="10" t="s">
        <v>11125</v>
      </c>
      <c r="D5385" s="11">
        <v>42782.662106481483</v>
      </c>
      <c r="E5385" s="10" t="s">
        <v>433</v>
      </c>
    </row>
    <row r="5386" spans="1:5">
      <c r="A5386" s="11">
        <v>42782</v>
      </c>
      <c r="B5386" s="10" t="s">
        <v>11126</v>
      </c>
      <c r="C5386" s="10" t="s">
        <v>11127</v>
      </c>
      <c r="D5386" s="11">
        <v>42782.657708333332</v>
      </c>
      <c r="E5386" s="10" t="s">
        <v>218</v>
      </c>
    </row>
    <row r="5387" spans="1:5">
      <c r="A5387" s="11">
        <v>42782</v>
      </c>
      <c r="B5387" s="10" t="s">
        <v>11128</v>
      </c>
      <c r="C5387" s="10" t="s">
        <v>11129</v>
      </c>
      <c r="D5387" s="11">
        <v>42782.658263888887</v>
      </c>
      <c r="E5387" s="10" t="s">
        <v>3060</v>
      </c>
    </row>
    <row r="5388" spans="1:5" ht="21.6">
      <c r="A5388" s="11">
        <v>42782</v>
      </c>
      <c r="B5388" s="10" t="s">
        <v>11130</v>
      </c>
      <c r="C5388" s="10" t="s">
        <v>11131</v>
      </c>
      <c r="D5388" s="11">
        <v>42782.633043981485</v>
      </c>
      <c r="E5388" s="10" t="s">
        <v>4004</v>
      </c>
    </row>
    <row r="5389" spans="1:5">
      <c r="A5389" s="11">
        <v>42782</v>
      </c>
      <c r="B5389" s="10" t="s">
        <v>11132</v>
      </c>
      <c r="C5389" s="10" t="s">
        <v>11133</v>
      </c>
      <c r="D5389" s="11">
        <v>42782.662175925929</v>
      </c>
      <c r="E5389" s="10" t="s">
        <v>122</v>
      </c>
    </row>
    <row r="5390" spans="1:5">
      <c r="A5390" s="11">
        <v>42782</v>
      </c>
      <c r="B5390" s="10" t="s">
        <v>11134</v>
      </c>
      <c r="C5390" s="10" t="s">
        <v>11135</v>
      </c>
      <c r="D5390" s="11">
        <v>42782.628101851849</v>
      </c>
      <c r="E5390" s="10" t="s">
        <v>218</v>
      </c>
    </row>
    <row r="5391" spans="1:5">
      <c r="A5391" s="11">
        <v>42782</v>
      </c>
      <c r="B5391" s="10" t="s">
        <v>11136</v>
      </c>
      <c r="C5391" s="10" t="s">
        <v>11137</v>
      </c>
      <c r="D5391" s="11">
        <v>42782.662349537037</v>
      </c>
      <c r="E5391" s="10" t="s">
        <v>433</v>
      </c>
    </row>
    <row r="5392" spans="1:5">
      <c r="A5392" s="11">
        <v>42782</v>
      </c>
      <c r="B5392" s="10" t="s">
        <v>11138</v>
      </c>
      <c r="C5392" s="10" t="s">
        <v>11139</v>
      </c>
      <c r="D5392" s="11">
        <v>42782.662418981483</v>
      </c>
      <c r="E5392" s="10" t="s">
        <v>218</v>
      </c>
    </row>
    <row r="5393" spans="1:5">
      <c r="A5393" s="11">
        <v>42782</v>
      </c>
      <c r="B5393" s="10" t="s">
        <v>11140</v>
      </c>
      <c r="C5393" s="10" t="s">
        <v>11141</v>
      </c>
      <c r="D5393" s="11">
        <v>42782.654965277776</v>
      </c>
      <c r="E5393" s="10" t="s">
        <v>96</v>
      </c>
    </row>
    <row r="5394" spans="1:5">
      <c r="A5394" s="11">
        <v>42782</v>
      </c>
      <c r="B5394" s="10" t="s">
        <v>11142</v>
      </c>
      <c r="C5394" s="10" t="s">
        <v>11143</v>
      </c>
      <c r="D5394" s="11">
        <v>42782.657083333332</v>
      </c>
      <c r="E5394" s="10" t="s">
        <v>608</v>
      </c>
    </row>
    <row r="5395" spans="1:5">
      <c r="A5395" s="11">
        <v>42782</v>
      </c>
      <c r="B5395" s="10" t="s">
        <v>11144</v>
      </c>
      <c r="C5395" s="10" t="s">
        <v>11145</v>
      </c>
      <c r="D5395" s="11">
        <v>42782.662523148145</v>
      </c>
      <c r="E5395" s="10" t="s">
        <v>433</v>
      </c>
    </row>
    <row r="5396" spans="1:5">
      <c r="A5396" s="11">
        <v>42782</v>
      </c>
      <c r="B5396" s="10" t="s">
        <v>11146</v>
      </c>
      <c r="C5396" s="10" t="s">
        <v>11147</v>
      </c>
      <c r="D5396" s="11">
        <v>42782.635752314818</v>
      </c>
      <c r="E5396" s="10" t="s">
        <v>237</v>
      </c>
    </row>
    <row r="5397" spans="1:5">
      <c r="A5397" s="11">
        <v>42782</v>
      </c>
      <c r="B5397" s="10" t="s">
        <v>11148</v>
      </c>
      <c r="C5397" s="10" t="s">
        <v>11149</v>
      </c>
      <c r="D5397" s="11">
        <v>42782.662534722222</v>
      </c>
      <c r="E5397" s="10" t="s">
        <v>292</v>
      </c>
    </row>
    <row r="5398" spans="1:5">
      <c r="A5398" s="11">
        <v>42782</v>
      </c>
      <c r="B5398" s="10" t="s">
        <v>11150</v>
      </c>
      <c r="C5398" s="10" t="s">
        <v>11151</v>
      </c>
      <c r="D5398" s="11">
        <v>42782.662604166668</v>
      </c>
      <c r="E5398" s="10" t="s">
        <v>3027</v>
      </c>
    </row>
    <row r="5399" spans="1:5">
      <c r="A5399" s="11">
        <v>42782</v>
      </c>
      <c r="B5399" s="10" t="s">
        <v>11152</v>
      </c>
      <c r="C5399" s="10" t="s">
        <v>11153</v>
      </c>
      <c r="D5399" s="11">
        <v>42782.662708333337</v>
      </c>
      <c r="E5399" s="10" t="s">
        <v>433</v>
      </c>
    </row>
    <row r="5400" spans="1:5">
      <c r="A5400" s="11">
        <v>42782</v>
      </c>
      <c r="B5400" s="10" t="s">
        <v>11154</v>
      </c>
      <c r="C5400" s="10" t="s">
        <v>11155</v>
      </c>
      <c r="D5400" s="11">
        <v>42782.662719907406</v>
      </c>
      <c r="E5400" s="10" t="s">
        <v>433</v>
      </c>
    </row>
    <row r="5401" spans="1:5" ht="21.6">
      <c r="A5401" s="11">
        <v>42782</v>
      </c>
      <c r="B5401" s="10" t="s">
        <v>11156</v>
      </c>
      <c r="C5401" s="10" t="s">
        <v>11157</v>
      </c>
      <c r="D5401" s="11">
        <v>42782.644108796296</v>
      </c>
      <c r="E5401" s="10" t="s">
        <v>146</v>
      </c>
    </row>
    <row r="5402" spans="1:5">
      <c r="A5402" s="11">
        <v>42782</v>
      </c>
      <c r="B5402" s="10" t="s">
        <v>11158</v>
      </c>
      <c r="C5402" s="10" t="s">
        <v>11159</v>
      </c>
      <c r="D5402" s="11">
        <v>42782.660231481481</v>
      </c>
      <c r="E5402" s="10" t="s">
        <v>433</v>
      </c>
    </row>
    <row r="5403" spans="1:5">
      <c r="A5403" s="11">
        <v>42782</v>
      </c>
      <c r="B5403" s="10" t="s">
        <v>11160</v>
      </c>
      <c r="C5403" s="10" t="s">
        <v>11161</v>
      </c>
      <c r="D5403" s="11">
        <v>42782.662893518522</v>
      </c>
      <c r="E5403" s="10" t="s">
        <v>433</v>
      </c>
    </row>
    <row r="5404" spans="1:5">
      <c r="A5404" s="11">
        <v>42782</v>
      </c>
      <c r="B5404" s="10" t="s">
        <v>11162</v>
      </c>
      <c r="C5404" s="10" t="s">
        <v>11163</v>
      </c>
      <c r="D5404" s="11">
        <v>42782.662916666668</v>
      </c>
      <c r="E5404" s="10" t="s">
        <v>433</v>
      </c>
    </row>
    <row r="5405" spans="1:5">
      <c r="A5405" s="11">
        <v>42782</v>
      </c>
      <c r="B5405" s="10" t="s">
        <v>11164</v>
      </c>
      <c r="C5405" s="10" t="s">
        <v>11165</v>
      </c>
      <c r="D5405" s="11">
        <v>42782.66302083333</v>
      </c>
      <c r="E5405" s="10" t="s">
        <v>433</v>
      </c>
    </row>
    <row r="5406" spans="1:5">
      <c r="A5406" s="11">
        <v>42782</v>
      </c>
      <c r="B5406" s="10" t="s">
        <v>11166</v>
      </c>
      <c r="C5406" s="10" t="s">
        <v>11167</v>
      </c>
      <c r="D5406" s="11">
        <v>42782.65115740741</v>
      </c>
      <c r="E5406" s="10" t="s">
        <v>2742</v>
      </c>
    </row>
    <row r="5407" spans="1:5">
      <c r="A5407" s="11">
        <v>42782</v>
      </c>
      <c r="B5407" s="10" t="s">
        <v>11168</v>
      </c>
      <c r="C5407" s="10" t="s">
        <v>11169</v>
      </c>
      <c r="D5407" s="11">
        <v>42782.663043981483</v>
      </c>
      <c r="E5407" s="10" t="s">
        <v>193</v>
      </c>
    </row>
    <row r="5408" spans="1:5" ht="21.6">
      <c r="A5408" s="11">
        <v>42782</v>
      </c>
      <c r="B5408" s="10" t="s">
        <v>11170</v>
      </c>
      <c r="C5408" s="10" t="s">
        <v>11171</v>
      </c>
      <c r="D5408" s="11">
        <v>42782.639699074076</v>
      </c>
      <c r="E5408" s="10" t="s">
        <v>1758</v>
      </c>
    </row>
    <row r="5409" spans="1:5">
      <c r="A5409" s="11">
        <v>42782</v>
      </c>
      <c r="B5409" s="10" t="s">
        <v>11172</v>
      </c>
      <c r="C5409" s="10" t="s">
        <v>11173</v>
      </c>
      <c r="D5409" s="11">
        <v>42782.638437499998</v>
      </c>
      <c r="E5409" s="10" t="s">
        <v>193</v>
      </c>
    </row>
    <row r="5410" spans="1:5">
      <c r="A5410" s="11">
        <v>42782</v>
      </c>
      <c r="B5410" s="10" t="s">
        <v>11174</v>
      </c>
      <c r="C5410" s="10" t="s">
        <v>11175</v>
      </c>
      <c r="D5410" s="11">
        <v>42782.663113425922</v>
      </c>
      <c r="E5410" s="10" t="s">
        <v>380</v>
      </c>
    </row>
    <row r="5411" spans="1:5">
      <c r="A5411" s="11">
        <v>42782</v>
      </c>
      <c r="B5411" s="10" t="s">
        <v>11176</v>
      </c>
      <c r="C5411" s="10" t="s">
        <v>11177</v>
      </c>
      <c r="D5411" s="11">
        <v>42782.659131944441</v>
      </c>
      <c r="E5411" s="10" t="s">
        <v>193</v>
      </c>
    </row>
    <row r="5412" spans="1:5">
      <c r="A5412" s="11">
        <v>42782</v>
      </c>
      <c r="B5412" s="10" t="s">
        <v>11178</v>
      </c>
      <c r="C5412" s="10" t="s">
        <v>11179</v>
      </c>
      <c r="D5412" s="11">
        <v>42782.663194444445</v>
      </c>
      <c r="E5412" s="10" t="s">
        <v>433</v>
      </c>
    </row>
    <row r="5413" spans="1:5">
      <c r="A5413" s="11">
        <v>42782</v>
      </c>
      <c r="B5413" s="10" t="s">
        <v>11180</v>
      </c>
      <c r="C5413" s="10" t="s">
        <v>11181</v>
      </c>
      <c r="D5413" s="11">
        <v>42782.658958333333</v>
      </c>
      <c r="E5413" s="10" t="s">
        <v>122</v>
      </c>
    </row>
    <row r="5414" spans="1:5">
      <c r="A5414" s="11">
        <v>42782</v>
      </c>
      <c r="B5414" s="10" t="s">
        <v>11182</v>
      </c>
      <c r="C5414" s="10" t="s">
        <v>11183</v>
      </c>
      <c r="D5414" s="11">
        <v>42782.66034722222</v>
      </c>
      <c r="E5414" s="10" t="s">
        <v>240</v>
      </c>
    </row>
    <row r="5415" spans="1:5">
      <c r="A5415" s="11">
        <v>42782</v>
      </c>
      <c r="B5415" s="10" t="s">
        <v>11184</v>
      </c>
      <c r="C5415" s="10" t="s">
        <v>11185</v>
      </c>
      <c r="D5415" s="11">
        <v>42782.659212962964</v>
      </c>
      <c r="E5415" s="10" t="s">
        <v>122</v>
      </c>
    </row>
    <row r="5416" spans="1:5">
      <c r="A5416" s="11">
        <v>42782</v>
      </c>
      <c r="B5416" s="10" t="s">
        <v>11186</v>
      </c>
      <c r="C5416" s="10" t="s">
        <v>11187</v>
      </c>
      <c r="D5416" s="11">
        <v>42782.644652777781</v>
      </c>
      <c r="E5416" s="10" t="s">
        <v>433</v>
      </c>
    </row>
    <row r="5417" spans="1:5">
      <c r="A5417" s="11">
        <v>42782</v>
      </c>
      <c r="B5417" s="10" t="s">
        <v>11188</v>
      </c>
      <c r="C5417" s="10" t="s">
        <v>11189</v>
      </c>
      <c r="D5417" s="11">
        <v>42782.644826388889</v>
      </c>
      <c r="E5417" s="10" t="s">
        <v>433</v>
      </c>
    </row>
    <row r="5418" spans="1:5">
      <c r="A5418" s="11">
        <v>42782</v>
      </c>
      <c r="B5418" s="10" t="s">
        <v>11190</v>
      </c>
      <c r="C5418" s="10" t="s">
        <v>11191</v>
      </c>
      <c r="D5418" s="11">
        <v>42782.662037037036</v>
      </c>
      <c r="E5418" s="10" t="s">
        <v>122</v>
      </c>
    </row>
    <row r="5419" spans="1:5">
      <c r="A5419" s="11">
        <v>42782</v>
      </c>
      <c r="B5419" s="10" t="s">
        <v>11192</v>
      </c>
      <c r="C5419" s="10" t="s">
        <v>11193</v>
      </c>
      <c r="D5419" s="11">
        <v>42782.663761574076</v>
      </c>
      <c r="E5419" s="10" t="s">
        <v>218</v>
      </c>
    </row>
    <row r="5420" spans="1:5">
      <c r="A5420" s="11">
        <v>42782</v>
      </c>
      <c r="B5420" s="10" t="s">
        <v>11194</v>
      </c>
      <c r="C5420" s="10" t="s">
        <v>11195</v>
      </c>
      <c r="D5420" s="11">
        <v>42782.646018518521</v>
      </c>
      <c r="E5420" s="10" t="s">
        <v>96</v>
      </c>
    </row>
    <row r="5421" spans="1:5">
      <c r="A5421" s="11">
        <v>42782</v>
      </c>
      <c r="B5421" s="10" t="s">
        <v>11196</v>
      </c>
      <c r="C5421" s="10" t="s">
        <v>11197</v>
      </c>
      <c r="D5421" s="11">
        <v>42782.640636574077</v>
      </c>
      <c r="E5421" s="10" t="s">
        <v>707</v>
      </c>
    </row>
    <row r="5422" spans="1:5">
      <c r="A5422" s="11">
        <v>42782</v>
      </c>
      <c r="B5422" s="10" t="s">
        <v>11198</v>
      </c>
      <c r="C5422" s="10" t="s">
        <v>11199</v>
      </c>
      <c r="D5422" s="11">
        <v>42782.655405092592</v>
      </c>
      <c r="E5422" s="10" t="s">
        <v>3550</v>
      </c>
    </row>
    <row r="5423" spans="1:5">
      <c r="A5423" s="11">
        <v>42782</v>
      </c>
      <c r="B5423" s="10" t="s">
        <v>11200</v>
      </c>
      <c r="C5423" s="10" t="s">
        <v>11201</v>
      </c>
      <c r="D5423" s="11">
        <v>42782.631898148145</v>
      </c>
      <c r="E5423" s="10" t="s">
        <v>1758</v>
      </c>
    </row>
    <row r="5424" spans="1:5">
      <c r="A5424" s="11">
        <v>42782</v>
      </c>
      <c r="B5424" s="10" t="s">
        <v>11202</v>
      </c>
      <c r="C5424" s="10" t="s">
        <v>11203</v>
      </c>
      <c r="D5424" s="11">
        <v>42782.657002314816</v>
      </c>
      <c r="E5424" s="10" t="s">
        <v>433</v>
      </c>
    </row>
    <row r="5425" spans="1:5">
      <c r="A5425" s="11">
        <v>42782</v>
      </c>
      <c r="B5425" s="10" t="s">
        <v>11204</v>
      </c>
      <c r="C5425" s="10" t="s">
        <v>11205</v>
      </c>
      <c r="D5425" s="11">
        <v>42782.663969907408</v>
      </c>
      <c r="E5425" s="10" t="s">
        <v>2693</v>
      </c>
    </row>
    <row r="5426" spans="1:5">
      <c r="A5426" s="11">
        <v>42782</v>
      </c>
      <c r="B5426" s="10" t="s">
        <v>11206</v>
      </c>
      <c r="C5426" s="10" t="s">
        <v>11207</v>
      </c>
      <c r="D5426" s="11">
        <v>42782.644502314812</v>
      </c>
      <c r="E5426" s="10" t="s">
        <v>209</v>
      </c>
    </row>
    <row r="5427" spans="1:5">
      <c r="A5427" s="11">
        <v>42782</v>
      </c>
      <c r="B5427" s="10" t="s">
        <v>11208</v>
      </c>
      <c r="C5427" s="10" t="s">
        <v>11209</v>
      </c>
      <c r="D5427" s="11">
        <v>42782.653773148151</v>
      </c>
      <c r="E5427" s="10" t="s">
        <v>4865</v>
      </c>
    </row>
    <row r="5428" spans="1:5">
      <c r="A5428" s="11">
        <v>42782</v>
      </c>
      <c r="B5428" s="10" t="s">
        <v>11210</v>
      </c>
      <c r="C5428" s="10" t="s">
        <v>11211</v>
      </c>
      <c r="D5428" s="11">
        <v>42782.658449074072</v>
      </c>
      <c r="E5428" s="10" t="s">
        <v>122</v>
      </c>
    </row>
    <row r="5429" spans="1:5">
      <c r="A5429" s="11">
        <v>42782</v>
      </c>
      <c r="B5429" s="10" t="s">
        <v>11212</v>
      </c>
      <c r="C5429" s="10" t="s">
        <v>11213</v>
      </c>
      <c r="D5429" s="11">
        <v>42782.664513888885</v>
      </c>
      <c r="E5429" s="10" t="s">
        <v>193</v>
      </c>
    </row>
    <row r="5430" spans="1:5">
      <c r="A5430" s="11">
        <v>42782</v>
      </c>
      <c r="B5430" s="10" t="s">
        <v>11214</v>
      </c>
      <c r="C5430" s="10" t="s">
        <v>11215</v>
      </c>
      <c r="D5430" s="11">
        <v>42782.659745370373</v>
      </c>
      <c r="E5430" s="10" t="s">
        <v>193</v>
      </c>
    </row>
    <row r="5431" spans="1:5">
      <c r="A5431" s="11">
        <v>42782</v>
      </c>
      <c r="B5431" s="10" t="s">
        <v>11216</v>
      </c>
      <c r="C5431" s="10" t="s">
        <v>11217</v>
      </c>
      <c r="D5431" s="11">
        <v>42782.663206018522</v>
      </c>
      <c r="E5431" s="10" t="s">
        <v>193</v>
      </c>
    </row>
    <row r="5432" spans="1:5">
      <c r="A5432" s="11">
        <v>42782</v>
      </c>
      <c r="B5432" s="10" t="s">
        <v>11218</v>
      </c>
      <c r="C5432" s="10" t="s">
        <v>11219</v>
      </c>
      <c r="D5432" s="11">
        <v>42782.653553240743</v>
      </c>
      <c r="E5432" s="10" t="s">
        <v>3550</v>
      </c>
    </row>
    <row r="5433" spans="1:5">
      <c r="A5433" s="11">
        <v>42782</v>
      </c>
      <c r="B5433" s="10" t="s">
        <v>11220</v>
      </c>
      <c r="C5433" s="10" t="s">
        <v>11221</v>
      </c>
      <c r="D5433" s="11">
        <v>42782.629687499997</v>
      </c>
      <c r="E5433" s="10" t="s">
        <v>2995</v>
      </c>
    </row>
    <row r="5434" spans="1:5">
      <c r="A5434" s="11">
        <v>42782</v>
      </c>
      <c r="B5434" s="10" t="s">
        <v>11222</v>
      </c>
      <c r="C5434" s="10" t="s">
        <v>11223</v>
      </c>
      <c r="D5434" s="11">
        <v>42782.661041666666</v>
      </c>
      <c r="E5434" s="10" t="s">
        <v>2995</v>
      </c>
    </row>
    <row r="5435" spans="1:5">
      <c r="A5435" s="11">
        <v>42782</v>
      </c>
      <c r="B5435" s="10" t="s">
        <v>11224</v>
      </c>
      <c r="C5435" s="10" t="s">
        <v>11225</v>
      </c>
      <c r="D5435" s="11">
        <v>42782.661886574075</v>
      </c>
      <c r="E5435" s="10" t="s">
        <v>2742</v>
      </c>
    </row>
    <row r="5436" spans="1:5" ht="21.6">
      <c r="A5436" s="11">
        <v>42782</v>
      </c>
      <c r="B5436" s="10" t="s">
        <v>11226</v>
      </c>
      <c r="C5436" s="10" t="s">
        <v>11227</v>
      </c>
      <c r="D5436" s="11">
        <v>42782.66302083333</v>
      </c>
      <c r="E5436" s="10" t="s">
        <v>4004</v>
      </c>
    </row>
    <row r="5437" spans="1:5">
      <c r="A5437" s="11">
        <v>42782</v>
      </c>
      <c r="B5437" s="10" t="s">
        <v>11228</v>
      </c>
      <c r="C5437" s="10" t="s">
        <v>11229</v>
      </c>
      <c r="D5437" s="11">
        <v>42782.664097222223</v>
      </c>
      <c r="E5437" s="10" t="s">
        <v>422</v>
      </c>
    </row>
    <row r="5438" spans="1:5">
      <c r="A5438" s="11">
        <v>42782</v>
      </c>
      <c r="B5438" s="10" t="s">
        <v>11230</v>
      </c>
      <c r="C5438" s="10" t="s">
        <v>11231</v>
      </c>
      <c r="D5438" s="11">
        <v>42782.663958333331</v>
      </c>
      <c r="E5438" s="10" t="s">
        <v>422</v>
      </c>
    </row>
    <row r="5439" spans="1:5">
      <c r="A5439" s="11">
        <v>42782</v>
      </c>
      <c r="B5439" s="10" t="s">
        <v>11232</v>
      </c>
      <c r="C5439" s="10" t="s">
        <v>11233</v>
      </c>
      <c r="D5439" s="11">
        <v>42782.651458333334</v>
      </c>
      <c r="E5439" s="10" t="s">
        <v>6712</v>
      </c>
    </row>
    <row r="5440" spans="1:5">
      <c r="A5440" s="11">
        <v>42782</v>
      </c>
      <c r="B5440" s="10" t="s">
        <v>11234</v>
      </c>
      <c r="C5440" s="10" t="s">
        <v>11235</v>
      </c>
      <c r="D5440" s="11">
        <v>42782.665312500001</v>
      </c>
      <c r="E5440" s="10" t="s">
        <v>122</v>
      </c>
    </row>
    <row r="5441" spans="1:5">
      <c r="A5441" s="11">
        <v>42782</v>
      </c>
      <c r="B5441" s="10" t="s">
        <v>11236</v>
      </c>
      <c r="C5441" s="10" t="s">
        <v>11237</v>
      </c>
      <c r="D5441" s="11">
        <v>42782.665381944447</v>
      </c>
      <c r="E5441" s="10" t="s">
        <v>320</v>
      </c>
    </row>
    <row r="5442" spans="1:5">
      <c r="A5442" s="11">
        <v>42782</v>
      </c>
      <c r="B5442" s="10" t="s">
        <v>11238</v>
      </c>
      <c r="C5442" s="10" t="s">
        <v>11239</v>
      </c>
      <c r="D5442" s="11">
        <v>42782.677384259259</v>
      </c>
      <c r="E5442" s="10" t="s">
        <v>479</v>
      </c>
    </row>
    <row r="5443" spans="1:5">
      <c r="A5443" s="11">
        <v>42782</v>
      </c>
      <c r="B5443" s="10" t="s">
        <v>11240</v>
      </c>
      <c r="C5443" s="10" t="s">
        <v>11241</v>
      </c>
      <c r="D5443" s="11">
        <v>42782.636643518519</v>
      </c>
      <c r="E5443" s="10" t="s">
        <v>96</v>
      </c>
    </row>
    <row r="5444" spans="1:5">
      <c r="A5444" s="11">
        <v>42782</v>
      </c>
      <c r="B5444" s="10" t="s">
        <v>11242</v>
      </c>
      <c r="C5444" s="10" t="s">
        <v>11243</v>
      </c>
      <c r="D5444" s="11">
        <v>42782.663807870369</v>
      </c>
      <c r="E5444" s="10" t="s">
        <v>707</v>
      </c>
    </row>
    <row r="5445" spans="1:5">
      <c r="A5445" s="11">
        <v>42782</v>
      </c>
      <c r="B5445" s="10" t="s">
        <v>11244</v>
      </c>
      <c r="C5445" s="10" t="s">
        <v>11245</v>
      </c>
      <c r="D5445" s="11">
        <v>42782.665694444448</v>
      </c>
      <c r="E5445" s="10" t="s">
        <v>218</v>
      </c>
    </row>
    <row r="5446" spans="1:5">
      <c r="A5446" s="11">
        <v>42782</v>
      </c>
      <c r="B5446" s="10" t="s">
        <v>11246</v>
      </c>
      <c r="C5446" s="10" t="s">
        <v>11247</v>
      </c>
      <c r="D5446" s="11">
        <v>42782.665347222224</v>
      </c>
      <c r="E5446" s="10" t="s">
        <v>707</v>
      </c>
    </row>
    <row r="5447" spans="1:5">
      <c r="A5447" s="11">
        <v>42782</v>
      </c>
      <c r="B5447" s="10" t="s">
        <v>11248</v>
      </c>
      <c r="C5447" s="10" t="s">
        <v>11249</v>
      </c>
      <c r="D5447" s="11">
        <v>42782.663622685184</v>
      </c>
      <c r="E5447" s="10" t="s">
        <v>122</v>
      </c>
    </row>
    <row r="5448" spans="1:5">
      <c r="A5448" s="11">
        <v>42782</v>
      </c>
      <c r="B5448" s="10" t="s">
        <v>11250</v>
      </c>
      <c r="C5448" s="10" t="s">
        <v>11251</v>
      </c>
      <c r="D5448" s="11">
        <v>42782.665891203702</v>
      </c>
      <c r="E5448" s="10" t="s">
        <v>4898</v>
      </c>
    </row>
    <row r="5449" spans="1:5">
      <c r="A5449" s="11">
        <v>42782</v>
      </c>
      <c r="B5449" s="10" t="s">
        <v>11252</v>
      </c>
      <c r="C5449" s="10" t="s">
        <v>11253</v>
      </c>
      <c r="D5449" s="11">
        <v>42782.661793981482</v>
      </c>
      <c r="E5449" s="10" t="s">
        <v>433</v>
      </c>
    </row>
    <row r="5450" spans="1:5">
      <c r="A5450" s="11">
        <v>42782</v>
      </c>
      <c r="B5450" s="10" t="s">
        <v>11254</v>
      </c>
      <c r="C5450" s="10" t="s">
        <v>11255</v>
      </c>
      <c r="D5450" s="11">
        <v>42782.658865740741</v>
      </c>
      <c r="E5450" s="10" t="s">
        <v>122</v>
      </c>
    </row>
    <row r="5451" spans="1:5" ht="21.6">
      <c r="A5451" s="11">
        <v>42782</v>
      </c>
      <c r="B5451" s="10" t="s">
        <v>11256</v>
      </c>
      <c r="C5451" s="10" t="s">
        <v>11257</v>
      </c>
      <c r="D5451" s="11">
        <v>42782.642488425925</v>
      </c>
      <c r="E5451" s="10" t="s">
        <v>146</v>
      </c>
    </row>
    <row r="5452" spans="1:5">
      <c r="A5452" s="11">
        <v>42782</v>
      </c>
      <c r="B5452" s="10" t="s">
        <v>11258</v>
      </c>
      <c r="C5452" s="10" t="s">
        <v>11259</v>
      </c>
      <c r="D5452" s="11">
        <v>42782.666076388887</v>
      </c>
      <c r="E5452" s="10" t="s">
        <v>7557</v>
      </c>
    </row>
    <row r="5453" spans="1:5">
      <c r="A5453" s="11">
        <v>42782</v>
      </c>
      <c r="B5453" s="10" t="s">
        <v>11260</v>
      </c>
      <c r="C5453" s="10" t="s">
        <v>11261</v>
      </c>
      <c r="D5453" s="11">
        <v>42782.662928240738</v>
      </c>
      <c r="E5453" s="10" t="s">
        <v>1319</v>
      </c>
    </row>
    <row r="5454" spans="1:5">
      <c r="A5454" s="11">
        <v>42782</v>
      </c>
      <c r="B5454" s="10" t="s">
        <v>11262</v>
      </c>
      <c r="C5454" s="10" t="s">
        <v>11263</v>
      </c>
      <c r="D5454" s="11">
        <v>42782.663587962961</v>
      </c>
      <c r="E5454" s="10" t="s">
        <v>625</v>
      </c>
    </row>
    <row r="5455" spans="1:5">
      <c r="A5455" s="11">
        <v>42782</v>
      </c>
      <c r="B5455" s="10" t="s">
        <v>11264</v>
      </c>
      <c r="C5455" s="10" t="s">
        <v>11265</v>
      </c>
      <c r="D5455" s="11">
        <v>42782.66611111111</v>
      </c>
      <c r="E5455" s="10" t="s">
        <v>2234</v>
      </c>
    </row>
    <row r="5456" spans="1:5">
      <c r="A5456" s="11">
        <v>42782</v>
      </c>
      <c r="B5456" s="10" t="s">
        <v>11266</v>
      </c>
      <c r="C5456" s="10" t="s">
        <v>11267</v>
      </c>
      <c r="D5456" s="11">
        <v>42782.654861111114</v>
      </c>
      <c r="E5456" s="10" t="s">
        <v>320</v>
      </c>
    </row>
    <row r="5457" spans="1:5">
      <c r="A5457" s="11">
        <v>42782</v>
      </c>
      <c r="B5457" s="10" t="s">
        <v>11268</v>
      </c>
      <c r="C5457" s="10" t="s">
        <v>11269</v>
      </c>
      <c r="D5457" s="11">
        <v>42782.664259259262</v>
      </c>
      <c r="E5457" s="10" t="s">
        <v>2995</v>
      </c>
    </row>
    <row r="5458" spans="1:5">
      <c r="A5458" s="11">
        <v>42782</v>
      </c>
      <c r="B5458" s="10" t="s">
        <v>11270</v>
      </c>
      <c r="C5458" s="10" t="s">
        <v>11271</v>
      </c>
      <c r="D5458" s="11">
        <v>42782.658645833333</v>
      </c>
      <c r="E5458" s="10" t="s">
        <v>96</v>
      </c>
    </row>
    <row r="5459" spans="1:5">
      <c r="A5459" s="11">
        <v>42782</v>
      </c>
      <c r="B5459" s="10" t="s">
        <v>11272</v>
      </c>
      <c r="C5459" s="10" t="s">
        <v>11273</v>
      </c>
      <c r="D5459" s="11">
        <v>42782.683796296296</v>
      </c>
      <c r="E5459" s="10" t="s">
        <v>122</v>
      </c>
    </row>
    <row r="5460" spans="1:5">
      <c r="A5460" s="11">
        <v>42782</v>
      </c>
      <c r="B5460" s="10" t="s">
        <v>11274</v>
      </c>
      <c r="C5460" s="10" t="s">
        <v>11275</v>
      </c>
      <c r="D5460" s="11">
        <v>42782.663101851853</v>
      </c>
      <c r="E5460" s="10" t="s">
        <v>1319</v>
      </c>
    </row>
    <row r="5461" spans="1:5">
      <c r="A5461" s="11">
        <v>42782</v>
      </c>
      <c r="B5461" s="10" t="s">
        <v>11276</v>
      </c>
      <c r="C5461" s="10" t="s">
        <v>11277</v>
      </c>
      <c r="D5461" s="11">
        <v>42782.666238425925</v>
      </c>
      <c r="E5461" s="10" t="s">
        <v>6712</v>
      </c>
    </row>
    <row r="5462" spans="1:5">
      <c r="A5462" s="11">
        <v>42782</v>
      </c>
      <c r="B5462" s="10" t="s">
        <v>11278</v>
      </c>
      <c r="C5462" s="10" t="s">
        <v>11279</v>
      </c>
      <c r="D5462" s="11">
        <v>42782.666018518517</v>
      </c>
      <c r="E5462" s="10" t="s">
        <v>4865</v>
      </c>
    </row>
    <row r="5463" spans="1:5">
      <c r="A5463" s="11">
        <v>42782</v>
      </c>
      <c r="B5463" s="10" t="s">
        <v>11280</v>
      </c>
      <c r="C5463" s="10" t="s">
        <v>11281</v>
      </c>
      <c r="D5463" s="11">
        <v>42782.666527777779</v>
      </c>
      <c r="E5463" s="10" t="s">
        <v>902</v>
      </c>
    </row>
    <row r="5464" spans="1:5">
      <c r="A5464" s="11">
        <v>42782</v>
      </c>
      <c r="B5464" s="10" t="s">
        <v>11282</v>
      </c>
      <c r="C5464" s="10" t="s">
        <v>11283</v>
      </c>
      <c r="D5464" s="11">
        <v>42782.666562500002</v>
      </c>
      <c r="E5464" s="10" t="s">
        <v>232</v>
      </c>
    </row>
    <row r="5465" spans="1:5">
      <c r="A5465" s="11">
        <v>42782</v>
      </c>
      <c r="B5465" s="10" t="s">
        <v>11284</v>
      </c>
      <c r="C5465" s="10" t="s">
        <v>11285</v>
      </c>
      <c r="D5465" s="11">
        <v>42782.64162037037</v>
      </c>
      <c r="E5465" s="10" t="s">
        <v>237</v>
      </c>
    </row>
    <row r="5466" spans="1:5">
      <c r="A5466" s="11">
        <v>42782</v>
      </c>
      <c r="B5466" s="10" t="s">
        <v>11286</v>
      </c>
      <c r="C5466" s="10" t="s">
        <v>11287</v>
      </c>
      <c r="D5466" s="11">
        <v>42782.666666666664</v>
      </c>
      <c r="E5466" s="10" t="s">
        <v>465</v>
      </c>
    </row>
    <row r="5467" spans="1:5">
      <c r="A5467" s="11">
        <v>42782</v>
      </c>
      <c r="B5467" s="10" t="s">
        <v>11288</v>
      </c>
      <c r="C5467" s="10" t="s">
        <v>11289</v>
      </c>
      <c r="D5467" s="11">
        <v>42782.665925925925</v>
      </c>
      <c r="E5467" s="10" t="s">
        <v>152</v>
      </c>
    </row>
    <row r="5468" spans="1:5">
      <c r="A5468" s="11">
        <v>42782</v>
      </c>
      <c r="B5468" s="10" t="s">
        <v>11290</v>
      </c>
      <c r="C5468" s="10" t="s">
        <v>11291</v>
      </c>
      <c r="D5468" s="11">
        <v>42782.663657407407</v>
      </c>
      <c r="E5468" s="10" t="s">
        <v>152</v>
      </c>
    </row>
    <row r="5469" spans="1:5">
      <c r="A5469" s="11">
        <v>42782</v>
      </c>
      <c r="B5469" s="10" t="s">
        <v>11292</v>
      </c>
      <c r="C5469" s="10" t="s">
        <v>11293</v>
      </c>
      <c r="D5469" s="11">
        <v>42782.666770833333</v>
      </c>
      <c r="E5469" s="10" t="s">
        <v>218</v>
      </c>
    </row>
    <row r="5470" spans="1:5">
      <c r="A5470" s="11">
        <v>42782</v>
      </c>
      <c r="B5470" s="10" t="s">
        <v>11294</v>
      </c>
      <c r="C5470" s="10" t="s">
        <v>11295</v>
      </c>
      <c r="D5470" s="11">
        <v>42782.666817129626</v>
      </c>
      <c r="E5470" s="10" t="s">
        <v>3997</v>
      </c>
    </row>
    <row r="5471" spans="1:5">
      <c r="A5471" s="11">
        <v>42782</v>
      </c>
      <c r="B5471" s="10" t="s">
        <v>11296</v>
      </c>
      <c r="C5471" s="10" t="s">
        <v>11297</v>
      </c>
      <c r="D5471" s="11">
        <v>42782.664039351854</v>
      </c>
      <c r="E5471" s="10" t="s">
        <v>433</v>
      </c>
    </row>
    <row r="5472" spans="1:5">
      <c r="A5472" s="11">
        <v>42782</v>
      </c>
      <c r="B5472" s="10" t="s">
        <v>11298</v>
      </c>
      <c r="C5472" s="10" t="s">
        <v>11299</v>
      </c>
      <c r="D5472" s="11">
        <v>42782.63853009259</v>
      </c>
      <c r="E5472" s="10" t="s">
        <v>96</v>
      </c>
    </row>
    <row r="5473" spans="1:5">
      <c r="A5473" s="11">
        <v>42782</v>
      </c>
      <c r="B5473" s="10" t="s">
        <v>11300</v>
      </c>
      <c r="C5473" s="10" t="s">
        <v>11301</v>
      </c>
      <c r="D5473" s="11">
        <v>42782.650682870371</v>
      </c>
      <c r="E5473" s="10" t="s">
        <v>433</v>
      </c>
    </row>
    <row r="5474" spans="1:5">
      <c r="A5474" s="11">
        <v>42782</v>
      </c>
      <c r="B5474" s="10" t="s">
        <v>11302</v>
      </c>
      <c r="C5474" s="10" t="s">
        <v>11303</v>
      </c>
      <c r="D5474" s="11">
        <v>42782.661273148151</v>
      </c>
      <c r="E5474" s="10" t="s">
        <v>373</v>
      </c>
    </row>
    <row r="5475" spans="1:5">
      <c r="A5475" s="11">
        <v>42782</v>
      </c>
      <c r="B5475" s="10" t="s">
        <v>11304</v>
      </c>
      <c r="C5475" s="10" t="s">
        <v>11305</v>
      </c>
      <c r="D5475" s="11">
        <v>42782.661423611113</v>
      </c>
      <c r="E5475" s="10" t="s">
        <v>656</v>
      </c>
    </row>
    <row r="5476" spans="1:5">
      <c r="A5476" s="11">
        <v>42782</v>
      </c>
      <c r="B5476" s="10" t="s">
        <v>11306</v>
      </c>
      <c r="C5476" s="10" t="s">
        <v>11307</v>
      </c>
      <c r="D5476" s="11">
        <v>42782.666944444441</v>
      </c>
      <c r="E5476" s="10" t="s">
        <v>152</v>
      </c>
    </row>
    <row r="5477" spans="1:5">
      <c r="A5477" s="11">
        <v>42782</v>
      </c>
      <c r="B5477" s="10" t="s">
        <v>11308</v>
      </c>
      <c r="C5477" s="10" t="s">
        <v>11309</v>
      </c>
      <c r="D5477" s="11">
        <v>42782.637708333335</v>
      </c>
      <c r="E5477" s="10" t="s">
        <v>237</v>
      </c>
    </row>
    <row r="5478" spans="1:5">
      <c r="A5478" s="11">
        <v>42782</v>
      </c>
      <c r="B5478" s="10" t="s">
        <v>11310</v>
      </c>
      <c r="C5478" s="10" t="s">
        <v>11311</v>
      </c>
      <c r="D5478" s="11">
        <v>42782.643750000003</v>
      </c>
      <c r="E5478" s="10" t="s">
        <v>320</v>
      </c>
    </row>
    <row r="5479" spans="1:5">
      <c r="A5479" s="11">
        <v>42782</v>
      </c>
      <c r="B5479" s="10" t="s">
        <v>11312</v>
      </c>
      <c r="C5479" s="10" t="s">
        <v>11313</v>
      </c>
      <c r="D5479" s="11">
        <v>42782.640393518515</v>
      </c>
      <c r="E5479" s="10" t="s">
        <v>707</v>
      </c>
    </row>
    <row r="5480" spans="1:5">
      <c r="A5480" s="11">
        <v>42782</v>
      </c>
      <c r="B5480" s="10" t="s">
        <v>11314</v>
      </c>
      <c r="C5480" s="10" t="s">
        <v>11315</v>
      </c>
      <c r="D5480" s="11">
        <v>42782.667303240742</v>
      </c>
      <c r="E5480" s="10" t="s">
        <v>218</v>
      </c>
    </row>
    <row r="5481" spans="1:5">
      <c r="A5481" s="11">
        <v>42782</v>
      </c>
      <c r="B5481" s="10" t="s">
        <v>11316</v>
      </c>
      <c r="C5481" s="10" t="s">
        <v>11317</v>
      </c>
      <c r="D5481" s="11">
        <v>42782.661620370367</v>
      </c>
      <c r="E5481" s="10" t="s">
        <v>373</v>
      </c>
    </row>
    <row r="5482" spans="1:5">
      <c r="A5482" s="11">
        <v>42782</v>
      </c>
      <c r="B5482" s="10" t="s">
        <v>11318</v>
      </c>
      <c r="C5482" s="10" t="s">
        <v>11319</v>
      </c>
      <c r="D5482" s="11">
        <v>42782.64943287037</v>
      </c>
      <c r="E5482" s="10" t="s">
        <v>683</v>
      </c>
    </row>
    <row r="5483" spans="1:5">
      <c r="A5483" s="11">
        <v>42782</v>
      </c>
      <c r="B5483" s="10" t="s">
        <v>11320</v>
      </c>
      <c r="C5483" s="10" t="s">
        <v>11321</v>
      </c>
      <c r="D5483" s="11">
        <v>42782.662719907406</v>
      </c>
      <c r="E5483" s="10" t="s">
        <v>8136</v>
      </c>
    </row>
    <row r="5484" spans="1:5">
      <c r="A5484" s="11">
        <v>42782</v>
      </c>
      <c r="B5484" s="10" t="s">
        <v>11322</v>
      </c>
      <c r="C5484" s="10" t="s">
        <v>11323</v>
      </c>
      <c r="D5484" s="11">
        <v>42782.641655092593</v>
      </c>
      <c r="E5484" s="10" t="s">
        <v>152</v>
      </c>
    </row>
    <row r="5485" spans="1:5">
      <c r="A5485" s="11">
        <v>42782</v>
      </c>
      <c r="B5485" s="10" t="s">
        <v>11324</v>
      </c>
      <c r="C5485" s="10" t="s">
        <v>11325</v>
      </c>
      <c r="D5485" s="11">
        <v>42782.667569444442</v>
      </c>
      <c r="E5485" s="10" t="s">
        <v>218</v>
      </c>
    </row>
    <row r="5486" spans="1:5">
      <c r="A5486" s="11">
        <v>42782</v>
      </c>
      <c r="B5486" s="10" t="s">
        <v>11326</v>
      </c>
      <c r="C5486" s="10" t="s">
        <v>11327</v>
      </c>
      <c r="D5486" s="11">
        <v>42782.665821759256</v>
      </c>
      <c r="E5486" s="10" t="s">
        <v>433</v>
      </c>
    </row>
    <row r="5487" spans="1:5">
      <c r="A5487" s="11">
        <v>42782</v>
      </c>
      <c r="B5487" s="10" t="s">
        <v>11328</v>
      </c>
      <c r="C5487" s="10" t="s">
        <v>11329</v>
      </c>
      <c r="D5487" s="11">
        <v>42782.667696759258</v>
      </c>
      <c r="E5487" s="10" t="s">
        <v>1103</v>
      </c>
    </row>
    <row r="5488" spans="1:5">
      <c r="A5488" s="11">
        <v>42782</v>
      </c>
      <c r="B5488" s="10" t="s">
        <v>11330</v>
      </c>
      <c r="C5488" s="10" t="s">
        <v>11331</v>
      </c>
      <c r="D5488" s="11">
        <v>42782.667719907404</v>
      </c>
      <c r="E5488" s="10" t="s">
        <v>5026</v>
      </c>
    </row>
    <row r="5489" spans="1:5">
      <c r="A5489" s="11">
        <v>42782</v>
      </c>
      <c r="B5489" s="10" t="s">
        <v>11332</v>
      </c>
      <c r="C5489" s="10" t="s">
        <v>11333</v>
      </c>
      <c r="D5489" s="11">
        <v>42782.648935185185</v>
      </c>
      <c r="E5489" s="10" t="s">
        <v>96</v>
      </c>
    </row>
    <row r="5490" spans="1:5">
      <c r="A5490" s="11">
        <v>42782</v>
      </c>
      <c r="B5490" s="10" t="s">
        <v>11334</v>
      </c>
      <c r="C5490" s="10" t="s">
        <v>11335</v>
      </c>
      <c r="D5490" s="11">
        <v>42782.667847222219</v>
      </c>
      <c r="E5490" s="10" t="s">
        <v>122</v>
      </c>
    </row>
    <row r="5491" spans="1:5">
      <c r="A5491" s="11">
        <v>42782</v>
      </c>
      <c r="B5491" s="10" t="s">
        <v>11336</v>
      </c>
      <c r="C5491" s="10" t="s">
        <v>11337</v>
      </c>
      <c r="D5491" s="11">
        <v>42782.665081018517</v>
      </c>
      <c r="E5491" s="10" t="s">
        <v>193</v>
      </c>
    </row>
    <row r="5492" spans="1:5">
      <c r="A5492" s="11">
        <v>42782</v>
      </c>
      <c r="B5492" s="10" t="s">
        <v>11338</v>
      </c>
      <c r="C5492" s="10" t="s">
        <v>11339</v>
      </c>
      <c r="D5492" s="11">
        <v>42782.667916666665</v>
      </c>
      <c r="E5492" s="10" t="s">
        <v>218</v>
      </c>
    </row>
    <row r="5493" spans="1:5">
      <c r="A5493" s="11">
        <v>42782</v>
      </c>
      <c r="B5493" s="10" t="s">
        <v>11340</v>
      </c>
      <c r="C5493" s="10" t="s">
        <v>11341</v>
      </c>
      <c r="D5493" s="11">
        <v>42782.667974537035</v>
      </c>
      <c r="E5493" s="10" t="s">
        <v>2180</v>
      </c>
    </row>
    <row r="5494" spans="1:5">
      <c r="A5494" s="11">
        <v>42782</v>
      </c>
      <c r="B5494" s="10" t="s">
        <v>11342</v>
      </c>
      <c r="C5494" s="10" t="s">
        <v>11343</v>
      </c>
      <c r="D5494" s="11">
        <v>42782.668067129627</v>
      </c>
      <c r="E5494" s="10" t="s">
        <v>380</v>
      </c>
    </row>
    <row r="5495" spans="1:5">
      <c r="A5495" s="11">
        <v>42782</v>
      </c>
      <c r="B5495" s="10" t="s">
        <v>11344</v>
      </c>
      <c r="C5495" s="10" t="s">
        <v>11345</v>
      </c>
      <c r="D5495" s="11">
        <v>42782.642476851855</v>
      </c>
      <c r="E5495" s="10" t="s">
        <v>96</v>
      </c>
    </row>
    <row r="5496" spans="1:5">
      <c r="A5496" s="11">
        <v>42782</v>
      </c>
      <c r="B5496" s="10" t="s">
        <v>11346</v>
      </c>
      <c r="C5496" s="10" t="s">
        <v>11347</v>
      </c>
      <c r="D5496" s="11">
        <v>42782.699062500003</v>
      </c>
      <c r="E5496" s="10" t="s">
        <v>2571</v>
      </c>
    </row>
    <row r="5497" spans="1:5" ht="21.6">
      <c r="A5497" s="11">
        <v>42782</v>
      </c>
      <c r="B5497" s="10" t="s">
        <v>11348</v>
      </c>
      <c r="C5497" s="10" t="s">
        <v>11349</v>
      </c>
      <c r="D5497" s="11">
        <v>42782.667453703703</v>
      </c>
      <c r="E5497" s="10" t="s">
        <v>2554</v>
      </c>
    </row>
    <row r="5498" spans="1:5">
      <c r="A5498" s="11">
        <v>42782</v>
      </c>
      <c r="B5498" s="10" t="s">
        <v>11350</v>
      </c>
      <c r="C5498" s="10" t="s">
        <v>11351</v>
      </c>
      <c r="D5498" s="11">
        <v>42782.664166666669</v>
      </c>
      <c r="E5498" s="10" t="s">
        <v>2912</v>
      </c>
    </row>
    <row r="5499" spans="1:5">
      <c r="A5499" s="11">
        <v>42782</v>
      </c>
      <c r="B5499" s="10" t="s">
        <v>11352</v>
      </c>
      <c r="C5499" s="10" t="s">
        <v>11353</v>
      </c>
      <c r="D5499" s="11">
        <v>42782.628692129627</v>
      </c>
      <c r="E5499" s="10" t="s">
        <v>656</v>
      </c>
    </row>
    <row r="5500" spans="1:5">
      <c r="A5500" s="11">
        <v>42782</v>
      </c>
      <c r="B5500" s="10" t="s">
        <v>11354</v>
      </c>
      <c r="C5500" s="10" t="s">
        <v>11355</v>
      </c>
      <c r="D5500" s="11">
        <v>42782.668449074074</v>
      </c>
      <c r="E5500" s="10" t="s">
        <v>4862</v>
      </c>
    </row>
    <row r="5501" spans="1:5">
      <c r="A5501" s="11">
        <v>42782</v>
      </c>
      <c r="B5501" s="10" t="s">
        <v>11356</v>
      </c>
      <c r="C5501" s="10" t="s">
        <v>11357</v>
      </c>
      <c r="D5501" s="11">
        <v>42782.66851851852</v>
      </c>
      <c r="E5501" s="10" t="s">
        <v>218</v>
      </c>
    </row>
    <row r="5502" spans="1:5">
      <c r="A5502" s="11">
        <v>42782</v>
      </c>
      <c r="B5502" s="10" t="s">
        <v>11358</v>
      </c>
      <c r="C5502" s="10" t="s">
        <v>11359</v>
      </c>
      <c r="D5502" s="11">
        <v>42782.656990740739</v>
      </c>
      <c r="E5502" s="10" t="s">
        <v>218</v>
      </c>
    </row>
    <row r="5503" spans="1:5">
      <c r="A5503" s="11">
        <v>42782</v>
      </c>
      <c r="B5503" s="10" t="s">
        <v>11360</v>
      </c>
      <c r="C5503" s="10" t="s">
        <v>11361</v>
      </c>
      <c r="D5503" s="11">
        <v>42782.668587962966</v>
      </c>
      <c r="E5503" s="10" t="s">
        <v>193</v>
      </c>
    </row>
    <row r="5504" spans="1:5">
      <c r="A5504" s="11">
        <v>42782</v>
      </c>
      <c r="B5504" s="10" t="s">
        <v>11362</v>
      </c>
      <c r="C5504" s="10" t="s">
        <v>11363</v>
      </c>
      <c r="D5504" s="11">
        <v>42782.665601851855</v>
      </c>
      <c r="E5504" s="10" t="s">
        <v>240</v>
      </c>
    </row>
    <row r="5505" spans="1:5">
      <c r="A5505" s="11">
        <v>42782</v>
      </c>
      <c r="B5505" s="10" t="s">
        <v>11364</v>
      </c>
      <c r="C5505" s="10" t="s">
        <v>11365</v>
      </c>
      <c r="D5505" s="11">
        <v>42782.651087962964</v>
      </c>
      <c r="E5505" s="10" t="s">
        <v>2180</v>
      </c>
    </row>
    <row r="5506" spans="1:5">
      <c r="A5506" s="11">
        <v>42782</v>
      </c>
      <c r="B5506" s="10" t="s">
        <v>11366</v>
      </c>
      <c r="C5506" s="10" t="s">
        <v>11367</v>
      </c>
      <c r="D5506" s="11">
        <v>42782.668738425928</v>
      </c>
      <c r="E5506" s="10" t="s">
        <v>433</v>
      </c>
    </row>
    <row r="5507" spans="1:5">
      <c r="A5507" s="11">
        <v>42782</v>
      </c>
      <c r="B5507" s="10" t="s">
        <v>11368</v>
      </c>
      <c r="C5507" s="10" t="s">
        <v>11369</v>
      </c>
      <c r="D5507" s="11">
        <v>42782.668749999997</v>
      </c>
      <c r="E5507" s="10" t="s">
        <v>977</v>
      </c>
    </row>
    <row r="5508" spans="1:5">
      <c r="A5508" s="11">
        <v>42782</v>
      </c>
      <c r="B5508" s="10" t="s">
        <v>11370</v>
      </c>
      <c r="C5508" s="10" t="s">
        <v>11371</v>
      </c>
      <c r="D5508" s="11">
        <v>42782.668819444443</v>
      </c>
      <c r="E5508" s="10" t="s">
        <v>2688</v>
      </c>
    </row>
    <row r="5509" spans="1:5">
      <c r="A5509" s="11">
        <v>42782</v>
      </c>
      <c r="B5509" s="10" t="s">
        <v>11372</v>
      </c>
      <c r="C5509" s="10" t="s">
        <v>11373</v>
      </c>
      <c r="D5509" s="11">
        <v>42782.650451388887</v>
      </c>
      <c r="E5509" s="10" t="s">
        <v>2995</v>
      </c>
    </row>
    <row r="5510" spans="1:5" ht="21.6">
      <c r="A5510" s="11">
        <v>42782</v>
      </c>
      <c r="B5510" s="10" t="s">
        <v>11374</v>
      </c>
      <c r="C5510" s="10" t="s">
        <v>11375</v>
      </c>
      <c r="D5510" s="11">
        <v>42782.659814814811</v>
      </c>
      <c r="E5510" s="10" t="s">
        <v>1758</v>
      </c>
    </row>
    <row r="5511" spans="1:5">
      <c r="A5511" s="11">
        <v>42782</v>
      </c>
      <c r="B5511" s="10" t="s">
        <v>11376</v>
      </c>
      <c r="C5511" s="10" t="s">
        <v>11377</v>
      </c>
      <c r="D5511" s="11">
        <v>42782.66510416667</v>
      </c>
      <c r="E5511" s="10" t="s">
        <v>232</v>
      </c>
    </row>
    <row r="5512" spans="1:5">
      <c r="A5512" s="11">
        <v>42782</v>
      </c>
      <c r="B5512" s="10" t="s">
        <v>11378</v>
      </c>
      <c r="C5512" s="10" t="s">
        <v>11379</v>
      </c>
      <c r="D5512" s="11">
        <v>42782.668969907405</v>
      </c>
      <c r="E5512" s="10" t="s">
        <v>4862</v>
      </c>
    </row>
    <row r="5513" spans="1:5" ht="21.6">
      <c r="A5513" s="11">
        <v>42782</v>
      </c>
      <c r="B5513" s="10" t="s">
        <v>11380</v>
      </c>
      <c r="C5513" s="10" t="s">
        <v>11381</v>
      </c>
      <c r="D5513" s="11">
        <v>42782.66777777778</v>
      </c>
      <c r="E5513" s="10" t="s">
        <v>2299</v>
      </c>
    </row>
    <row r="5514" spans="1:5">
      <c r="A5514" s="11">
        <v>42782</v>
      </c>
      <c r="B5514" s="10" t="s">
        <v>11382</v>
      </c>
      <c r="C5514" s="10" t="s">
        <v>11383</v>
      </c>
      <c r="D5514" s="11">
        <v>42782.668495370373</v>
      </c>
      <c r="E5514" s="10" t="s">
        <v>707</v>
      </c>
    </row>
    <row r="5515" spans="1:5">
      <c r="A5515" s="11">
        <v>42782</v>
      </c>
      <c r="B5515" s="10" t="s">
        <v>11384</v>
      </c>
      <c r="C5515" s="10" t="s">
        <v>11385</v>
      </c>
      <c r="D5515" s="11">
        <v>42782.665613425925</v>
      </c>
      <c r="E5515" s="10" t="s">
        <v>707</v>
      </c>
    </row>
    <row r="5516" spans="1:5">
      <c r="A5516" s="11">
        <v>42782</v>
      </c>
      <c r="B5516" s="10" t="s">
        <v>11386</v>
      </c>
      <c r="C5516" s="10" t="s">
        <v>11387</v>
      </c>
      <c r="D5516" s="11">
        <v>42782.669039351851</v>
      </c>
      <c r="E5516" s="10" t="s">
        <v>433</v>
      </c>
    </row>
    <row r="5517" spans="1:5">
      <c r="A5517" s="11">
        <v>42782</v>
      </c>
      <c r="B5517" s="10" t="s">
        <v>11388</v>
      </c>
      <c r="C5517" s="10" t="s">
        <v>11389</v>
      </c>
      <c r="D5517" s="11">
        <v>42782.669074074074</v>
      </c>
      <c r="E5517" s="10" t="s">
        <v>859</v>
      </c>
    </row>
    <row r="5518" spans="1:5">
      <c r="A5518" s="11">
        <v>42782</v>
      </c>
      <c r="B5518" s="10" t="s">
        <v>11390</v>
      </c>
      <c r="C5518" s="10" t="s">
        <v>11391</v>
      </c>
      <c r="D5518" s="11">
        <v>42782.66915509259</v>
      </c>
      <c r="E5518" s="10" t="s">
        <v>96</v>
      </c>
    </row>
    <row r="5519" spans="1:5">
      <c r="A5519" s="11">
        <v>42782</v>
      </c>
      <c r="B5519" s="10" t="s">
        <v>11392</v>
      </c>
      <c r="C5519" s="10" t="s">
        <v>11393</v>
      </c>
      <c r="D5519" s="11">
        <v>42782.669166666667</v>
      </c>
      <c r="E5519" s="10" t="s">
        <v>414</v>
      </c>
    </row>
    <row r="5520" spans="1:5">
      <c r="A5520" s="11">
        <v>42782</v>
      </c>
      <c r="B5520" s="10" t="s">
        <v>11394</v>
      </c>
      <c r="C5520" s="10" t="s">
        <v>11395</v>
      </c>
      <c r="D5520" s="11">
        <v>42782.642581018517</v>
      </c>
      <c r="E5520" s="10" t="s">
        <v>2144</v>
      </c>
    </row>
    <row r="5521" spans="1:5">
      <c r="A5521" s="11">
        <v>42782</v>
      </c>
      <c r="B5521" s="10" t="s">
        <v>11396</v>
      </c>
      <c r="C5521" s="10" t="s">
        <v>11397</v>
      </c>
      <c r="D5521" s="11">
        <v>42782.66920138889</v>
      </c>
      <c r="E5521" s="10" t="s">
        <v>625</v>
      </c>
    </row>
    <row r="5522" spans="1:5">
      <c r="A5522" s="11">
        <v>42782</v>
      </c>
      <c r="B5522" s="10" t="s">
        <v>11398</v>
      </c>
      <c r="C5522" s="10" t="s">
        <v>11399</v>
      </c>
      <c r="D5522" s="11">
        <v>42782.669247685182</v>
      </c>
      <c r="E5522" s="10" t="s">
        <v>96</v>
      </c>
    </row>
    <row r="5523" spans="1:5">
      <c r="A5523" s="11">
        <v>42782</v>
      </c>
      <c r="B5523" s="10" t="s">
        <v>11400</v>
      </c>
      <c r="C5523" s="10" t="s">
        <v>11401</v>
      </c>
      <c r="D5523" s="11">
        <v>42782.664699074077</v>
      </c>
      <c r="E5523" s="10" t="s">
        <v>122</v>
      </c>
    </row>
    <row r="5524" spans="1:5">
      <c r="A5524" s="11">
        <v>42782</v>
      </c>
      <c r="B5524" s="10" t="s">
        <v>11402</v>
      </c>
      <c r="C5524" s="10" t="s">
        <v>11403</v>
      </c>
      <c r="D5524" s="11">
        <v>42782.658634259256</v>
      </c>
      <c r="E5524" s="10" t="s">
        <v>2995</v>
      </c>
    </row>
    <row r="5525" spans="1:5">
      <c r="A5525" s="11">
        <v>42782</v>
      </c>
      <c r="B5525" s="10" t="s">
        <v>11404</v>
      </c>
      <c r="C5525" s="10" t="s">
        <v>11405</v>
      </c>
      <c r="D5525" s="11">
        <v>42782.653240740743</v>
      </c>
      <c r="E5525" s="10" t="s">
        <v>482</v>
      </c>
    </row>
    <row r="5526" spans="1:5">
      <c r="A5526" s="11">
        <v>42782</v>
      </c>
      <c r="B5526" s="10" t="s">
        <v>11406</v>
      </c>
      <c r="C5526" s="10" t="s">
        <v>11407</v>
      </c>
      <c r="D5526" s="11">
        <v>42782.669305555559</v>
      </c>
      <c r="E5526" s="10" t="s">
        <v>2688</v>
      </c>
    </row>
    <row r="5527" spans="1:5">
      <c r="A5527" s="11">
        <v>42782</v>
      </c>
      <c r="B5527" s="10" t="s">
        <v>11408</v>
      </c>
      <c r="C5527" s="10" t="s">
        <v>11409</v>
      </c>
      <c r="D5527" s="11">
        <v>42782.667928240742</v>
      </c>
      <c r="E5527" s="10" t="s">
        <v>2515</v>
      </c>
    </row>
    <row r="5528" spans="1:5">
      <c r="A5528" s="11">
        <v>42782</v>
      </c>
      <c r="B5528" s="10" t="s">
        <v>11410</v>
      </c>
      <c r="C5528" s="10" t="s">
        <v>11411</v>
      </c>
      <c r="D5528" s="11">
        <v>42782.631504629629</v>
      </c>
      <c r="E5528" s="10" t="s">
        <v>237</v>
      </c>
    </row>
    <row r="5529" spans="1:5">
      <c r="A5529" s="11">
        <v>42782</v>
      </c>
      <c r="B5529" s="10" t="s">
        <v>11412</v>
      </c>
      <c r="C5529" s="10" t="s">
        <v>11413</v>
      </c>
      <c r="D5529" s="11">
        <v>42782.669444444444</v>
      </c>
      <c r="E5529" s="10" t="s">
        <v>96</v>
      </c>
    </row>
    <row r="5530" spans="1:5">
      <c r="A5530" s="11">
        <v>42782</v>
      </c>
      <c r="B5530" s="10" t="s">
        <v>11414</v>
      </c>
      <c r="C5530" s="10" t="s">
        <v>11415</v>
      </c>
      <c r="D5530" s="11">
        <v>42782.664131944446</v>
      </c>
      <c r="E5530" s="10" t="s">
        <v>902</v>
      </c>
    </row>
    <row r="5531" spans="1:5">
      <c r="A5531" s="11">
        <v>42782</v>
      </c>
      <c r="B5531" s="10" t="s">
        <v>11416</v>
      </c>
      <c r="C5531" s="10" t="s">
        <v>11417</v>
      </c>
      <c r="D5531" s="11">
        <v>42782.669745370367</v>
      </c>
      <c r="E5531" s="10" t="s">
        <v>2688</v>
      </c>
    </row>
    <row r="5532" spans="1:5">
      <c r="A5532" s="11">
        <v>42782</v>
      </c>
      <c r="B5532" s="10" t="s">
        <v>11418</v>
      </c>
      <c r="C5532" s="10" t="s">
        <v>11419</v>
      </c>
      <c r="D5532" s="11">
        <v>42782.669803240744</v>
      </c>
      <c r="E5532" s="10" t="s">
        <v>625</v>
      </c>
    </row>
    <row r="5533" spans="1:5">
      <c r="A5533" s="11">
        <v>42782</v>
      </c>
      <c r="B5533" s="10" t="s">
        <v>11420</v>
      </c>
      <c r="C5533" s="10" t="s">
        <v>11421</v>
      </c>
      <c r="D5533" s="11">
        <v>42782.66982638889</v>
      </c>
      <c r="E5533" s="10" t="s">
        <v>380</v>
      </c>
    </row>
    <row r="5534" spans="1:5">
      <c r="A5534" s="11">
        <v>42782</v>
      </c>
      <c r="B5534" s="10" t="s">
        <v>11422</v>
      </c>
      <c r="C5534" s="10" t="s">
        <v>11423</v>
      </c>
      <c r="D5534" s="11">
        <v>42782.669849537036</v>
      </c>
      <c r="E5534" s="10" t="s">
        <v>218</v>
      </c>
    </row>
    <row r="5535" spans="1:5">
      <c r="A5535" s="11">
        <v>42782</v>
      </c>
      <c r="B5535" s="10" t="s">
        <v>11424</v>
      </c>
      <c r="C5535" s="10" t="s">
        <v>11425</v>
      </c>
      <c r="D5535" s="11">
        <v>42782.670300925929</v>
      </c>
      <c r="E5535" s="10" t="s">
        <v>218</v>
      </c>
    </row>
    <row r="5536" spans="1:5">
      <c r="A5536" s="11">
        <v>42782</v>
      </c>
      <c r="B5536" s="10" t="s">
        <v>11426</v>
      </c>
      <c r="C5536" s="10" t="s">
        <v>11427</v>
      </c>
      <c r="D5536" s="11">
        <v>42782.670312499999</v>
      </c>
      <c r="E5536" s="10" t="s">
        <v>240</v>
      </c>
    </row>
    <row r="5537" spans="1:5">
      <c r="A5537" s="11">
        <v>42782</v>
      </c>
      <c r="B5537" s="10" t="s">
        <v>11428</v>
      </c>
      <c r="C5537" s="10" t="s">
        <v>11429</v>
      </c>
      <c r="D5537" s="11">
        <v>42782.670439814814</v>
      </c>
      <c r="E5537" s="10" t="s">
        <v>433</v>
      </c>
    </row>
    <row r="5538" spans="1:5">
      <c r="A5538" s="11">
        <v>42782</v>
      </c>
      <c r="B5538" s="10" t="s">
        <v>11430</v>
      </c>
      <c r="C5538" s="10" t="s">
        <v>11431</v>
      </c>
      <c r="D5538" s="11">
        <v>42782.670740740738</v>
      </c>
      <c r="E5538" s="10" t="s">
        <v>218</v>
      </c>
    </row>
    <row r="5539" spans="1:5">
      <c r="A5539" s="11">
        <v>42782</v>
      </c>
      <c r="B5539" s="10" t="s">
        <v>11432</v>
      </c>
      <c r="C5539" s="10" t="s">
        <v>11433</v>
      </c>
      <c r="D5539" s="11">
        <v>42782.670775462961</v>
      </c>
      <c r="E5539" s="10" t="s">
        <v>3550</v>
      </c>
    </row>
    <row r="5540" spans="1:5">
      <c r="A5540" s="11">
        <v>42782</v>
      </c>
      <c r="B5540" s="10" t="s">
        <v>11434</v>
      </c>
      <c r="C5540" s="10" t="s">
        <v>11435</v>
      </c>
      <c r="D5540" s="11">
        <v>42782.670902777776</v>
      </c>
      <c r="E5540" s="10" t="s">
        <v>122</v>
      </c>
    </row>
    <row r="5541" spans="1:5">
      <c r="A5541" s="11">
        <v>42782</v>
      </c>
      <c r="B5541" s="10" t="s">
        <v>11436</v>
      </c>
      <c r="C5541" s="10" t="s">
        <v>11437</v>
      </c>
      <c r="D5541" s="11">
        <v>42782.670937499999</v>
      </c>
      <c r="E5541" s="10" t="s">
        <v>683</v>
      </c>
    </row>
    <row r="5542" spans="1:5">
      <c r="A5542" s="11">
        <v>42782</v>
      </c>
      <c r="B5542" s="10" t="s">
        <v>11438</v>
      </c>
      <c r="C5542" s="10" t="s">
        <v>11439</v>
      </c>
      <c r="D5542" s="11">
        <v>42782.671261574076</v>
      </c>
      <c r="E5542" s="10" t="s">
        <v>1770</v>
      </c>
    </row>
    <row r="5543" spans="1:5">
      <c r="A5543" s="11">
        <v>42782</v>
      </c>
      <c r="B5543" s="10" t="s">
        <v>11440</v>
      </c>
      <c r="C5543" s="10" t="s">
        <v>11441</v>
      </c>
      <c r="D5543" s="11">
        <v>42782.671400462961</v>
      </c>
      <c r="E5543" s="10" t="s">
        <v>3550</v>
      </c>
    </row>
    <row r="5544" spans="1:5">
      <c r="A5544" s="11">
        <v>42782</v>
      </c>
      <c r="B5544" s="10" t="s">
        <v>11442</v>
      </c>
      <c r="C5544" s="10" t="s">
        <v>11443</v>
      </c>
      <c r="D5544" s="11">
        <v>42782.671574074076</v>
      </c>
      <c r="E5544" s="10" t="s">
        <v>414</v>
      </c>
    </row>
    <row r="5545" spans="1:5">
      <c r="A5545" s="11">
        <v>42782</v>
      </c>
      <c r="B5545" s="10" t="s">
        <v>11444</v>
      </c>
      <c r="C5545" s="10" t="s">
        <v>11445</v>
      </c>
      <c r="D5545" s="11">
        <v>42782.6716087963</v>
      </c>
      <c r="E5545" s="10" t="s">
        <v>625</v>
      </c>
    </row>
    <row r="5546" spans="1:5">
      <c r="A5546" s="11">
        <v>42782</v>
      </c>
      <c r="B5546" s="10" t="s">
        <v>11446</v>
      </c>
      <c r="C5546" s="10" t="s">
        <v>11447</v>
      </c>
      <c r="D5546" s="11">
        <v>42782.671979166669</v>
      </c>
      <c r="E5546" s="10" t="s">
        <v>218</v>
      </c>
    </row>
    <row r="5547" spans="1:5">
      <c r="A5547" s="11">
        <v>42782</v>
      </c>
      <c r="B5547" s="10" t="s">
        <v>11448</v>
      </c>
      <c r="C5547" s="10" t="s">
        <v>11449</v>
      </c>
      <c r="D5547" s="11">
        <v>42782.669907407406</v>
      </c>
      <c r="E5547" s="10" t="s">
        <v>902</v>
      </c>
    </row>
    <row r="5548" spans="1:5">
      <c r="A5548" s="11">
        <v>42782</v>
      </c>
      <c r="B5548" s="10" t="s">
        <v>11450</v>
      </c>
      <c r="C5548" s="10" t="s">
        <v>11451</v>
      </c>
      <c r="D5548" s="11">
        <v>42782.670937499999</v>
      </c>
      <c r="E5548" s="10" t="s">
        <v>96</v>
      </c>
    </row>
    <row r="5549" spans="1:5">
      <c r="A5549" s="11">
        <v>42782</v>
      </c>
      <c r="B5549" s="10" t="s">
        <v>11452</v>
      </c>
      <c r="C5549" s="10" t="s">
        <v>11453</v>
      </c>
      <c r="D5549" s="11">
        <v>42782.671979166669</v>
      </c>
      <c r="E5549" s="10" t="s">
        <v>625</v>
      </c>
    </row>
    <row r="5550" spans="1:5">
      <c r="A5550" s="11">
        <v>42782</v>
      </c>
      <c r="B5550" s="10" t="s">
        <v>11454</v>
      </c>
      <c r="C5550" s="10" t="s">
        <v>11455</v>
      </c>
      <c r="D5550" s="11">
        <v>42782.66982638889</v>
      </c>
      <c r="E5550" s="10" t="s">
        <v>152</v>
      </c>
    </row>
    <row r="5551" spans="1:5">
      <c r="A5551" s="11">
        <v>42782</v>
      </c>
      <c r="B5551" s="10" t="s">
        <v>11456</v>
      </c>
      <c r="C5551" s="10" t="s">
        <v>11457</v>
      </c>
      <c r="D5551" s="11">
        <v>42782.672592592593</v>
      </c>
      <c r="E5551" s="10" t="s">
        <v>96</v>
      </c>
    </row>
    <row r="5552" spans="1:5">
      <c r="A5552" s="11">
        <v>42782</v>
      </c>
      <c r="B5552" s="10" t="s">
        <v>11458</v>
      </c>
      <c r="C5552" s="10" t="s">
        <v>11459</v>
      </c>
      <c r="D5552" s="11">
        <v>42782.673657407409</v>
      </c>
      <c r="E5552" s="10" t="s">
        <v>422</v>
      </c>
    </row>
    <row r="5553" spans="1:5">
      <c r="A5553" s="11">
        <v>42782</v>
      </c>
      <c r="B5553" s="10" t="s">
        <v>11460</v>
      </c>
      <c r="C5553" s="10" t="s">
        <v>11461</v>
      </c>
      <c r="D5553" s="11">
        <v>42782.67392361111</v>
      </c>
      <c r="E5553" s="10" t="s">
        <v>152</v>
      </c>
    </row>
    <row r="5554" spans="1:5">
      <c r="A5554" s="11">
        <v>42782</v>
      </c>
      <c r="B5554" s="10" t="s">
        <v>11462</v>
      </c>
      <c r="C5554" s="10" t="s">
        <v>11463</v>
      </c>
      <c r="D5554" s="11">
        <v>42782.673946759256</v>
      </c>
      <c r="E5554" s="10" t="s">
        <v>193</v>
      </c>
    </row>
    <row r="5555" spans="1:5">
      <c r="A5555" s="11">
        <v>42782</v>
      </c>
      <c r="B5555" s="10" t="s">
        <v>11464</v>
      </c>
      <c r="C5555" s="10" t="s">
        <v>11465</v>
      </c>
      <c r="D5555" s="11">
        <v>42782.674247685187</v>
      </c>
      <c r="E5555" s="10" t="s">
        <v>152</v>
      </c>
    </row>
    <row r="5556" spans="1:5">
      <c r="A5556" s="11">
        <v>42782</v>
      </c>
      <c r="B5556" s="10" t="s">
        <v>11466</v>
      </c>
      <c r="C5556" s="10" t="s">
        <v>11467</v>
      </c>
      <c r="D5556" s="11">
        <v>42782.674340277779</v>
      </c>
      <c r="E5556" s="10" t="s">
        <v>152</v>
      </c>
    </row>
    <row r="5557" spans="1:5">
      <c r="A5557" s="11">
        <v>42782</v>
      </c>
      <c r="B5557" s="10" t="s">
        <v>11468</v>
      </c>
      <c r="C5557" s="10" t="s">
        <v>11469</v>
      </c>
      <c r="D5557" s="11">
        <v>42782.674432870372</v>
      </c>
      <c r="E5557" s="10" t="s">
        <v>152</v>
      </c>
    </row>
    <row r="5558" spans="1:5">
      <c r="A5558" s="11">
        <v>42782</v>
      </c>
      <c r="B5558" s="10" t="s">
        <v>11470</v>
      </c>
      <c r="C5558" s="10" t="s">
        <v>11471</v>
      </c>
      <c r="D5558" s="11">
        <v>42782.67454861111</v>
      </c>
      <c r="E5558" s="10" t="s">
        <v>152</v>
      </c>
    </row>
    <row r="5559" spans="1:5">
      <c r="A5559" s="11">
        <v>42782</v>
      </c>
      <c r="B5559" s="10" t="s">
        <v>11472</v>
      </c>
      <c r="C5559" s="10" t="s">
        <v>11473</v>
      </c>
      <c r="D5559" s="11">
        <v>42782.674074074072</v>
      </c>
      <c r="E5559" s="10" t="s">
        <v>2180</v>
      </c>
    </row>
    <row r="5560" spans="1:5">
      <c r="A5560" s="11">
        <v>42782</v>
      </c>
      <c r="B5560" s="10" t="s">
        <v>11474</v>
      </c>
      <c r="C5560" s="10" t="s">
        <v>11475</v>
      </c>
      <c r="D5560" s="11">
        <v>42782.672476851854</v>
      </c>
      <c r="E5560" s="10" t="s">
        <v>193</v>
      </c>
    </row>
    <row r="5561" spans="1:5">
      <c r="A5561" s="11">
        <v>42782</v>
      </c>
      <c r="B5561" s="10" t="s">
        <v>11476</v>
      </c>
      <c r="C5561" s="10" t="s">
        <v>11477</v>
      </c>
      <c r="D5561" s="11">
        <v>42782.67523148148</v>
      </c>
      <c r="E5561" s="10" t="s">
        <v>292</v>
      </c>
    </row>
    <row r="5562" spans="1:5">
      <c r="A5562" s="11">
        <v>42782</v>
      </c>
      <c r="B5562" s="10" t="s">
        <v>11478</v>
      </c>
      <c r="C5562" s="10" t="s">
        <v>11479</v>
      </c>
      <c r="D5562" s="11">
        <v>42782.671539351853</v>
      </c>
      <c r="E5562" s="10" t="s">
        <v>308</v>
      </c>
    </row>
    <row r="5563" spans="1:5">
      <c r="A5563" s="11">
        <v>42782</v>
      </c>
      <c r="B5563" s="10" t="s">
        <v>11480</v>
      </c>
      <c r="C5563" s="10" t="s">
        <v>11481</v>
      </c>
      <c r="D5563" s="11">
        <v>42782.675358796296</v>
      </c>
      <c r="E5563" s="10" t="s">
        <v>2201</v>
      </c>
    </row>
    <row r="5564" spans="1:5">
      <c r="A5564" s="11">
        <v>42782</v>
      </c>
      <c r="B5564" s="10" t="s">
        <v>11482</v>
      </c>
      <c r="C5564" s="10" t="s">
        <v>11483</v>
      </c>
      <c r="D5564" s="11">
        <v>42782.675706018519</v>
      </c>
      <c r="E5564" s="10" t="s">
        <v>152</v>
      </c>
    </row>
    <row r="5565" spans="1:5">
      <c r="A5565" s="11">
        <v>42782</v>
      </c>
      <c r="B5565" s="10" t="s">
        <v>11484</v>
      </c>
      <c r="C5565" s="10" t="s">
        <v>11485</v>
      </c>
      <c r="D5565" s="11">
        <v>42782.675752314812</v>
      </c>
      <c r="E5565" s="10" t="s">
        <v>433</v>
      </c>
    </row>
    <row r="5566" spans="1:5">
      <c r="A5566" s="11">
        <v>42782</v>
      </c>
      <c r="B5566" s="10" t="s">
        <v>11486</v>
      </c>
      <c r="C5566" s="10" t="s">
        <v>11487</v>
      </c>
      <c r="D5566" s="11">
        <v>42782.675787037035</v>
      </c>
      <c r="E5566" s="10" t="s">
        <v>2688</v>
      </c>
    </row>
    <row r="5567" spans="1:5">
      <c r="A5567" s="11">
        <v>42782</v>
      </c>
      <c r="B5567" s="10" t="s">
        <v>11488</v>
      </c>
      <c r="C5567" s="10" t="s">
        <v>11489</v>
      </c>
      <c r="D5567" s="11">
        <v>42782.674166666664</v>
      </c>
      <c r="E5567" s="10" t="s">
        <v>96</v>
      </c>
    </row>
    <row r="5568" spans="1:5">
      <c r="A5568" s="11">
        <v>42782</v>
      </c>
      <c r="B5568" s="10" t="s">
        <v>11490</v>
      </c>
      <c r="C5568" s="10" t="s">
        <v>11491</v>
      </c>
      <c r="D5568" s="11">
        <v>42782.676157407404</v>
      </c>
      <c r="E5568" s="10" t="s">
        <v>122</v>
      </c>
    </row>
    <row r="5569" spans="1:5">
      <c r="A5569" s="11">
        <v>42782</v>
      </c>
      <c r="B5569" s="10" t="s">
        <v>11492</v>
      </c>
      <c r="C5569" s="10" t="s">
        <v>11493</v>
      </c>
      <c r="D5569" s="11">
        <v>42782.676180555558</v>
      </c>
      <c r="E5569" s="10" t="s">
        <v>433</v>
      </c>
    </row>
    <row r="5570" spans="1:5">
      <c r="A5570" s="11">
        <v>42782</v>
      </c>
      <c r="B5570" s="10" t="s">
        <v>11494</v>
      </c>
      <c r="C5570" s="10" t="s">
        <v>11495</v>
      </c>
      <c r="D5570" s="11">
        <v>42782.671863425923</v>
      </c>
      <c r="E5570" s="10" t="s">
        <v>433</v>
      </c>
    </row>
    <row r="5571" spans="1:5">
      <c r="A5571" s="11">
        <v>42782</v>
      </c>
      <c r="B5571" s="10" t="s">
        <v>11496</v>
      </c>
      <c r="C5571" s="10" t="s">
        <v>11497</v>
      </c>
      <c r="D5571" s="11">
        <v>42782.67628472222</v>
      </c>
      <c r="E5571" s="10" t="s">
        <v>433</v>
      </c>
    </row>
    <row r="5572" spans="1:5">
      <c r="A5572" s="11">
        <v>42782</v>
      </c>
      <c r="B5572" s="10" t="s">
        <v>11498</v>
      </c>
      <c r="C5572" s="10" t="s">
        <v>11499</v>
      </c>
      <c r="D5572" s="11">
        <v>42782.669525462959</v>
      </c>
      <c r="E5572" s="10" t="s">
        <v>4862</v>
      </c>
    </row>
    <row r="5573" spans="1:5">
      <c r="A5573" s="11">
        <v>42782</v>
      </c>
      <c r="B5573" s="10" t="s">
        <v>11500</v>
      </c>
      <c r="C5573" s="10" t="s">
        <v>11501</v>
      </c>
      <c r="D5573" s="11">
        <v>42782.676377314812</v>
      </c>
      <c r="E5573" s="10" t="s">
        <v>152</v>
      </c>
    </row>
    <row r="5574" spans="1:5">
      <c r="A5574" s="11">
        <v>42782</v>
      </c>
      <c r="B5574" s="10" t="s">
        <v>11502</v>
      </c>
      <c r="C5574" s="10" t="s">
        <v>11503</v>
      </c>
      <c r="D5574" s="11">
        <v>42782.676793981482</v>
      </c>
      <c r="E5574" s="10" t="s">
        <v>152</v>
      </c>
    </row>
    <row r="5575" spans="1:5">
      <c r="A5575" s="11">
        <v>42782</v>
      </c>
      <c r="B5575" s="10" t="s">
        <v>11504</v>
      </c>
      <c r="C5575" s="10" t="s">
        <v>11505</v>
      </c>
      <c r="D5575" s="11">
        <v>42782.671342592592</v>
      </c>
      <c r="E5575" s="10" t="s">
        <v>4865</v>
      </c>
    </row>
    <row r="5576" spans="1:5">
      <c r="A5576" s="11">
        <v>42782</v>
      </c>
      <c r="B5576" s="10" t="s">
        <v>11506</v>
      </c>
      <c r="C5576" s="10" t="s">
        <v>11507</v>
      </c>
      <c r="D5576" s="11">
        <v>42782.677071759259</v>
      </c>
      <c r="E5576" s="10" t="s">
        <v>240</v>
      </c>
    </row>
    <row r="5577" spans="1:5">
      <c r="A5577" s="11">
        <v>42782</v>
      </c>
      <c r="B5577" s="10" t="s">
        <v>11508</v>
      </c>
      <c r="C5577" s="10" t="s">
        <v>11509</v>
      </c>
      <c r="D5577" s="11">
        <v>42782.674641203703</v>
      </c>
      <c r="E5577" s="10" t="s">
        <v>96</v>
      </c>
    </row>
    <row r="5578" spans="1:5">
      <c r="A5578" s="11">
        <v>42782</v>
      </c>
      <c r="B5578" s="10" t="s">
        <v>11510</v>
      </c>
      <c r="C5578" s="10" t="s">
        <v>11511</v>
      </c>
      <c r="D5578" s="11">
        <v>42782.677824074075</v>
      </c>
      <c r="E5578" s="10" t="s">
        <v>193</v>
      </c>
    </row>
    <row r="5579" spans="1:5">
      <c r="A5579" s="11">
        <v>42782</v>
      </c>
      <c r="B5579" s="10" t="s">
        <v>11512</v>
      </c>
      <c r="C5579" s="10" t="s">
        <v>11513</v>
      </c>
      <c r="D5579" s="11">
        <v>42782.678101851852</v>
      </c>
      <c r="E5579" s="10" t="s">
        <v>977</v>
      </c>
    </row>
    <row r="5580" spans="1:5">
      <c r="A5580" s="11">
        <v>42782</v>
      </c>
      <c r="B5580" s="10" t="s">
        <v>11514</v>
      </c>
      <c r="C5580" s="10" t="s">
        <v>11515</v>
      </c>
      <c r="D5580" s="11">
        <v>42782.678124999999</v>
      </c>
      <c r="E5580" s="10" t="s">
        <v>2180</v>
      </c>
    </row>
    <row r="5581" spans="1:5">
      <c r="A5581" s="11">
        <v>42782</v>
      </c>
      <c r="B5581" s="10" t="s">
        <v>11516</v>
      </c>
      <c r="C5581" s="10" t="s">
        <v>11517</v>
      </c>
      <c r="D5581" s="11">
        <v>42782.674074074072</v>
      </c>
      <c r="E5581" s="10" t="s">
        <v>193</v>
      </c>
    </row>
    <row r="5582" spans="1:5">
      <c r="A5582" s="11">
        <v>42782</v>
      </c>
      <c r="B5582" s="10" t="s">
        <v>11518</v>
      </c>
      <c r="C5582" s="10" t="s">
        <v>11519</v>
      </c>
      <c r="D5582" s="11">
        <v>42782.671203703707</v>
      </c>
      <c r="E5582" s="10" t="s">
        <v>193</v>
      </c>
    </row>
    <row r="5583" spans="1:5">
      <c r="A5583" s="11">
        <v>42782</v>
      </c>
      <c r="B5583" s="10" t="s">
        <v>11520</v>
      </c>
      <c r="C5583" s="10" t="s">
        <v>11521</v>
      </c>
      <c r="D5583" s="11">
        <v>42782.67696759259</v>
      </c>
      <c r="E5583" s="10" t="s">
        <v>193</v>
      </c>
    </row>
    <row r="5584" spans="1:5">
      <c r="A5584" s="11">
        <v>42782</v>
      </c>
      <c r="B5584" s="10" t="s">
        <v>11522</v>
      </c>
      <c r="C5584" s="10" t="s">
        <v>11523</v>
      </c>
      <c r="D5584" s="11">
        <v>42782.678749999999</v>
      </c>
      <c r="E5584" s="10" t="s">
        <v>4865</v>
      </c>
    </row>
    <row r="5585" spans="1:5">
      <c r="A5585" s="11">
        <v>42782</v>
      </c>
      <c r="B5585" s="10" t="s">
        <v>11524</v>
      </c>
      <c r="C5585" s="10" t="s">
        <v>11525</v>
      </c>
      <c r="D5585" s="11">
        <v>42782.67597222222</v>
      </c>
      <c r="E5585" s="10" t="s">
        <v>240</v>
      </c>
    </row>
    <row r="5586" spans="1:5">
      <c r="A5586" s="11">
        <v>42782</v>
      </c>
      <c r="B5586" s="10" t="s">
        <v>11526</v>
      </c>
      <c r="C5586" s="10" t="s">
        <v>11527</v>
      </c>
      <c r="D5586" s="11">
        <v>42782.67564814815</v>
      </c>
      <c r="E5586" s="10" t="s">
        <v>193</v>
      </c>
    </row>
    <row r="5587" spans="1:5">
      <c r="A5587" s="11">
        <v>42782</v>
      </c>
      <c r="B5587" s="10" t="s">
        <v>11528</v>
      </c>
      <c r="C5587" s="10" t="s">
        <v>11529</v>
      </c>
      <c r="D5587" s="11">
        <v>42782.678900462961</v>
      </c>
      <c r="E5587" s="10" t="s">
        <v>122</v>
      </c>
    </row>
    <row r="5588" spans="1:5">
      <c r="A5588" s="11">
        <v>42782</v>
      </c>
      <c r="B5588" s="10" t="s">
        <v>11530</v>
      </c>
      <c r="C5588" s="10" t="s">
        <v>11531</v>
      </c>
      <c r="D5588" s="11">
        <v>42782.679097222222</v>
      </c>
      <c r="E5588" s="10" t="s">
        <v>152</v>
      </c>
    </row>
    <row r="5589" spans="1:5">
      <c r="A5589" s="11">
        <v>42782</v>
      </c>
      <c r="B5589" s="10" t="s">
        <v>11532</v>
      </c>
      <c r="C5589" s="10" t="s">
        <v>11533</v>
      </c>
      <c r="D5589" s="11">
        <v>42782.677222222221</v>
      </c>
      <c r="E5589" s="10" t="s">
        <v>96</v>
      </c>
    </row>
    <row r="5590" spans="1:5">
      <c r="A5590" s="11">
        <v>42782</v>
      </c>
      <c r="B5590" s="10" t="s">
        <v>11534</v>
      </c>
      <c r="C5590" s="10" t="s">
        <v>11535</v>
      </c>
      <c r="D5590" s="11">
        <v>42782.676365740743</v>
      </c>
      <c r="E5590" s="10" t="s">
        <v>240</v>
      </c>
    </row>
    <row r="5591" spans="1:5">
      <c r="A5591" s="11">
        <v>42782</v>
      </c>
      <c r="B5591" s="10" t="s">
        <v>11536</v>
      </c>
      <c r="C5591" s="10" t="s">
        <v>11537</v>
      </c>
      <c r="D5591" s="11">
        <v>42782.679918981485</v>
      </c>
      <c r="E5591" s="10" t="s">
        <v>5026</v>
      </c>
    </row>
    <row r="5592" spans="1:5">
      <c r="A5592" s="11">
        <v>42782</v>
      </c>
      <c r="B5592" s="10" t="s">
        <v>11538</v>
      </c>
      <c r="C5592" s="10" t="s">
        <v>11539</v>
      </c>
      <c r="D5592" s="11">
        <v>42782.679872685185</v>
      </c>
      <c r="E5592" s="10" t="s">
        <v>2995</v>
      </c>
    </row>
    <row r="5593" spans="1:5">
      <c r="A5593" s="11">
        <v>42782</v>
      </c>
      <c r="B5593" s="10" t="s">
        <v>11540</v>
      </c>
      <c r="C5593" s="10" t="s">
        <v>11541</v>
      </c>
      <c r="D5593" s="11">
        <v>42782.67359953704</v>
      </c>
      <c r="E5593" s="10" t="s">
        <v>2571</v>
      </c>
    </row>
    <row r="5594" spans="1:5">
      <c r="A5594" s="11">
        <v>42782</v>
      </c>
      <c r="B5594" s="10" t="s">
        <v>11542</v>
      </c>
      <c r="C5594" s="10" t="s">
        <v>11543</v>
      </c>
      <c r="D5594" s="11">
        <v>42782.678865740738</v>
      </c>
      <c r="E5594" s="10" t="s">
        <v>433</v>
      </c>
    </row>
    <row r="5595" spans="1:5">
      <c r="A5595" s="11">
        <v>42782</v>
      </c>
      <c r="B5595" s="10" t="s">
        <v>11544</v>
      </c>
      <c r="C5595" s="10" t="s">
        <v>11545</v>
      </c>
      <c r="D5595" s="11">
        <v>42782.681006944447</v>
      </c>
      <c r="E5595" s="10" t="s">
        <v>240</v>
      </c>
    </row>
    <row r="5596" spans="1:5">
      <c r="A5596" s="11">
        <v>42782</v>
      </c>
      <c r="B5596" s="10" t="s">
        <v>11546</v>
      </c>
      <c r="C5596" s="10" t="s">
        <v>11547</v>
      </c>
      <c r="D5596" s="11">
        <v>42782.681180555555</v>
      </c>
      <c r="E5596" s="10" t="s">
        <v>178</v>
      </c>
    </row>
    <row r="5597" spans="1:5">
      <c r="A5597" s="11">
        <v>42782</v>
      </c>
      <c r="B5597" s="10" t="s">
        <v>11548</v>
      </c>
      <c r="C5597" s="10" t="s">
        <v>11549</v>
      </c>
      <c r="D5597" s="11">
        <v>42782.681250000001</v>
      </c>
      <c r="E5597" s="10" t="s">
        <v>193</v>
      </c>
    </row>
    <row r="5598" spans="1:5">
      <c r="A5598" s="11">
        <v>42782</v>
      </c>
      <c r="B5598" s="10" t="s">
        <v>11550</v>
      </c>
      <c r="C5598" s="10" t="s">
        <v>11551</v>
      </c>
      <c r="D5598" s="11">
        <v>42782.68136574074</v>
      </c>
      <c r="E5598" s="10" t="s">
        <v>178</v>
      </c>
    </row>
    <row r="5599" spans="1:5">
      <c r="A5599" s="11">
        <v>42782</v>
      </c>
      <c r="B5599" s="10" t="s">
        <v>11552</v>
      </c>
      <c r="C5599" s="10" t="s">
        <v>11553</v>
      </c>
      <c r="D5599" s="11">
        <v>42782.681388888886</v>
      </c>
      <c r="E5599" s="10" t="s">
        <v>96</v>
      </c>
    </row>
    <row r="5600" spans="1:5">
      <c r="A5600" s="11">
        <v>42782</v>
      </c>
      <c r="B5600" s="10" t="s">
        <v>11554</v>
      </c>
      <c r="C5600" s="10" t="s">
        <v>11555</v>
      </c>
      <c r="D5600" s="11">
        <v>42782.681701388887</v>
      </c>
      <c r="E5600" s="10" t="s">
        <v>414</v>
      </c>
    </row>
    <row r="5601" spans="1:5">
      <c r="A5601" s="11">
        <v>42782</v>
      </c>
      <c r="B5601" s="10" t="s">
        <v>11556</v>
      </c>
      <c r="C5601" s="10" t="s">
        <v>11557</v>
      </c>
      <c r="D5601" s="11">
        <v>42782.680694444447</v>
      </c>
      <c r="E5601" s="10" t="s">
        <v>122</v>
      </c>
    </row>
    <row r="5602" spans="1:5">
      <c r="A5602" s="11">
        <v>42782</v>
      </c>
      <c r="B5602" s="10" t="s">
        <v>11558</v>
      </c>
      <c r="C5602" s="10" t="s">
        <v>11559</v>
      </c>
      <c r="D5602" s="11">
        <v>42782.680092592593</v>
      </c>
      <c r="E5602" s="10" t="s">
        <v>193</v>
      </c>
    </row>
    <row r="5603" spans="1:5">
      <c r="A5603" s="11">
        <v>42782</v>
      </c>
      <c r="B5603" s="10" t="s">
        <v>11560</v>
      </c>
      <c r="C5603" s="10" t="s">
        <v>11561</v>
      </c>
      <c r="D5603" s="11">
        <v>42782.677939814814</v>
      </c>
      <c r="E5603" s="10" t="s">
        <v>373</v>
      </c>
    </row>
    <row r="5604" spans="1:5">
      <c r="A5604" s="11">
        <v>42782</v>
      </c>
      <c r="B5604" s="10" t="s">
        <v>11562</v>
      </c>
      <c r="C5604" s="10" t="s">
        <v>11563</v>
      </c>
      <c r="D5604" s="11">
        <v>42782.682893518519</v>
      </c>
      <c r="E5604" s="10" t="s">
        <v>2201</v>
      </c>
    </row>
    <row r="5605" spans="1:5">
      <c r="A5605" s="11">
        <v>42782</v>
      </c>
      <c r="B5605" s="10" t="s">
        <v>11564</v>
      </c>
      <c r="C5605" s="10" t="s">
        <v>11565</v>
      </c>
      <c r="D5605" s="11">
        <v>42782.682893518519</v>
      </c>
      <c r="E5605" s="10" t="s">
        <v>237</v>
      </c>
    </row>
    <row r="5606" spans="1:5">
      <c r="A5606" s="11">
        <v>42782</v>
      </c>
      <c r="B5606" s="10" t="s">
        <v>11566</v>
      </c>
      <c r="C5606" s="10" t="s">
        <v>11567</v>
      </c>
      <c r="D5606" s="11">
        <v>42782.673379629632</v>
      </c>
      <c r="E5606" s="10" t="s">
        <v>433</v>
      </c>
    </row>
    <row r="5607" spans="1:5">
      <c r="A5607" s="11">
        <v>42782</v>
      </c>
      <c r="B5607" s="10" t="s">
        <v>11568</v>
      </c>
      <c r="C5607" s="10" t="s">
        <v>11569</v>
      </c>
      <c r="D5607" s="11">
        <v>42782.68340277778</v>
      </c>
      <c r="E5607" s="10" t="s">
        <v>2201</v>
      </c>
    </row>
    <row r="5608" spans="1:5">
      <c r="A5608" s="11">
        <v>42782</v>
      </c>
      <c r="B5608" s="10" t="s">
        <v>11570</v>
      </c>
      <c r="C5608" s="10" t="s">
        <v>11571</v>
      </c>
      <c r="D5608" s="11">
        <v>42782.683425925927</v>
      </c>
      <c r="E5608" s="10" t="s">
        <v>433</v>
      </c>
    </row>
    <row r="5609" spans="1:5">
      <c r="A5609" s="11">
        <v>42782</v>
      </c>
      <c r="B5609" s="10" t="s">
        <v>11572</v>
      </c>
      <c r="C5609" s="10" t="s">
        <v>11573</v>
      </c>
      <c r="D5609" s="11">
        <v>42782.683449074073</v>
      </c>
      <c r="E5609" s="10" t="s">
        <v>4898</v>
      </c>
    </row>
    <row r="5610" spans="1:5">
      <c r="A5610" s="11">
        <v>42782</v>
      </c>
      <c r="B5610" s="10" t="s">
        <v>11574</v>
      </c>
      <c r="C5610" s="10" t="s">
        <v>11575</v>
      </c>
      <c r="D5610" s="11">
        <v>42782.680405092593</v>
      </c>
      <c r="E5610" s="10" t="s">
        <v>193</v>
      </c>
    </row>
    <row r="5611" spans="1:5">
      <c r="A5611" s="11">
        <v>42782</v>
      </c>
      <c r="B5611" s="10" t="s">
        <v>11576</v>
      </c>
      <c r="C5611" s="10" t="s">
        <v>11577</v>
      </c>
      <c r="D5611" s="11">
        <v>42782.68109953704</v>
      </c>
      <c r="E5611" s="10" t="s">
        <v>683</v>
      </c>
    </row>
    <row r="5612" spans="1:5">
      <c r="A5612" s="11">
        <v>42782</v>
      </c>
      <c r="B5612" s="10" t="s">
        <v>11578</v>
      </c>
      <c r="C5612" s="10" t="s">
        <v>11579</v>
      </c>
      <c r="D5612" s="11">
        <v>42782.684189814812</v>
      </c>
      <c r="E5612" s="10" t="s">
        <v>292</v>
      </c>
    </row>
    <row r="5613" spans="1:5">
      <c r="A5613" s="11">
        <v>42782</v>
      </c>
      <c r="B5613" s="10" t="s">
        <v>11580</v>
      </c>
      <c r="C5613" s="10" t="s">
        <v>11581</v>
      </c>
      <c r="D5613" s="11">
        <v>42782.684189814812</v>
      </c>
      <c r="E5613" s="10" t="s">
        <v>292</v>
      </c>
    </row>
    <row r="5614" spans="1:5">
      <c r="A5614" s="11">
        <v>42782</v>
      </c>
      <c r="B5614" s="10" t="s">
        <v>11582</v>
      </c>
      <c r="C5614" s="10" t="s">
        <v>11583</v>
      </c>
      <c r="D5614" s="11">
        <v>42782.684317129628</v>
      </c>
      <c r="E5614" s="10" t="s">
        <v>4898</v>
      </c>
    </row>
    <row r="5615" spans="1:5">
      <c r="A5615" s="11">
        <v>42782</v>
      </c>
      <c r="B5615" s="10" t="s">
        <v>11584</v>
      </c>
      <c r="C5615" s="10" t="s">
        <v>11585</v>
      </c>
      <c r="D5615" s="11">
        <v>42782.678043981483</v>
      </c>
      <c r="E5615" s="10" t="s">
        <v>2865</v>
      </c>
    </row>
    <row r="5616" spans="1:5">
      <c r="A5616" s="11">
        <v>42782</v>
      </c>
      <c r="B5616" s="10" t="s">
        <v>11586</v>
      </c>
      <c r="C5616" s="10" t="s">
        <v>11587</v>
      </c>
      <c r="D5616" s="11">
        <v>42782.67260416667</v>
      </c>
      <c r="E5616" s="10" t="s">
        <v>209</v>
      </c>
    </row>
    <row r="5617" spans="1:5">
      <c r="A5617" s="11">
        <v>42782</v>
      </c>
      <c r="B5617" s="10" t="s">
        <v>11588</v>
      </c>
      <c r="C5617" s="10" t="s">
        <v>11589</v>
      </c>
      <c r="D5617" s="11">
        <v>42782.684837962966</v>
      </c>
      <c r="E5617" s="10" t="s">
        <v>122</v>
      </c>
    </row>
    <row r="5618" spans="1:5">
      <c r="A5618" s="11">
        <v>42782</v>
      </c>
      <c r="B5618" s="10" t="s">
        <v>11590</v>
      </c>
      <c r="C5618" s="10" t="s">
        <v>11591</v>
      </c>
      <c r="D5618" s="11">
        <v>42782.681747685187</v>
      </c>
      <c r="E5618" s="10" t="s">
        <v>96</v>
      </c>
    </row>
    <row r="5619" spans="1:5">
      <c r="A5619" s="11">
        <v>42782</v>
      </c>
      <c r="B5619" s="10" t="s">
        <v>11592</v>
      </c>
      <c r="C5619" s="10" t="s">
        <v>11593</v>
      </c>
      <c r="D5619" s="11">
        <v>42782.685023148151</v>
      </c>
      <c r="E5619" s="10" t="s">
        <v>656</v>
      </c>
    </row>
    <row r="5620" spans="1:5">
      <c r="A5620" s="11">
        <v>42782</v>
      </c>
      <c r="B5620" s="10" t="s">
        <v>11594</v>
      </c>
      <c r="C5620" s="10" t="s">
        <v>11595</v>
      </c>
      <c r="D5620" s="11">
        <v>42782.685127314813</v>
      </c>
      <c r="E5620" s="10" t="s">
        <v>656</v>
      </c>
    </row>
    <row r="5621" spans="1:5">
      <c r="A5621" s="11">
        <v>42782</v>
      </c>
      <c r="B5621" s="10" t="s">
        <v>11596</v>
      </c>
      <c r="C5621" s="10" t="s">
        <v>11597</v>
      </c>
      <c r="D5621" s="11">
        <v>42782.685393518521</v>
      </c>
      <c r="E5621" s="10" t="s">
        <v>2341</v>
      </c>
    </row>
    <row r="5622" spans="1:5">
      <c r="A5622" s="11">
        <v>42782</v>
      </c>
      <c r="B5622" s="10" t="s">
        <v>11598</v>
      </c>
      <c r="C5622" s="10" t="s">
        <v>11599</v>
      </c>
      <c r="D5622" s="11">
        <v>42782.679201388892</v>
      </c>
      <c r="E5622" s="10" t="s">
        <v>193</v>
      </c>
    </row>
    <row r="5623" spans="1:5">
      <c r="A5623" s="11">
        <v>42782</v>
      </c>
      <c r="B5623" s="10" t="s">
        <v>11600</v>
      </c>
      <c r="C5623" s="10" t="s">
        <v>11601</v>
      </c>
      <c r="D5623" s="11">
        <v>42782.685590277775</v>
      </c>
      <c r="E5623" s="10" t="s">
        <v>240</v>
      </c>
    </row>
    <row r="5624" spans="1:5">
      <c r="A5624" s="11">
        <v>42782</v>
      </c>
      <c r="B5624" s="10" t="s">
        <v>11602</v>
      </c>
      <c r="C5624" s="10" t="s">
        <v>11603</v>
      </c>
      <c r="D5624" s="11">
        <v>42782.685601851852</v>
      </c>
      <c r="E5624" s="10" t="s">
        <v>6712</v>
      </c>
    </row>
    <row r="5625" spans="1:5">
      <c r="A5625" s="11">
        <v>42782</v>
      </c>
      <c r="B5625" s="10" t="s">
        <v>11604</v>
      </c>
      <c r="C5625" s="10" t="s">
        <v>11605</v>
      </c>
      <c r="D5625" s="11">
        <v>42782.68577546296</v>
      </c>
      <c r="E5625" s="10" t="s">
        <v>193</v>
      </c>
    </row>
    <row r="5626" spans="1:5">
      <c r="A5626" s="11">
        <v>42782</v>
      </c>
      <c r="B5626" s="10" t="s">
        <v>11606</v>
      </c>
      <c r="C5626" s="10" t="s">
        <v>11607</v>
      </c>
      <c r="D5626" s="11">
        <v>42782.677476851852</v>
      </c>
      <c r="E5626" s="10" t="s">
        <v>1103</v>
      </c>
    </row>
    <row r="5627" spans="1:5">
      <c r="A5627" s="11">
        <v>42782</v>
      </c>
      <c r="B5627" s="10" t="s">
        <v>11608</v>
      </c>
      <c r="C5627" s="10" t="s">
        <v>11609</v>
      </c>
      <c r="D5627" s="11">
        <v>42782.68608796296</v>
      </c>
      <c r="E5627" s="10" t="s">
        <v>122</v>
      </c>
    </row>
    <row r="5628" spans="1:5">
      <c r="A5628" s="11">
        <v>42782</v>
      </c>
      <c r="B5628" s="10" t="s">
        <v>11610</v>
      </c>
      <c r="C5628" s="10" t="s">
        <v>11611</v>
      </c>
      <c r="D5628" s="11">
        <v>42782.672766203701</v>
      </c>
      <c r="E5628" s="10" t="s">
        <v>122</v>
      </c>
    </row>
    <row r="5629" spans="1:5">
      <c r="A5629" s="11">
        <v>42782</v>
      </c>
      <c r="B5629" s="10" t="s">
        <v>11612</v>
      </c>
      <c r="C5629" s="10" t="s">
        <v>11613</v>
      </c>
      <c r="D5629" s="11">
        <v>42782.673090277778</v>
      </c>
      <c r="E5629" s="10" t="s">
        <v>683</v>
      </c>
    </row>
    <row r="5630" spans="1:5">
      <c r="A5630" s="11">
        <v>42782</v>
      </c>
      <c r="B5630" s="10" t="s">
        <v>11614</v>
      </c>
      <c r="C5630" s="10" t="s">
        <v>11615</v>
      </c>
      <c r="D5630" s="11">
        <v>42782.673483796294</v>
      </c>
      <c r="E5630" s="10" t="s">
        <v>122</v>
      </c>
    </row>
    <row r="5631" spans="1:5">
      <c r="A5631" s="11">
        <v>42782</v>
      </c>
      <c r="B5631" s="10" t="s">
        <v>11616</v>
      </c>
      <c r="C5631" s="10" t="s">
        <v>11617</v>
      </c>
      <c r="D5631" s="11">
        <v>42782.685324074075</v>
      </c>
      <c r="E5631" s="10" t="s">
        <v>6002</v>
      </c>
    </row>
    <row r="5632" spans="1:5">
      <c r="A5632" s="11">
        <v>42782</v>
      </c>
      <c r="B5632" s="10" t="s">
        <v>11618</v>
      </c>
      <c r="C5632" s="10" t="s">
        <v>11619</v>
      </c>
      <c r="D5632" s="11">
        <v>42782.684606481482</v>
      </c>
      <c r="E5632" s="10" t="s">
        <v>6002</v>
      </c>
    </row>
    <row r="5633" spans="1:5">
      <c r="A5633" s="11">
        <v>42782</v>
      </c>
      <c r="B5633" s="10" t="s">
        <v>11620</v>
      </c>
      <c r="C5633" s="10" t="s">
        <v>11621</v>
      </c>
      <c r="D5633" s="11">
        <v>42782.686805555553</v>
      </c>
      <c r="E5633" s="10" t="s">
        <v>479</v>
      </c>
    </row>
    <row r="5634" spans="1:5">
      <c r="A5634" s="11">
        <v>42782</v>
      </c>
      <c r="B5634" s="10" t="s">
        <v>11622</v>
      </c>
      <c r="C5634" s="10" t="s">
        <v>11623</v>
      </c>
      <c r="D5634" s="11">
        <v>42782.675833333335</v>
      </c>
      <c r="E5634" s="10" t="s">
        <v>209</v>
      </c>
    </row>
    <row r="5635" spans="1:5">
      <c r="A5635" s="11">
        <v>42782</v>
      </c>
      <c r="B5635" s="10" t="s">
        <v>11624</v>
      </c>
      <c r="C5635" s="10" t="s">
        <v>11625</v>
      </c>
      <c r="D5635" s="11">
        <v>42782.687060185184</v>
      </c>
      <c r="E5635" s="10" t="s">
        <v>433</v>
      </c>
    </row>
    <row r="5636" spans="1:5">
      <c r="A5636" s="11">
        <v>42782</v>
      </c>
      <c r="B5636" s="10" t="s">
        <v>11626</v>
      </c>
      <c r="C5636" s="10" t="s">
        <v>11627</v>
      </c>
      <c r="D5636" s="11">
        <v>42782.672592592593</v>
      </c>
      <c r="E5636" s="10" t="s">
        <v>373</v>
      </c>
    </row>
    <row r="5637" spans="1:5">
      <c r="A5637" s="11">
        <v>42782</v>
      </c>
      <c r="B5637" s="10" t="s">
        <v>11628</v>
      </c>
      <c r="C5637" s="10" t="s">
        <v>11629</v>
      </c>
      <c r="D5637" s="11">
        <v>42782.671655092592</v>
      </c>
      <c r="E5637" s="10" t="s">
        <v>380</v>
      </c>
    </row>
    <row r="5638" spans="1:5">
      <c r="A5638" s="11">
        <v>42782</v>
      </c>
      <c r="B5638" s="10" t="s">
        <v>11630</v>
      </c>
      <c r="C5638" s="10" t="s">
        <v>11631</v>
      </c>
      <c r="D5638" s="11">
        <v>42782.687372685185</v>
      </c>
      <c r="E5638" s="10" t="s">
        <v>122</v>
      </c>
    </row>
    <row r="5639" spans="1:5">
      <c r="A5639" s="11">
        <v>42782</v>
      </c>
      <c r="B5639" s="10" t="s">
        <v>11632</v>
      </c>
      <c r="C5639" s="10" t="s">
        <v>11633</v>
      </c>
      <c r="D5639" s="11">
        <v>42782.687627314815</v>
      </c>
      <c r="E5639" s="10" t="s">
        <v>5769</v>
      </c>
    </row>
    <row r="5640" spans="1:5">
      <c r="A5640" s="11">
        <v>42782</v>
      </c>
      <c r="B5640" s="10" t="s">
        <v>11634</v>
      </c>
      <c r="C5640" s="10" t="s">
        <v>11635</v>
      </c>
      <c r="D5640" s="11">
        <v>42782.6875462963</v>
      </c>
      <c r="E5640" s="10" t="s">
        <v>122</v>
      </c>
    </row>
    <row r="5641" spans="1:5">
      <c r="A5641" s="11">
        <v>42782</v>
      </c>
      <c r="B5641" s="10" t="s">
        <v>11636</v>
      </c>
      <c r="C5641" s="10" t="s">
        <v>11637</v>
      </c>
      <c r="D5641" s="11">
        <v>42782.687534722223</v>
      </c>
      <c r="E5641" s="10" t="s">
        <v>422</v>
      </c>
    </row>
    <row r="5642" spans="1:5">
      <c r="A5642" s="11">
        <v>42782</v>
      </c>
      <c r="B5642" s="10" t="s">
        <v>11638</v>
      </c>
      <c r="C5642" s="10" t="s">
        <v>11639</v>
      </c>
      <c r="D5642" s="11">
        <v>42782.68854166667</v>
      </c>
      <c r="E5642" s="10" t="s">
        <v>433</v>
      </c>
    </row>
    <row r="5643" spans="1:5">
      <c r="A5643" s="11">
        <v>42782</v>
      </c>
      <c r="B5643" s="10" t="s">
        <v>11640</v>
      </c>
      <c r="C5643" s="10" t="s">
        <v>11641</v>
      </c>
      <c r="D5643" s="11">
        <v>42782.682557870372</v>
      </c>
      <c r="E5643" s="10" t="s">
        <v>433</v>
      </c>
    </row>
    <row r="5644" spans="1:5">
      <c r="A5644" s="11">
        <v>42782</v>
      </c>
      <c r="B5644" s="10" t="s">
        <v>11642</v>
      </c>
      <c r="C5644" s="10" t="s">
        <v>11643</v>
      </c>
      <c r="D5644" s="11">
        <v>42782.674502314818</v>
      </c>
      <c r="E5644" s="10" t="s">
        <v>902</v>
      </c>
    </row>
    <row r="5645" spans="1:5">
      <c r="A5645" s="11">
        <v>42782</v>
      </c>
      <c r="B5645" s="10" t="s">
        <v>11644</v>
      </c>
      <c r="C5645" s="10" t="s">
        <v>11645</v>
      </c>
      <c r="D5645" s="11">
        <v>42782.689351851855</v>
      </c>
      <c r="E5645" s="10" t="s">
        <v>178</v>
      </c>
    </row>
    <row r="5646" spans="1:5">
      <c r="A5646" s="11">
        <v>42782</v>
      </c>
      <c r="B5646" s="10" t="s">
        <v>11646</v>
      </c>
      <c r="C5646" s="10" t="s">
        <v>11647</v>
      </c>
      <c r="D5646" s="11">
        <v>42782.689398148148</v>
      </c>
      <c r="E5646" s="10" t="s">
        <v>433</v>
      </c>
    </row>
    <row r="5647" spans="1:5">
      <c r="A5647" s="11">
        <v>42782</v>
      </c>
      <c r="B5647" s="10" t="s">
        <v>11648</v>
      </c>
      <c r="C5647" s="10" t="s">
        <v>11649</v>
      </c>
      <c r="D5647" s="11">
        <v>42782.68959490741</v>
      </c>
      <c r="E5647" s="10" t="s">
        <v>707</v>
      </c>
    </row>
    <row r="5648" spans="1:5" ht="21.6">
      <c r="A5648" s="11">
        <v>42782</v>
      </c>
      <c r="B5648" s="10" t="s">
        <v>11650</v>
      </c>
      <c r="C5648" s="10" t="s">
        <v>11651</v>
      </c>
      <c r="D5648" s="11">
        <v>42782.685694444444</v>
      </c>
      <c r="E5648" s="10" t="s">
        <v>966</v>
      </c>
    </row>
    <row r="5649" spans="1:5">
      <c r="A5649" s="11">
        <v>42782</v>
      </c>
      <c r="B5649" s="10" t="s">
        <v>11652</v>
      </c>
      <c r="C5649" s="10" t="s">
        <v>11653</v>
      </c>
      <c r="D5649" s="11">
        <v>42782.685358796298</v>
      </c>
      <c r="E5649" s="10" t="s">
        <v>237</v>
      </c>
    </row>
    <row r="5650" spans="1:5">
      <c r="A5650" s="11">
        <v>42782</v>
      </c>
      <c r="B5650" s="10" t="s">
        <v>11654</v>
      </c>
      <c r="C5650" s="10" t="s">
        <v>11655</v>
      </c>
      <c r="D5650" s="11">
        <v>42782.689849537041</v>
      </c>
      <c r="E5650" s="10" t="s">
        <v>292</v>
      </c>
    </row>
    <row r="5651" spans="1:5">
      <c r="A5651" s="11">
        <v>42782</v>
      </c>
      <c r="B5651" s="10" t="s">
        <v>11656</v>
      </c>
      <c r="C5651" s="10" t="s">
        <v>11657</v>
      </c>
      <c r="D5651" s="11">
        <v>42782.68990740741</v>
      </c>
      <c r="E5651" s="10" t="s">
        <v>292</v>
      </c>
    </row>
    <row r="5652" spans="1:5">
      <c r="A5652" s="11">
        <v>42782</v>
      </c>
      <c r="B5652" s="10" t="s">
        <v>11658</v>
      </c>
      <c r="C5652" s="10" t="s">
        <v>11659</v>
      </c>
      <c r="D5652" s="11">
        <v>42782.684398148151</v>
      </c>
      <c r="E5652" s="10" t="s">
        <v>380</v>
      </c>
    </row>
    <row r="5653" spans="1:5">
      <c r="A5653" s="11">
        <v>42782</v>
      </c>
      <c r="B5653" s="10" t="s">
        <v>11660</v>
      </c>
      <c r="C5653" s="10" t="s">
        <v>11661</v>
      </c>
      <c r="D5653" s="11">
        <v>42782.69</v>
      </c>
      <c r="E5653" s="10" t="s">
        <v>2742</v>
      </c>
    </row>
    <row r="5654" spans="1:5">
      <c r="A5654" s="11">
        <v>42782</v>
      </c>
      <c r="B5654" s="10" t="s">
        <v>11662</v>
      </c>
      <c r="C5654" s="10" t="s">
        <v>11663</v>
      </c>
      <c r="D5654" s="11">
        <v>42782.690069444441</v>
      </c>
      <c r="E5654" s="10" t="s">
        <v>433</v>
      </c>
    </row>
    <row r="5655" spans="1:5">
      <c r="A5655" s="11">
        <v>42782</v>
      </c>
      <c r="B5655" s="10" t="s">
        <v>11664</v>
      </c>
      <c r="C5655" s="10" t="s">
        <v>11665</v>
      </c>
      <c r="D5655" s="11">
        <v>42782.690138888887</v>
      </c>
      <c r="E5655" s="10" t="s">
        <v>422</v>
      </c>
    </row>
    <row r="5656" spans="1:5">
      <c r="A5656" s="11">
        <v>42782</v>
      </c>
      <c r="B5656" s="10" t="s">
        <v>11666</v>
      </c>
      <c r="C5656" s="10" t="s">
        <v>11667</v>
      </c>
      <c r="D5656" s="11">
        <v>42782.672337962962</v>
      </c>
      <c r="E5656" s="10" t="s">
        <v>240</v>
      </c>
    </row>
    <row r="5657" spans="1:5">
      <c r="A5657" s="11">
        <v>42782</v>
      </c>
      <c r="B5657" s="10" t="s">
        <v>11668</v>
      </c>
      <c r="C5657" s="10" t="s">
        <v>11669</v>
      </c>
      <c r="D5657" s="11">
        <v>42782.690324074072</v>
      </c>
      <c r="E5657" s="10" t="s">
        <v>320</v>
      </c>
    </row>
    <row r="5658" spans="1:5">
      <c r="A5658" s="11">
        <v>42782</v>
      </c>
      <c r="B5658" s="10" t="s">
        <v>11670</v>
      </c>
      <c r="C5658" s="10" t="s">
        <v>11671</v>
      </c>
      <c r="D5658" s="11">
        <v>42782.690405092595</v>
      </c>
      <c r="E5658" s="10" t="s">
        <v>96</v>
      </c>
    </row>
    <row r="5659" spans="1:5">
      <c r="A5659" s="11">
        <v>42782</v>
      </c>
      <c r="B5659" s="10" t="s">
        <v>11672</v>
      </c>
      <c r="C5659" s="10" t="s">
        <v>11673</v>
      </c>
      <c r="D5659" s="11">
        <v>42782.685983796298</v>
      </c>
      <c r="E5659" s="10" t="s">
        <v>96</v>
      </c>
    </row>
    <row r="5660" spans="1:5">
      <c r="A5660" s="11">
        <v>42782</v>
      </c>
      <c r="B5660" s="10" t="s">
        <v>11674</v>
      </c>
      <c r="C5660" s="10" t="s">
        <v>11675</v>
      </c>
      <c r="D5660" s="11">
        <v>42782.690532407411</v>
      </c>
      <c r="E5660" s="10" t="s">
        <v>4898</v>
      </c>
    </row>
    <row r="5661" spans="1:5">
      <c r="A5661" s="11">
        <v>42782</v>
      </c>
      <c r="B5661" s="10" t="s">
        <v>11676</v>
      </c>
      <c r="C5661" s="10" t="s">
        <v>11677</v>
      </c>
      <c r="D5661" s="11">
        <v>42782.684363425928</v>
      </c>
      <c r="E5661" s="10" t="s">
        <v>308</v>
      </c>
    </row>
    <row r="5662" spans="1:5">
      <c r="A5662" s="11">
        <v>42782</v>
      </c>
      <c r="B5662" s="10" t="s">
        <v>11678</v>
      </c>
      <c r="C5662" s="10" t="s">
        <v>11679</v>
      </c>
      <c r="D5662" s="11">
        <v>42782.685717592591</v>
      </c>
      <c r="E5662" s="10" t="s">
        <v>3550</v>
      </c>
    </row>
    <row r="5663" spans="1:5">
      <c r="A5663" s="11">
        <v>42782</v>
      </c>
      <c r="B5663" s="10" t="s">
        <v>11680</v>
      </c>
      <c r="C5663" s="10" t="s">
        <v>11681</v>
      </c>
      <c r="D5663" s="11">
        <v>42782.689305555556</v>
      </c>
      <c r="E5663" s="10" t="s">
        <v>320</v>
      </c>
    </row>
    <row r="5664" spans="1:5">
      <c r="A5664" s="11">
        <v>42782</v>
      </c>
      <c r="B5664" s="10" t="s">
        <v>11682</v>
      </c>
      <c r="C5664" s="10" t="s">
        <v>11683</v>
      </c>
      <c r="D5664" s="11">
        <v>42782.688263888886</v>
      </c>
      <c r="E5664" s="10" t="s">
        <v>433</v>
      </c>
    </row>
    <row r="5665" spans="1:5">
      <c r="A5665" s="11">
        <v>42782</v>
      </c>
      <c r="B5665" s="10" t="s">
        <v>11684</v>
      </c>
      <c r="C5665" s="10" t="s">
        <v>11685</v>
      </c>
      <c r="D5665" s="11">
        <v>42782.691041666665</v>
      </c>
      <c r="E5665" s="10" t="s">
        <v>433</v>
      </c>
    </row>
    <row r="5666" spans="1:5">
      <c r="A5666" s="11">
        <v>42782</v>
      </c>
      <c r="B5666" s="10" t="s">
        <v>11686</v>
      </c>
      <c r="C5666" s="10" t="s">
        <v>11687</v>
      </c>
      <c r="D5666" s="11">
        <v>42782.691238425927</v>
      </c>
      <c r="E5666" s="10" t="s">
        <v>625</v>
      </c>
    </row>
    <row r="5667" spans="1:5">
      <c r="A5667" s="11">
        <v>42782</v>
      </c>
      <c r="B5667" s="10" t="s">
        <v>11688</v>
      </c>
      <c r="C5667" s="10" t="s">
        <v>11689</v>
      </c>
      <c r="D5667" s="11">
        <v>42782.691296296296</v>
      </c>
      <c r="E5667" s="10" t="s">
        <v>4862</v>
      </c>
    </row>
    <row r="5668" spans="1:5">
      <c r="A5668" s="11">
        <v>42782</v>
      </c>
      <c r="B5668" s="10" t="s">
        <v>11690</v>
      </c>
      <c r="C5668" s="10" t="s">
        <v>11691</v>
      </c>
      <c r="D5668" s="11">
        <v>42782.669745370367</v>
      </c>
      <c r="E5668" s="10" t="s">
        <v>380</v>
      </c>
    </row>
    <row r="5669" spans="1:5">
      <c r="A5669" s="11">
        <v>42782</v>
      </c>
      <c r="B5669" s="10" t="s">
        <v>11692</v>
      </c>
      <c r="C5669" s="10" t="s">
        <v>11693</v>
      </c>
      <c r="D5669" s="11">
        <v>42782.687881944446</v>
      </c>
      <c r="E5669" s="10" t="s">
        <v>218</v>
      </c>
    </row>
    <row r="5670" spans="1:5">
      <c r="A5670" s="11">
        <v>42782</v>
      </c>
      <c r="B5670" s="10" t="s">
        <v>11694</v>
      </c>
      <c r="C5670" s="10" t="s">
        <v>11695</v>
      </c>
      <c r="D5670" s="11">
        <v>42782.68440972222</v>
      </c>
      <c r="E5670" s="10" t="s">
        <v>237</v>
      </c>
    </row>
    <row r="5671" spans="1:5" ht="21.6">
      <c r="A5671" s="11">
        <v>42782</v>
      </c>
      <c r="B5671" s="10" t="s">
        <v>11696</v>
      </c>
      <c r="C5671" s="10" t="s">
        <v>11697</v>
      </c>
      <c r="D5671" s="11">
        <v>42782.689722222225</v>
      </c>
      <c r="E5671" s="10" t="s">
        <v>11698</v>
      </c>
    </row>
    <row r="5672" spans="1:5">
      <c r="A5672" s="11">
        <v>42782</v>
      </c>
      <c r="B5672" s="10" t="s">
        <v>11699</v>
      </c>
      <c r="C5672" s="10" t="s">
        <v>11700</v>
      </c>
      <c r="D5672" s="11">
        <v>42782.691840277781</v>
      </c>
      <c r="E5672" s="10" t="s">
        <v>707</v>
      </c>
    </row>
    <row r="5673" spans="1:5">
      <c r="A5673" s="11">
        <v>42782</v>
      </c>
      <c r="B5673" s="10" t="s">
        <v>11701</v>
      </c>
      <c r="C5673" s="10" t="s">
        <v>11702</v>
      </c>
      <c r="D5673" s="11">
        <v>42782.688402777778</v>
      </c>
      <c r="E5673" s="10" t="s">
        <v>707</v>
      </c>
    </row>
    <row r="5674" spans="1:5">
      <c r="A5674" s="11">
        <v>42782</v>
      </c>
      <c r="B5674" s="10" t="s">
        <v>11703</v>
      </c>
      <c r="C5674" s="10" t="s">
        <v>11704</v>
      </c>
      <c r="D5674" s="11">
        <v>42782.686851851853</v>
      </c>
      <c r="E5674" s="10" t="s">
        <v>96</v>
      </c>
    </row>
    <row r="5675" spans="1:5">
      <c r="A5675" s="11">
        <v>42782</v>
      </c>
      <c r="B5675" s="10" t="s">
        <v>11705</v>
      </c>
      <c r="C5675" s="10" t="s">
        <v>11706</v>
      </c>
      <c r="D5675" s="11">
        <v>42782.690474537034</v>
      </c>
      <c r="E5675" s="10" t="s">
        <v>433</v>
      </c>
    </row>
    <row r="5676" spans="1:5">
      <c r="A5676" s="11">
        <v>42782</v>
      </c>
      <c r="B5676" s="10" t="s">
        <v>11707</v>
      </c>
      <c r="C5676" s="10" t="s">
        <v>11708</v>
      </c>
      <c r="D5676" s="11">
        <v>42782.691979166666</v>
      </c>
      <c r="E5676" s="10" t="s">
        <v>237</v>
      </c>
    </row>
    <row r="5677" spans="1:5">
      <c r="A5677" s="11">
        <v>42782</v>
      </c>
      <c r="B5677" s="10" t="s">
        <v>11709</v>
      </c>
      <c r="C5677" s="10" t="s">
        <v>11710</v>
      </c>
      <c r="D5677" s="11">
        <v>42782.691145833334</v>
      </c>
      <c r="E5677" s="10" t="s">
        <v>96</v>
      </c>
    </row>
    <row r="5678" spans="1:5">
      <c r="A5678" s="11">
        <v>42782</v>
      </c>
      <c r="B5678" s="10" t="s">
        <v>11711</v>
      </c>
      <c r="C5678" s="10" t="s">
        <v>11712</v>
      </c>
      <c r="D5678" s="11">
        <v>42782.692025462966</v>
      </c>
      <c r="E5678" s="10" t="s">
        <v>122</v>
      </c>
    </row>
    <row r="5679" spans="1:5">
      <c r="A5679" s="11">
        <v>42782</v>
      </c>
      <c r="B5679" s="10" t="s">
        <v>11713</v>
      </c>
      <c r="C5679" s="10" t="s">
        <v>11714</v>
      </c>
      <c r="D5679" s="11">
        <v>42782.68</v>
      </c>
      <c r="E5679" s="10" t="s">
        <v>613</v>
      </c>
    </row>
    <row r="5680" spans="1:5">
      <c r="A5680" s="11">
        <v>42782</v>
      </c>
      <c r="B5680" s="10" t="s">
        <v>11715</v>
      </c>
      <c r="C5680" s="10" t="s">
        <v>11716</v>
      </c>
      <c r="D5680" s="11">
        <v>42782.685833333337</v>
      </c>
      <c r="E5680" s="10" t="s">
        <v>433</v>
      </c>
    </row>
    <row r="5681" spans="1:5">
      <c r="A5681" s="11">
        <v>42782</v>
      </c>
      <c r="B5681" s="10" t="s">
        <v>11717</v>
      </c>
      <c r="C5681" s="10" t="s">
        <v>11718</v>
      </c>
      <c r="D5681" s="11">
        <v>42782.681956018518</v>
      </c>
      <c r="E5681" s="10" t="s">
        <v>4865</v>
      </c>
    </row>
    <row r="5682" spans="1:5">
      <c r="A5682" s="11">
        <v>42782</v>
      </c>
      <c r="B5682" s="10" t="s">
        <v>11719</v>
      </c>
      <c r="C5682" s="10" t="s">
        <v>11720</v>
      </c>
      <c r="D5682" s="11">
        <v>42782.689270833333</v>
      </c>
      <c r="E5682" s="10" t="s">
        <v>656</v>
      </c>
    </row>
    <row r="5683" spans="1:5">
      <c r="A5683" s="11">
        <v>42782</v>
      </c>
      <c r="B5683" s="10" t="s">
        <v>11721</v>
      </c>
      <c r="C5683" s="10" t="s">
        <v>11722</v>
      </c>
      <c r="D5683" s="11">
        <v>42782.675081018519</v>
      </c>
      <c r="E5683" s="10" t="s">
        <v>237</v>
      </c>
    </row>
    <row r="5684" spans="1:5">
      <c r="A5684" s="11">
        <v>42782</v>
      </c>
      <c r="B5684" s="10" t="s">
        <v>11723</v>
      </c>
      <c r="C5684" s="10" t="s">
        <v>11724</v>
      </c>
      <c r="D5684" s="11">
        <v>42782.692199074074</v>
      </c>
      <c r="E5684" s="10" t="s">
        <v>859</v>
      </c>
    </row>
    <row r="5685" spans="1:5">
      <c r="A5685" s="11">
        <v>42782</v>
      </c>
      <c r="B5685" s="10" t="s">
        <v>11725</v>
      </c>
      <c r="C5685" s="10" t="s">
        <v>11726</v>
      </c>
      <c r="D5685" s="11">
        <v>42782.676168981481</v>
      </c>
      <c r="E5685" s="10" t="s">
        <v>320</v>
      </c>
    </row>
    <row r="5686" spans="1:5">
      <c r="A5686" s="11">
        <v>42782</v>
      </c>
      <c r="B5686" s="10" t="s">
        <v>11727</v>
      </c>
      <c r="C5686" s="10" t="s">
        <v>11728</v>
      </c>
      <c r="D5686" s="11">
        <v>42782.692893518521</v>
      </c>
      <c r="E5686" s="10" t="s">
        <v>4898</v>
      </c>
    </row>
    <row r="5687" spans="1:5">
      <c r="A5687" s="11">
        <v>42782</v>
      </c>
      <c r="B5687" s="10" t="s">
        <v>11729</v>
      </c>
      <c r="C5687" s="10" t="s">
        <v>11730</v>
      </c>
      <c r="D5687" s="11">
        <v>42782.677384259259</v>
      </c>
      <c r="E5687" s="10" t="s">
        <v>656</v>
      </c>
    </row>
    <row r="5688" spans="1:5">
      <c r="A5688" s="11">
        <v>42782</v>
      </c>
      <c r="B5688" s="10" t="s">
        <v>11731</v>
      </c>
      <c r="C5688" s="10" t="s">
        <v>11732</v>
      </c>
      <c r="D5688" s="11">
        <v>42782.691608796296</v>
      </c>
      <c r="E5688" s="10" t="s">
        <v>380</v>
      </c>
    </row>
    <row r="5689" spans="1:5">
      <c r="A5689" s="11">
        <v>42782</v>
      </c>
      <c r="B5689" s="10" t="s">
        <v>11733</v>
      </c>
      <c r="C5689" s="10" t="s">
        <v>11734</v>
      </c>
      <c r="D5689" s="11">
        <v>42782.693113425928</v>
      </c>
      <c r="E5689" s="10" t="s">
        <v>433</v>
      </c>
    </row>
    <row r="5690" spans="1:5">
      <c r="A5690" s="11">
        <v>42782</v>
      </c>
      <c r="B5690" s="10" t="s">
        <v>11735</v>
      </c>
      <c r="C5690" s="10" t="s">
        <v>11736</v>
      </c>
      <c r="D5690" s="11">
        <v>42782.690983796296</v>
      </c>
      <c r="E5690" s="10" t="s">
        <v>433</v>
      </c>
    </row>
    <row r="5691" spans="1:5">
      <c r="A5691" s="11">
        <v>42782</v>
      </c>
      <c r="B5691" s="10" t="s">
        <v>11737</v>
      </c>
      <c r="C5691" s="10" t="s">
        <v>11738</v>
      </c>
      <c r="D5691" s="11">
        <v>42782.68509259259</v>
      </c>
      <c r="E5691" s="10" t="s">
        <v>122</v>
      </c>
    </row>
    <row r="5692" spans="1:5">
      <c r="A5692" s="11">
        <v>42782</v>
      </c>
      <c r="B5692" s="10" t="s">
        <v>11739</v>
      </c>
      <c r="C5692" s="10" t="s">
        <v>11740</v>
      </c>
      <c r="D5692" s="11">
        <v>42782.69332175926</v>
      </c>
      <c r="E5692" s="10" t="s">
        <v>122</v>
      </c>
    </row>
    <row r="5693" spans="1:5">
      <c r="A5693" s="11">
        <v>42782</v>
      </c>
      <c r="B5693" s="10" t="s">
        <v>11741</v>
      </c>
      <c r="C5693" s="10" t="s">
        <v>11742</v>
      </c>
      <c r="D5693" s="11">
        <v>42782.683715277781</v>
      </c>
      <c r="E5693" s="10" t="s">
        <v>237</v>
      </c>
    </row>
    <row r="5694" spans="1:5">
      <c r="A5694" s="11">
        <v>42782</v>
      </c>
      <c r="B5694" s="10" t="s">
        <v>11743</v>
      </c>
      <c r="C5694" s="10" t="s">
        <v>11744</v>
      </c>
      <c r="D5694" s="11">
        <v>42782.687604166669</v>
      </c>
      <c r="E5694" s="10" t="s">
        <v>373</v>
      </c>
    </row>
    <row r="5695" spans="1:5">
      <c r="A5695" s="11">
        <v>42782</v>
      </c>
      <c r="B5695" s="10" t="s">
        <v>11745</v>
      </c>
      <c r="C5695" s="10" t="s">
        <v>11746</v>
      </c>
      <c r="D5695" s="11">
        <v>42782.689108796294</v>
      </c>
      <c r="E5695" s="10" t="s">
        <v>380</v>
      </c>
    </row>
    <row r="5696" spans="1:5">
      <c r="A5696" s="11">
        <v>42782</v>
      </c>
      <c r="B5696" s="10" t="s">
        <v>11747</v>
      </c>
      <c r="C5696" s="10" t="s">
        <v>11748</v>
      </c>
      <c r="D5696" s="11">
        <v>42782.68408564815</v>
      </c>
      <c r="E5696" s="10" t="s">
        <v>96</v>
      </c>
    </row>
    <row r="5697" spans="1:5">
      <c r="A5697" s="11">
        <v>42782</v>
      </c>
      <c r="B5697" s="10" t="s">
        <v>11749</v>
      </c>
      <c r="C5697" s="10" t="s">
        <v>11750</v>
      </c>
      <c r="D5697" s="11">
        <v>42782.691770833335</v>
      </c>
      <c r="E5697" s="10" t="s">
        <v>380</v>
      </c>
    </row>
    <row r="5698" spans="1:5">
      <c r="A5698" s="11">
        <v>42782</v>
      </c>
      <c r="B5698" s="10" t="s">
        <v>11751</v>
      </c>
      <c r="C5698" s="10" t="s">
        <v>11752</v>
      </c>
      <c r="D5698" s="11">
        <v>42782.693564814814</v>
      </c>
      <c r="E5698" s="10" t="s">
        <v>237</v>
      </c>
    </row>
    <row r="5699" spans="1:5">
      <c r="A5699" s="11">
        <v>42782</v>
      </c>
      <c r="B5699" s="10" t="s">
        <v>11753</v>
      </c>
      <c r="C5699" s="10" t="s">
        <v>11754</v>
      </c>
      <c r="D5699" s="11">
        <v>42782.688738425924</v>
      </c>
      <c r="E5699" s="10" t="s">
        <v>707</v>
      </c>
    </row>
    <row r="5700" spans="1:5">
      <c r="A5700" s="11">
        <v>42782</v>
      </c>
      <c r="B5700" s="10" t="s">
        <v>11755</v>
      </c>
      <c r="C5700" s="10" t="s">
        <v>11756</v>
      </c>
      <c r="D5700" s="11">
        <v>42782.693715277775</v>
      </c>
      <c r="E5700" s="10" t="s">
        <v>5026</v>
      </c>
    </row>
    <row r="5701" spans="1:5">
      <c r="A5701" s="11">
        <v>42782</v>
      </c>
      <c r="B5701" s="10" t="s">
        <v>11757</v>
      </c>
      <c r="C5701" s="10" t="s">
        <v>11758</v>
      </c>
      <c r="D5701" s="11">
        <v>42782.671087962961</v>
      </c>
      <c r="E5701" s="10" t="s">
        <v>625</v>
      </c>
    </row>
    <row r="5702" spans="1:5">
      <c r="A5702" s="11">
        <v>42782</v>
      </c>
      <c r="B5702" s="10" t="s">
        <v>11759</v>
      </c>
      <c r="C5702" s="10" t="s">
        <v>11760</v>
      </c>
      <c r="D5702" s="11">
        <v>42782.693807870368</v>
      </c>
      <c r="E5702" s="10" t="s">
        <v>152</v>
      </c>
    </row>
    <row r="5703" spans="1:5">
      <c r="A5703" s="11">
        <v>42782</v>
      </c>
      <c r="B5703" s="10" t="s">
        <v>11761</v>
      </c>
      <c r="C5703" s="10" t="s">
        <v>11762</v>
      </c>
      <c r="D5703" s="11">
        <v>42782.692662037036</v>
      </c>
      <c r="E5703" s="10" t="s">
        <v>193</v>
      </c>
    </row>
    <row r="5704" spans="1:5">
      <c r="A5704" s="11">
        <v>42782</v>
      </c>
      <c r="B5704" s="10" t="s">
        <v>11763</v>
      </c>
      <c r="C5704" s="10" t="s">
        <v>11764</v>
      </c>
      <c r="D5704" s="11">
        <v>42782.689641203702</v>
      </c>
      <c r="E5704" s="10" t="s">
        <v>902</v>
      </c>
    </row>
    <row r="5705" spans="1:5">
      <c r="A5705" s="11">
        <v>42782</v>
      </c>
      <c r="B5705" s="10" t="s">
        <v>11765</v>
      </c>
      <c r="C5705" s="10" t="s">
        <v>11766</v>
      </c>
      <c r="D5705" s="11">
        <v>42782.690879629627</v>
      </c>
      <c r="E5705" s="10" t="s">
        <v>237</v>
      </c>
    </row>
    <row r="5706" spans="1:5">
      <c r="A5706" s="11">
        <v>42782</v>
      </c>
      <c r="B5706" s="10" t="s">
        <v>11767</v>
      </c>
      <c r="C5706" s="10" t="s">
        <v>11768</v>
      </c>
      <c r="D5706" s="11">
        <v>42782.688564814816</v>
      </c>
      <c r="E5706" s="10" t="s">
        <v>707</v>
      </c>
    </row>
    <row r="5707" spans="1:5">
      <c r="A5707" s="11">
        <v>42782</v>
      </c>
      <c r="B5707" s="10" t="s">
        <v>11769</v>
      </c>
      <c r="C5707" s="10" t="s">
        <v>11770</v>
      </c>
      <c r="D5707" s="11">
        <v>42782.694247685184</v>
      </c>
      <c r="E5707" s="10" t="s">
        <v>292</v>
      </c>
    </row>
    <row r="5708" spans="1:5">
      <c r="A5708" s="11">
        <v>42782</v>
      </c>
      <c r="B5708" s="10" t="s">
        <v>11771</v>
      </c>
      <c r="C5708" s="10" t="s">
        <v>11772</v>
      </c>
      <c r="D5708" s="11">
        <v>42782.694282407407</v>
      </c>
      <c r="E5708" s="10" t="s">
        <v>240</v>
      </c>
    </row>
    <row r="5709" spans="1:5">
      <c r="A5709" s="11">
        <v>42782</v>
      </c>
      <c r="B5709" s="10" t="s">
        <v>11773</v>
      </c>
      <c r="C5709" s="10" t="s">
        <v>11774</v>
      </c>
      <c r="D5709" s="11">
        <v>42782.690972222219</v>
      </c>
      <c r="E5709" s="10" t="s">
        <v>380</v>
      </c>
    </row>
    <row r="5710" spans="1:5">
      <c r="A5710" s="11">
        <v>42782</v>
      </c>
      <c r="B5710" s="10" t="s">
        <v>11775</v>
      </c>
      <c r="C5710" s="10" t="s">
        <v>11776</v>
      </c>
      <c r="D5710" s="11">
        <v>42782.694652777776</v>
      </c>
      <c r="E5710" s="10" t="s">
        <v>902</v>
      </c>
    </row>
    <row r="5711" spans="1:5">
      <c r="A5711" s="11">
        <v>42782</v>
      </c>
      <c r="B5711" s="10" t="s">
        <v>11777</v>
      </c>
      <c r="C5711" s="10" t="s">
        <v>11778</v>
      </c>
      <c r="D5711" s="11">
        <v>42782.693553240744</v>
      </c>
      <c r="E5711" s="10" t="s">
        <v>240</v>
      </c>
    </row>
    <row r="5712" spans="1:5">
      <c r="A5712" s="11">
        <v>42782</v>
      </c>
      <c r="B5712" s="10" t="s">
        <v>11779</v>
      </c>
      <c r="C5712" s="10" t="s">
        <v>11780</v>
      </c>
      <c r="D5712" s="11">
        <v>42782.694907407407</v>
      </c>
      <c r="E5712" s="10" t="s">
        <v>707</v>
      </c>
    </row>
    <row r="5713" spans="1:5">
      <c r="A5713" s="11">
        <v>42782</v>
      </c>
      <c r="B5713" s="10" t="s">
        <v>11781</v>
      </c>
      <c r="C5713" s="10" t="s">
        <v>11782</v>
      </c>
      <c r="D5713" s="11">
        <v>42782.675358796296</v>
      </c>
      <c r="E5713" s="10" t="s">
        <v>433</v>
      </c>
    </row>
    <row r="5714" spans="1:5">
      <c r="A5714" s="11">
        <v>42782</v>
      </c>
      <c r="B5714" s="10" t="s">
        <v>11783</v>
      </c>
      <c r="C5714" s="10" t="s">
        <v>11784</v>
      </c>
      <c r="D5714" s="11">
        <v>42782.68677083333</v>
      </c>
      <c r="E5714" s="10" t="s">
        <v>193</v>
      </c>
    </row>
    <row r="5715" spans="1:5">
      <c r="A5715" s="11">
        <v>42782</v>
      </c>
      <c r="B5715" s="10" t="s">
        <v>11785</v>
      </c>
      <c r="C5715" s="10" t="s">
        <v>11786</v>
      </c>
      <c r="D5715" s="11">
        <v>42782.691863425927</v>
      </c>
      <c r="E5715" s="10" t="s">
        <v>433</v>
      </c>
    </row>
    <row r="5716" spans="1:5">
      <c r="A5716" s="11">
        <v>42782</v>
      </c>
      <c r="B5716" s="10" t="s">
        <v>11787</v>
      </c>
      <c r="C5716" s="10" t="s">
        <v>11788</v>
      </c>
      <c r="D5716" s="11">
        <v>42782.693761574075</v>
      </c>
      <c r="E5716" s="10" t="s">
        <v>193</v>
      </c>
    </row>
    <row r="5717" spans="1:5">
      <c r="A5717" s="11">
        <v>42782</v>
      </c>
      <c r="B5717" s="10" t="s">
        <v>11789</v>
      </c>
      <c r="C5717" s="10" t="s">
        <v>11790</v>
      </c>
      <c r="D5717" s="11">
        <v>42782.690115740741</v>
      </c>
      <c r="E5717" s="10" t="s">
        <v>902</v>
      </c>
    </row>
    <row r="5718" spans="1:5">
      <c r="A5718" s="11">
        <v>42782</v>
      </c>
      <c r="B5718" s="10" t="s">
        <v>11791</v>
      </c>
      <c r="C5718" s="10" t="s">
        <v>11792</v>
      </c>
      <c r="D5718" s="11">
        <v>42782.695532407408</v>
      </c>
      <c r="E5718" s="10" t="s">
        <v>4300</v>
      </c>
    </row>
    <row r="5719" spans="1:5">
      <c r="A5719" s="11">
        <v>42782</v>
      </c>
      <c r="B5719" s="10" t="s">
        <v>11793</v>
      </c>
      <c r="C5719" s="10" t="s">
        <v>11794</v>
      </c>
      <c r="D5719" s="11">
        <v>42782.695601851854</v>
      </c>
      <c r="E5719" s="10" t="s">
        <v>465</v>
      </c>
    </row>
    <row r="5720" spans="1:5">
      <c r="A5720" s="11">
        <v>42782</v>
      </c>
      <c r="B5720" s="10" t="s">
        <v>11795</v>
      </c>
      <c r="C5720" s="10" t="s">
        <v>11796</v>
      </c>
      <c r="D5720" s="11">
        <v>42782.694224537037</v>
      </c>
      <c r="E5720" s="10" t="s">
        <v>193</v>
      </c>
    </row>
    <row r="5721" spans="1:5">
      <c r="A5721" s="11">
        <v>42782</v>
      </c>
      <c r="B5721" s="10" t="s">
        <v>11797</v>
      </c>
      <c r="C5721" s="10" t="s">
        <v>11798</v>
      </c>
      <c r="D5721" s="11">
        <v>42782.695844907408</v>
      </c>
      <c r="E5721" s="10" t="s">
        <v>656</v>
      </c>
    </row>
    <row r="5722" spans="1:5">
      <c r="A5722" s="11">
        <v>42782</v>
      </c>
      <c r="B5722" s="10" t="s">
        <v>11799</v>
      </c>
      <c r="C5722" s="10" t="s">
        <v>11800</v>
      </c>
      <c r="D5722" s="11">
        <v>42782.696006944447</v>
      </c>
      <c r="E5722" s="10" t="s">
        <v>1092</v>
      </c>
    </row>
    <row r="5723" spans="1:5">
      <c r="A5723" s="11">
        <v>42782</v>
      </c>
      <c r="B5723" s="10" t="s">
        <v>11801</v>
      </c>
      <c r="C5723" s="10" t="s">
        <v>11802</v>
      </c>
      <c r="D5723" s="11">
        <v>42782.694571759261</v>
      </c>
      <c r="E5723" s="10" t="s">
        <v>96</v>
      </c>
    </row>
    <row r="5724" spans="1:5">
      <c r="A5724" s="11">
        <v>42782</v>
      </c>
      <c r="B5724" s="10" t="s">
        <v>11803</v>
      </c>
      <c r="C5724" s="10" t="s">
        <v>11804</v>
      </c>
      <c r="D5724" s="11">
        <v>42782.672314814816</v>
      </c>
      <c r="E5724" s="10" t="s">
        <v>193</v>
      </c>
    </row>
    <row r="5725" spans="1:5">
      <c r="A5725" s="11">
        <v>42782</v>
      </c>
      <c r="B5725" s="10" t="s">
        <v>11805</v>
      </c>
      <c r="C5725" s="10" t="s">
        <v>11806</v>
      </c>
      <c r="D5725" s="11">
        <v>42782.691990740743</v>
      </c>
      <c r="E5725" s="10" t="s">
        <v>433</v>
      </c>
    </row>
    <row r="5726" spans="1:5">
      <c r="A5726" s="11">
        <v>42782</v>
      </c>
      <c r="B5726" s="10" t="s">
        <v>11807</v>
      </c>
      <c r="C5726" s="10" t="s">
        <v>11808</v>
      </c>
      <c r="D5726" s="11">
        <v>42782.696168981478</v>
      </c>
      <c r="E5726" s="10" t="s">
        <v>3060</v>
      </c>
    </row>
    <row r="5727" spans="1:5">
      <c r="A5727" s="11">
        <v>42782</v>
      </c>
      <c r="B5727" s="10" t="s">
        <v>11809</v>
      </c>
      <c r="C5727" s="10" t="s">
        <v>11810</v>
      </c>
      <c r="D5727" s="11">
        <v>42782.696168981478</v>
      </c>
      <c r="E5727" s="10" t="s">
        <v>2978</v>
      </c>
    </row>
    <row r="5728" spans="1:5">
      <c r="A5728" s="11">
        <v>42782</v>
      </c>
      <c r="B5728" s="10" t="s">
        <v>11811</v>
      </c>
      <c r="C5728" s="10" t="s">
        <v>11812</v>
      </c>
      <c r="D5728" s="11">
        <v>42782.696331018517</v>
      </c>
      <c r="E5728" s="10" t="s">
        <v>656</v>
      </c>
    </row>
    <row r="5729" spans="1:5">
      <c r="A5729" s="11">
        <v>42782</v>
      </c>
      <c r="B5729" s="10" t="s">
        <v>11813</v>
      </c>
      <c r="C5729" s="10" t="s">
        <v>11814</v>
      </c>
      <c r="D5729" s="11">
        <v>42782.68949074074</v>
      </c>
      <c r="E5729" s="10" t="s">
        <v>4865</v>
      </c>
    </row>
    <row r="5730" spans="1:5">
      <c r="A5730" s="11">
        <v>42782</v>
      </c>
      <c r="B5730" s="10" t="s">
        <v>11815</v>
      </c>
      <c r="C5730" s="10" t="s">
        <v>11816</v>
      </c>
      <c r="D5730" s="11">
        <v>42782.689618055556</v>
      </c>
      <c r="E5730" s="10" t="s">
        <v>5026</v>
      </c>
    </row>
    <row r="5731" spans="1:5">
      <c r="A5731" s="11">
        <v>42782</v>
      </c>
      <c r="B5731" s="10" t="s">
        <v>11817</v>
      </c>
      <c r="C5731" s="10" t="s">
        <v>11818</v>
      </c>
      <c r="D5731" s="11">
        <v>42782.696504629632</v>
      </c>
      <c r="E5731" s="10" t="s">
        <v>656</v>
      </c>
    </row>
    <row r="5732" spans="1:5">
      <c r="A5732" s="11">
        <v>42782</v>
      </c>
      <c r="B5732" s="10" t="s">
        <v>11819</v>
      </c>
      <c r="C5732" s="10" t="s">
        <v>11820</v>
      </c>
      <c r="D5732" s="11">
        <v>42782.67114583333</v>
      </c>
      <c r="E5732" s="10" t="s">
        <v>152</v>
      </c>
    </row>
    <row r="5733" spans="1:5">
      <c r="A5733" s="11">
        <v>42782</v>
      </c>
      <c r="B5733" s="10" t="s">
        <v>11821</v>
      </c>
      <c r="C5733" s="10" t="s">
        <v>11822</v>
      </c>
      <c r="D5733" s="11">
        <v>42782.696655092594</v>
      </c>
      <c r="E5733" s="10" t="s">
        <v>656</v>
      </c>
    </row>
    <row r="5734" spans="1:5">
      <c r="A5734" s="11">
        <v>42782</v>
      </c>
      <c r="B5734" s="10" t="s">
        <v>11823</v>
      </c>
      <c r="C5734" s="10" t="s">
        <v>11824</v>
      </c>
      <c r="D5734" s="11">
        <v>42782.696840277778</v>
      </c>
      <c r="E5734" s="10" t="s">
        <v>1022</v>
      </c>
    </row>
    <row r="5735" spans="1:5">
      <c r="A5735" s="11">
        <v>42782</v>
      </c>
      <c r="B5735" s="10" t="s">
        <v>11825</v>
      </c>
      <c r="C5735" s="10" t="s">
        <v>11826</v>
      </c>
      <c r="D5735" s="11">
        <v>42782.696863425925</v>
      </c>
      <c r="E5735" s="10" t="s">
        <v>4865</v>
      </c>
    </row>
    <row r="5736" spans="1:5">
      <c r="A5736" s="11">
        <v>42782</v>
      </c>
      <c r="B5736" s="10" t="s">
        <v>11827</v>
      </c>
      <c r="C5736" s="10" t="s">
        <v>11828</v>
      </c>
      <c r="D5736" s="11">
        <v>42782.684039351851</v>
      </c>
      <c r="E5736" s="10" t="s">
        <v>683</v>
      </c>
    </row>
    <row r="5737" spans="1:5">
      <c r="A5737" s="11">
        <v>42782</v>
      </c>
      <c r="B5737" s="10" t="s">
        <v>11829</v>
      </c>
      <c r="C5737" s="10" t="s">
        <v>11830</v>
      </c>
      <c r="D5737" s="11">
        <v>42782.683564814812</v>
      </c>
      <c r="E5737" s="10" t="s">
        <v>320</v>
      </c>
    </row>
    <row r="5738" spans="1:5">
      <c r="A5738" s="11">
        <v>42782</v>
      </c>
      <c r="B5738" s="10" t="s">
        <v>11831</v>
      </c>
      <c r="C5738" s="10" t="s">
        <v>11832</v>
      </c>
      <c r="D5738" s="11">
        <v>42782.696979166663</v>
      </c>
      <c r="E5738" s="10" t="s">
        <v>96</v>
      </c>
    </row>
    <row r="5739" spans="1:5">
      <c r="A5739" s="11">
        <v>42782</v>
      </c>
      <c r="B5739" s="10" t="s">
        <v>11833</v>
      </c>
      <c r="C5739" s="10" t="s">
        <v>11834</v>
      </c>
      <c r="D5739" s="11">
        <v>42782.682673611111</v>
      </c>
      <c r="E5739" s="10" t="s">
        <v>2144</v>
      </c>
    </row>
    <row r="5740" spans="1:5">
      <c r="A5740" s="11">
        <v>42782</v>
      </c>
      <c r="B5740" s="10" t="s">
        <v>11835</v>
      </c>
      <c r="C5740" s="10" t="s">
        <v>11836</v>
      </c>
      <c r="D5740" s="11">
        <v>42782.697060185186</v>
      </c>
      <c r="E5740" s="10" t="s">
        <v>656</v>
      </c>
    </row>
    <row r="5741" spans="1:5">
      <c r="A5741" s="11">
        <v>42782</v>
      </c>
      <c r="B5741" s="10" t="s">
        <v>11837</v>
      </c>
      <c r="C5741" s="10" t="s">
        <v>11838</v>
      </c>
      <c r="D5741" s="11">
        <v>42782.697152777779</v>
      </c>
      <c r="E5741" s="10" t="s">
        <v>218</v>
      </c>
    </row>
    <row r="5742" spans="1:5">
      <c r="A5742" s="11">
        <v>42782</v>
      </c>
      <c r="B5742" s="10" t="s">
        <v>11839</v>
      </c>
      <c r="C5742" s="10" t="s">
        <v>11840</v>
      </c>
      <c r="D5742" s="11">
        <v>42782.697210648148</v>
      </c>
      <c r="E5742" s="10" t="s">
        <v>656</v>
      </c>
    </row>
    <row r="5743" spans="1:5">
      <c r="A5743" s="11">
        <v>42782</v>
      </c>
      <c r="B5743" s="10" t="s">
        <v>11841</v>
      </c>
      <c r="C5743" s="10" t="s">
        <v>11842</v>
      </c>
      <c r="D5743" s="11">
        <v>42782.696342592593</v>
      </c>
      <c r="E5743" s="10" t="s">
        <v>4862</v>
      </c>
    </row>
    <row r="5744" spans="1:5">
      <c r="A5744" s="11">
        <v>42782</v>
      </c>
      <c r="B5744" s="10" t="s">
        <v>11843</v>
      </c>
      <c r="C5744" s="10" t="s">
        <v>11844</v>
      </c>
      <c r="D5744" s="11">
        <v>42782.673587962963</v>
      </c>
      <c r="E5744" s="10" t="s">
        <v>707</v>
      </c>
    </row>
    <row r="5745" spans="1:5">
      <c r="A5745" s="11">
        <v>42782</v>
      </c>
      <c r="B5745" s="10" t="s">
        <v>11845</v>
      </c>
      <c r="C5745" s="10" t="s">
        <v>11846</v>
      </c>
      <c r="D5745" s="11">
        <v>42782.685173611113</v>
      </c>
      <c r="E5745" s="10" t="s">
        <v>218</v>
      </c>
    </row>
    <row r="5746" spans="1:5">
      <c r="A5746" s="11">
        <v>42782</v>
      </c>
      <c r="B5746" s="10" t="s">
        <v>11847</v>
      </c>
      <c r="C5746" s="10" t="s">
        <v>11848</v>
      </c>
      <c r="D5746" s="11">
        <v>42782.697372685187</v>
      </c>
      <c r="E5746" s="10" t="s">
        <v>2688</v>
      </c>
    </row>
    <row r="5747" spans="1:5">
      <c r="A5747" s="11">
        <v>42782</v>
      </c>
      <c r="B5747" s="10" t="s">
        <v>11849</v>
      </c>
      <c r="C5747" s="10" t="s">
        <v>11850</v>
      </c>
      <c r="D5747" s="11">
        <v>42782.697465277779</v>
      </c>
      <c r="E5747" s="10" t="s">
        <v>152</v>
      </c>
    </row>
    <row r="5748" spans="1:5">
      <c r="A5748" s="11">
        <v>42782</v>
      </c>
      <c r="B5748" s="10" t="s">
        <v>11851</v>
      </c>
      <c r="C5748" s="10" t="s">
        <v>11852</v>
      </c>
      <c r="D5748" s="11">
        <v>42782.69771990741</v>
      </c>
      <c r="E5748" s="10" t="s">
        <v>2912</v>
      </c>
    </row>
    <row r="5749" spans="1:5">
      <c r="A5749" s="11">
        <v>42782</v>
      </c>
      <c r="B5749" s="10" t="s">
        <v>11853</v>
      </c>
      <c r="C5749" s="10" t="s">
        <v>11854</v>
      </c>
      <c r="D5749" s="11">
        <v>42782.697870370372</v>
      </c>
      <c r="E5749" s="10" t="s">
        <v>859</v>
      </c>
    </row>
    <row r="5750" spans="1:5">
      <c r="A5750" s="11">
        <v>42782</v>
      </c>
      <c r="B5750" s="10" t="s">
        <v>11855</v>
      </c>
      <c r="C5750" s="10" t="s">
        <v>11856</v>
      </c>
      <c r="D5750" s="11">
        <v>42782.697928240741</v>
      </c>
      <c r="E5750" s="10" t="s">
        <v>320</v>
      </c>
    </row>
    <row r="5751" spans="1:5">
      <c r="A5751" s="11">
        <v>42782</v>
      </c>
      <c r="B5751" s="10" t="s">
        <v>11857</v>
      </c>
      <c r="C5751" s="10" t="s">
        <v>11858</v>
      </c>
      <c r="D5751" s="11">
        <v>42782.690081018518</v>
      </c>
      <c r="E5751" s="10" t="s">
        <v>422</v>
      </c>
    </row>
    <row r="5752" spans="1:5">
      <c r="A5752" s="11">
        <v>42782</v>
      </c>
      <c r="B5752" s="10" t="s">
        <v>11859</v>
      </c>
      <c r="C5752" s="10" t="s">
        <v>11860</v>
      </c>
      <c r="D5752" s="11">
        <v>42782.696759259263</v>
      </c>
      <c r="E5752" s="10" t="s">
        <v>4898</v>
      </c>
    </row>
    <row r="5753" spans="1:5">
      <c r="A5753" s="11">
        <v>42782</v>
      </c>
      <c r="B5753" s="10" t="s">
        <v>11861</v>
      </c>
      <c r="C5753" s="10" t="s">
        <v>11862</v>
      </c>
      <c r="D5753" s="11">
        <v>42782.6716087963</v>
      </c>
      <c r="E5753" s="10" t="s">
        <v>380</v>
      </c>
    </row>
    <row r="5754" spans="1:5">
      <c r="A5754" s="11">
        <v>42782</v>
      </c>
      <c r="B5754" s="10" t="s">
        <v>11863</v>
      </c>
      <c r="C5754" s="10" t="s">
        <v>11864</v>
      </c>
      <c r="D5754" s="11">
        <v>42782.677499999998</v>
      </c>
      <c r="E5754" s="10" t="s">
        <v>422</v>
      </c>
    </row>
    <row r="5755" spans="1:5">
      <c r="A5755" s="11">
        <v>42782</v>
      </c>
      <c r="B5755" s="10" t="s">
        <v>11865</v>
      </c>
      <c r="C5755" s="10" t="s">
        <v>11866</v>
      </c>
      <c r="D5755" s="11">
        <v>42782.696851851855</v>
      </c>
      <c r="E5755" s="10" t="s">
        <v>683</v>
      </c>
    </row>
    <row r="5756" spans="1:5" ht="21.6">
      <c r="A5756" s="11">
        <v>42782</v>
      </c>
      <c r="B5756" s="10" t="s">
        <v>11867</v>
      </c>
      <c r="C5756" s="10" t="s">
        <v>11868</v>
      </c>
      <c r="D5756" s="11">
        <v>42782.695300925923</v>
      </c>
      <c r="E5756" s="10" t="s">
        <v>3027</v>
      </c>
    </row>
    <row r="5757" spans="1:5">
      <c r="A5757" s="11">
        <v>42782</v>
      </c>
      <c r="B5757" s="10" t="s">
        <v>11869</v>
      </c>
      <c r="C5757" s="10" t="s">
        <v>11870</v>
      </c>
      <c r="D5757" s="11">
        <v>42782.683483796296</v>
      </c>
      <c r="E5757" s="10" t="s">
        <v>433</v>
      </c>
    </row>
    <row r="5758" spans="1:5">
      <c r="A5758" s="11">
        <v>42782</v>
      </c>
      <c r="B5758" s="10" t="s">
        <v>11871</v>
      </c>
      <c r="C5758" s="10" t="s">
        <v>11872</v>
      </c>
      <c r="D5758" s="11">
        <v>42782.68167824074</v>
      </c>
      <c r="E5758" s="10" t="s">
        <v>96</v>
      </c>
    </row>
    <row r="5759" spans="1:5">
      <c r="A5759" s="11">
        <v>42782</v>
      </c>
      <c r="B5759" s="10" t="s">
        <v>11873</v>
      </c>
      <c r="C5759" s="10" t="s">
        <v>11874</v>
      </c>
      <c r="D5759" s="11">
        <v>42782.696898148148</v>
      </c>
      <c r="E5759" s="10" t="s">
        <v>193</v>
      </c>
    </row>
    <row r="5760" spans="1:5">
      <c r="A5760" s="11">
        <v>42782</v>
      </c>
      <c r="B5760" s="10" t="s">
        <v>11875</v>
      </c>
      <c r="C5760" s="10" t="s">
        <v>11876</v>
      </c>
      <c r="D5760" s="11">
        <v>42782.695486111108</v>
      </c>
      <c r="E5760" s="10" t="s">
        <v>707</v>
      </c>
    </row>
    <row r="5761" spans="1:5">
      <c r="A5761" s="11">
        <v>42782</v>
      </c>
      <c r="B5761" s="10" t="s">
        <v>11877</v>
      </c>
      <c r="C5761" s="10" t="s">
        <v>11878</v>
      </c>
      <c r="D5761" s="11">
        <v>42782.697048611109</v>
      </c>
      <c r="E5761" s="10" t="s">
        <v>707</v>
      </c>
    </row>
    <row r="5762" spans="1:5">
      <c r="A5762" s="11">
        <v>42782</v>
      </c>
      <c r="B5762" s="10" t="s">
        <v>11879</v>
      </c>
      <c r="C5762" s="10" t="s">
        <v>11880</v>
      </c>
      <c r="D5762" s="11">
        <v>42782.685358796298</v>
      </c>
      <c r="E5762" s="10" t="s">
        <v>433</v>
      </c>
    </row>
    <row r="5763" spans="1:5">
      <c r="A5763" s="11">
        <v>42782</v>
      </c>
      <c r="B5763" s="10" t="s">
        <v>11881</v>
      </c>
      <c r="C5763" s="10" t="s">
        <v>11882</v>
      </c>
      <c r="D5763" s="11">
        <v>42782.699131944442</v>
      </c>
      <c r="E5763" s="10" t="s">
        <v>237</v>
      </c>
    </row>
    <row r="5764" spans="1:5">
      <c r="A5764" s="11">
        <v>42782</v>
      </c>
      <c r="B5764" s="10" t="s">
        <v>11883</v>
      </c>
      <c r="C5764" s="10" t="s">
        <v>11884</v>
      </c>
      <c r="D5764" s="11">
        <v>42782.696921296294</v>
      </c>
      <c r="E5764" s="10" t="s">
        <v>108</v>
      </c>
    </row>
    <row r="5765" spans="1:5">
      <c r="A5765" s="11">
        <v>42782</v>
      </c>
      <c r="B5765" s="10" t="s">
        <v>11885</v>
      </c>
      <c r="C5765" s="10" t="s">
        <v>11886</v>
      </c>
      <c r="D5765" s="11">
        <v>42782.699166666665</v>
      </c>
      <c r="E5765" s="10" t="s">
        <v>218</v>
      </c>
    </row>
    <row r="5766" spans="1:5">
      <c r="A5766" s="11">
        <v>42782</v>
      </c>
      <c r="B5766" s="10" t="s">
        <v>11887</v>
      </c>
      <c r="C5766" s="10" t="s">
        <v>11888</v>
      </c>
      <c r="D5766" s="11">
        <v>42782.699293981481</v>
      </c>
      <c r="E5766" s="10" t="s">
        <v>4865</v>
      </c>
    </row>
    <row r="5767" spans="1:5">
      <c r="A5767" s="11">
        <v>42782</v>
      </c>
      <c r="B5767" s="10" t="s">
        <v>11889</v>
      </c>
      <c r="C5767" s="10" t="s">
        <v>11890</v>
      </c>
      <c r="D5767" s="11">
        <v>42782.68476851852</v>
      </c>
      <c r="E5767" s="10" t="s">
        <v>237</v>
      </c>
    </row>
    <row r="5768" spans="1:5">
      <c r="A5768" s="11">
        <v>42782</v>
      </c>
      <c r="B5768" s="10" t="s">
        <v>11891</v>
      </c>
      <c r="C5768" s="10" t="s">
        <v>11892</v>
      </c>
      <c r="D5768" s="11">
        <v>42782.696030092593</v>
      </c>
      <c r="E5768" s="10" t="s">
        <v>193</v>
      </c>
    </row>
    <row r="5769" spans="1:5">
      <c r="A5769" s="11">
        <v>42782</v>
      </c>
      <c r="B5769" s="10" t="s">
        <v>11893</v>
      </c>
      <c r="C5769" s="10" t="s">
        <v>11894</v>
      </c>
      <c r="D5769" s="11">
        <v>42782.698576388888</v>
      </c>
      <c r="E5769" s="10" t="s">
        <v>99</v>
      </c>
    </row>
    <row r="5770" spans="1:5">
      <c r="A5770" s="11">
        <v>42782</v>
      </c>
      <c r="B5770" s="10" t="s">
        <v>11895</v>
      </c>
      <c r="C5770" s="10" t="s">
        <v>11896</v>
      </c>
      <c r="D5770" s="11">
        <v>42782.677488425928</v>
      </c>
      <c r="E5770" s="10" t="s">
        <v>4865</v>
      </c>
    </row>
    <row r="5771" spans="1:5">
      <c r="A5771" s="11">
        <v>42782</v>
      </c>
      <c r="B5771" s="10" t="s">
        <v>11897</v>
      </c>
      <c r="C5771" s="10" t="s">
        <v>11898</v>
      </c>
      <c r="D5771" s="11">
        <v>42782.699594907404</v>
      </c>
      <c r="E5771" s="10" t="s">
        <v>422</v>
      </c>
    </row>
    <row r="5772" spans="1:5">
      <c r="A5772" s="11">
        <v>42782</v>
      </c>
      <c r="B5772" s="10" t="s">
        <v>11899</v>
      </c>
      <c r="C5772" s="10" t="s">
        <v>11900</v>
      </c>
      <c r="D5772" s="11">
        <v>42782.699236111112</v>
      </c>
      <c r="E5772" s="10" t="s">
        <v>96</v>
      </c>
    </row>
    <row r="5773" spans="1:5">
      <c r="A5773" s="11">
        <v>42782</v>
      </c>
      <c r="B5773" s="10" t="s">
        <v>11901</v>
      </c>
      <c r="C5773" s="10" t="s">
        <v>11902</v>
      </c>
      <c r="D5773" s="11">
        <v>42782.697650462964</v>
      </c>
      <c r="E5773" s="10" t="s">
        <v>193</v>
      </c>
    </row>
    <row r="5774" spans="1:5">
      <c r="A5774" s="11">
        <v>42782</v>
      </c>
      <c r="B5774" s="10" t="s">
        <v>11903</v>
      </c>
      <c r="C5774" s="10" t="s">
        <v>11904</v>
      </c>
      <c r="D5774" s="11">
        <v>42782.698865740742</v>
      </c>
      <c r="E5774" s="10" t="s">
        <v>2688</v>
      </c>
    </row>
    <row r="5775" spans="1:5">
      <c r="A5775" s="11">
        <v>42782</v>
      </c>
      <c r="B5775" s="10" t="s">
        <v>11905</v>
      </c>
      <c r="C5775" s="10" t="s">
        <v>11906</v>
      </c>
      <c r="D5775" s="11">
        <v>42782.684594907405</v>
      </c>
      <c r="E5775" s="10" t="s">
        <v>5406</v>
      </c>
    </row>
    <row r="5776" spans="1:5">
      <c r="A5776" s="11">
        <v>42782</v>
      </c>
      <c r="B5776" s="10" t="s">
        <v>11907</v>
      </c>
      <c r="C5776" s="10" t="s">
        <v>11908</v>
      </c>
      <c r="D5776" s="11">
        <v>42782.686412037037</v>
      </c>
      <c r="E5776" s="10" t="s">
        <v>433</v>
      </c>
    </row>
    <row r="5777" spans="1:5" ht="21.6">
      <c r="A5777" s="11">
        <v>42782</v>
      </c>
      <c r="B5777" s="10" t="s">
        <v>11909</v>
      </c>
      <c r="C5777" s="10" t="s">
        <v>11910</v>
      </c>
      <c r="D5777" s="11">
        <v>42782.682800925926</v>
      </c>
      <c r="E5777" s="10" t="s">
        <v>171</v>
      </c>
    </row>
    <row r="5778" spans="1:5">
      <c r="A5778" s="11">
        <v>42782</v>
      </c>
      <c r="B5778" s="10" t="s">
        <v>11911</v>
      </c>
      <c r="C5778" s="10" t="s">
        <v>11912</v>
      </c>
      <c r="D5778" s="11">
        <v>42782.672326388885</v>
      </c>
      <c r="E5778" s="10" t="s">
        <v>152</v>
      </c>
    </row>
    <row r="5779" spans="1:5">
      <c r="A5779" s="11">
        <v>42782</v>
      </c>
      <c r="B5779" s="10" t="s">
        <v>11913</v>
      </c>
      <c r="C5779" s="10" t="s">
        <v>11914</v>
      </c>
      <c r="D5779" s="11">
        <v>42782.686747685184</v>
      </c>
      <c r="E5779" s="10" t="s">
        <v>433</v>
      </c>
    </row>
    <row r="5780" spans="1:5">
      <c r="A5780" s="11">
        <v>42782</v>
      </c>
      <c r="B5780" s="10" t="s">
        <v>11915</v>
      </c>
      <c r="C5780" s="10" t="s">
        <v>11916</v>
      </c>
      <c r="D5780" s="11">
        <v>42782.70034722222</v>
      </c>
      <c r="E5780" s="10" t="s">
        <v>414</v>
      </c>
    </row>
    <row r="5781" spans="1:5">
      <c r="A5781" s="11">
        <v>42782</v>
      </c>
      <c r="B5781" s="10" t="s">
        <v>11917</v>
      </c>
      <c r="C5781" s="10" t="s">
        <v>11918</v>
      </c>
      <c r="D5781" s="11">
        <v>42782.672384259262</v>
      </c>
      <c r="E5781" s="10" t="s">
        <v>3570</v>
      </c>
    </row>
    <row r="5782" spans="1:5">
      <c r="A5782" s="11">
        <v>42782</v>
      </c>
      <c r="B5782" s="10" t="s">
        <v>11919</v>
      </c>
      <c r="C5782" s="10" t="s">
        <v>11920</v>
      </c>
      <c r="D5782" s="11">
        <v>42782.698738425926</v>
      </c>
      <c r="E5782" s="10" t="s">
        <v>96</v>
      </c>
    </row>
    <row r="5783" spans="1:5">
      <c r="A5783" s="11">
        <v>42782</v>
      </c>
      <c r="B5783" s="10" t="s">
        <v>11921</v>
      </c>
      <c r="C5783" s="10" t="s">
        <v>11922</v>
      </c>
      <c r="D5783" s="11">
        <v>42782.68068287037</v>
      </c>
      <c r="E5783" s="10" t="s">
        <v>240</v>
      </c>
    </row>
    <row r="5784" spans="1:5">
      <c r="A5784" s="11">
        <v>42782</v>
      </c>
      <c r="B5784" s="10" t="s">
        <v>11923</v>
      </c>
      <c r="C5784" s="10" t="s">
        <v>11924</v>
      </c>
      <c r="D5784" s="11">
        <v>42782.700729166667</v>
      </c>
      <c r="E5784" s="10" t="s">
        <v>2234</v>
      </c>
    </row>
    <row r="5785" spans="1:5">
      <c r="A5785" s="11">
        <v>42782</v>
      </c>
      <c r="B5785" s="10" t="s">
        <v>11925</v>
      </c>
      <c r="C5785" s="10" t="s">
        <v>11926</v>
      </c>
      <c r="D5785" s="11">
        <v>42782.700740740744</v>
      </c>
      <c r="E5785" s="10" t="s">
        <v>122</v>
      </c>
    </row>
    <row r="5786" spans="1:5">
      <c r="A5786" s="11">
        <v>42782</v>
      </c>
      <c r="B5786" s="10" t="s">
        <v>11927</v>
      </c>
      <c r="C5786" s="10" t="s">
        <v>11928</v>
      </c>
      <c r="D5786" s="11">
        <v>42782.697592592594</v>
      </c>
      <c r="E5786" s="10" t="s">
        <v>193</v>
      </c>
    </row>
    <row r="5787" spans="1:5" ht="21.6">
      <c r="A5787" s="11">
        <v>42782</v>
      </c>
      <c r="B5787" s="10" t="s">
        <v>11929</v>
      </c>
      <c r="C5787" s="10" t="s">
        <v>11930</v>
      </c>
      <c r="D5787" s="11">
        <v>42782.695752314816</v>
      </c>
      <c r="E5787" s="10" t="s">
        <v>2299</v>
      </c>
    </row>
    <row r="5788" spans="1:5">
      <c r="A5788" s="11">
        <v>42782</v>
      </c>
      <c r="B5788" s="10" t="s">
        <v>11931</v>
      </c>
      <c r="C5788" s="10" t="s">
        <v>11932</v>
      </c>
      <c r="D5788" s="11">
        <v>42782.693437499998</v>
      </c>
      <c r="E5788" s="10" t="s">
        <v>977</v>
      </c>
    </row>
    <row r="5789" spans="1:5">
      <c r="A5789" s="11">
        <v>42782</v>
      </c>
      <c r="B5789" s="10" t="s">
        <v>11933</v>
      </c>
      <c r="C5789" s="10" t="s">
        <v>11934</v>
      </c>
      <c r="D5789" s="11">
        <v>42782.691053240742</v>
      </c>
      <c r="E5789" s="10" t="s">
        <v>433</v>
      </c>
    </row>
    <row r="5790" spans="1:5">
      <c r="A5790" s="11">
        <v>42782</v>
      </c>
      <c r="B5790" s="10" t="s">
        <v>11935</v>
      </c>
      <c r="C5790" s="10" t="s">
        <v>11936</v>
      </c>
      <c r="D5790" s="11">
        <v>42782.693530092591</v>
      </c>
      <c r="E5790" s="10" t="s">
        <v>977</v>
      </c>
    </row>
    <row r="5791" spans="1:5">
      <c r="A5791" s="11">
        <v>42782</v>
      </c>
      <c r="B5791" s="10" t="s">
        <v>11937</v>
      </c>
      <c r="C5791" s="10" t="s">
        <v>11938</v>
      </c>
      <c r="D5791" s="11">
        <v>42782.698020833333</v>
      </c>
      <c r="E5791" s="10" t="s">
        <v>152</v>
      </c>
    </row>
    <row r="5792" spans="1:5">
      <c r="A5792" s="11">
        <v>42782</v>
      </c>
      <c r="B5792" s="10" t="s">
        <v>11939</v>
      </c>
      <c r="C5792" s="10" t="s">
        <v>11940</v>
      </c>
      <c r="D5792" s="11">
        <v>42782.696747685186</v>
      </c>
      <c r="E5792" s="10" t="s">
        <v>193</v>
      </c>
    </row>
    <row r="5793" spans="1:5">
      <c r="A5793" s="11">
        <v>42782</v>
      </c>
      <c r="B5793" s="10" t="s">
        <v>11941</v>
      </c>
      <c r="C5793" s="10" t="s">
        <v>11942</v>
      </c>
      <c r="D5793" s="11">
        <v>42782.675821759258</v>
      </c>
      <c r="E5793" s="10" t="s">
        <v>292</v>
      </c>
    </row>
    <row r="5794" spans="1:5">
      <c r="A5794" s="11">
        <v>42782</v>
      </c>
      <c r="B5794" s="10" t="s">
        <v>11943</v>
      </c>
      <c r="C5794" s="10" t="s">
        <v>11944</v>
      </c>
      <c r="D5794" s="11">
        <v>42782.678935185184</v>
      </c>
      <c r="E5794" s="10" t="s">
        <v>422</v>
      </c>
    </row>
    <row r="5795" spans="1:5">
      <c r="A5795" s="11">
        <v>42782</v>
      </c>
      <c r="B5795" s="10" t="s">
        <v>11945</v>
      </c>
      <c r="C5795" s="10" t="s">
        <v>11946</v>
      </c>
      <c r="D5795" s="11">
        <v>42782.701493055552</v>
      </c>
      <c r="E5795" s="10" t="s">
        <v>99</v>
      </c>
    </row>
    <row r="5796" spans="1:5">
      <c r="A5796" s="11">
        <v>42782</v>
      </c>
      <c r="B5796" s="10" t="s">
        <v>11947</v>
      </c>
      <c r="C5796" s="10" t="s">
        <v>11948</v>
      </c>
      <c r="D5796" s="11">
        <v>42782.698553240742</v>
      </c>
      <c r="E5796" s="10" t="s">
        <v>96</v>
      </c>
    </row>
    <row r="5797" spans="1:5">
      <c r="A5797" s="11">
        <v>42782</v>
      </c>
      <c r="B5797" s="10" t="s">
        <v>11949</v>
      </c>
      <c r="C5797" s="10" t="s">
        <v>11950</v>
      </c>
      <c r="D5797" s="11">
        <v>42782.6796412037</v>
      </c>
      <c r="E5797" s="10" t="s">
        <v>707</v>
      </c>
    </row>
    <row r="5798" spans="1:5">
      <c r="A5798" s="11">
        <v>42782</v>
      </c>
      <c r="B5798" s="10" t="s">
        <v>11951</v>
      </c>
      <c r="C5798" s="10" t="s">
        <v>11952</v>
      </c>
      <c r="D5798" s="11">
        <v>42782.695601851854</v>
      </c>
      <c r="E5798" s="10" t="s">
        <v>240</v>
      </c>
    </row>
    <row r="5799" spans="1:5">
      <c r="A5799" s="11">
        <v>42782</v>
      </c>
      <c r="B5799" s="10" t="s">
        <v>11953</v>
      </c>
      <c r="C5799" s="10" t="s">
        <v>11954</v>
      </c>
      <c r="D5799" s="11">
        <v>42782.682546296295</v>
      </c>
      <c r="E5799" s="10" t="s">
        <v>193</v>
      </c>
    </row>
    <row r="5800" spans="1:5">
      <c r="A5800" s="11">
        <v>42782</v>
      </c>
      <c r="B5800" s="10" t="s">
        <v>11955</v>
      </c>
      <c r="C5800" s="10" t="s">
        <v>11956</v>
      </c>
      <c r="D5800" s="11">
        <v>42782.69902777778</v>
      </c>
      <c r="E5800" s="10" t="s">
        <v>237</v>
      </c>
    </row>
    <row r="5801" spans="1:5">
      <c r="A5801" s="11">
        <v>42782</v>
      </c>
      <c r="B5801" s="10" t="s">
        <v>11957</v>
      </c>
      <c r="C5801" s="10" t="s">
        <v>11958</v>
      </c>
      <c r="D5801" s="11">
        <v>42782.700659722221</v>
      </c>
      <c r="E5801" s="10" t="s">
        <v>96</v>
      </c>
    </row>
    <row r="5802" spans="1:5">
      <c r="A5802" s="11">
        <v>42782</v>
      </c>
      <c r="B5802" s="10" t="s">
        <v>11959</v>
      </c>
      <c r="C5802" s="10" t="s">
        <v>11960</v>
      </c>
      <c r="D5802" s="11">
        <v>42782.670729166668</v>
      </c>
      <c r="E5802" s="10" t="s">
        <v>2234</v>
      </c>
    </row>
    <row r="5803" spans="1:5">
      <c r="A5803" s="11">
        <v>42782</v>
      </c>
      <c r="B5803" s="10" t="s">
        <v>11961</v>
      </c>
      <c r="C5803" s="10" t="s">
        <v>11962</v>
      </c>
      <c r="D5803" s="11">
        <v>42782.699976851851</v>
      </c>
      <c r="E5803" s="10" t="s">
        <v>422</v>
      </c>
    </row>
    <row r="5804" spans="1:5">
      <c r="A5804" s="11">
        <v>42782</v>
      </c>
      <c r="B5804" s="10" t="s">
        <v>11963</v>
      </c>
      <c r="C5804" s="10" t="s">
        <v>11964</v>
      </c>
      <c r="D5804" s="11">
        <v>42782.675729166665</v>
      </c>
      <c r="E5804" s="10" t="s">
        <v>96</v>
      </c>
    </row>
    <row r="5805" spans="1:5">
      <c r="A5805" s="11">
        <v>42782</v>
      </c>
      <c r="B5805" s="10" t="s">
        <v>11965</v>
      </c>
      <c r="C5805" s="10" t="s">
        <v>11966</v>
      </c>
      <c r="D5805" s="11">
        <v>42782.694293981483</v>
      </c>
      <c r="E5805" s="10" t="s">
        <v>96</v>
      </c>
    </row>
    <row r="5806" spans="1:5">
      <c r="A5806" s="11">
        <v>42782</v>
      </c>
      <c r="B5806" s="10" t="s">
        <v>11967</v>
      </c>
      <c r="C5806" s="10" t="s">
        <v>11968</v>
      </c>
      <c r="D5806" s="11">
        <v>42782.702638888892</v>
      </c>
      <c r="E5806" s="10" t="s">
        <v>4865</v>
      </c>
    </row>
    <row r="5807" spans="1:5">
      <c r="A5807" s="11">
        <v>42782</v>
      </c>
      <c r="B5807" s="10" t="s">
        <v>11969</v>
      </c>
      <c r="C5807" s="10" t="s">
        <v>11970</v>
      </c>
      <c r="D5807" s="11">
        <v>42782.690254629626</v>
      </c>
      <c r="E5807" s="10" t="s">
        <v>2554</v>
      </c>
    </row>
    <row r="5808" spans="1:5">
      <c r="A5808" s="11">
        <v>42782</v>
      </c>
      <c r="B5808" s="10" t="s">
        <v>11971</v>
      </c>
      <c r="C5808" s="10" t="s">
        <v>11972</v>
      </c>
      <c r="D5808" s="11">
        <v>42782.6955787037</v>
      </c>
      <c r="E5808" s="10" t="s">
        <v>4865</v>
      </c>
    </row>
    <row r="5809" spans="1:5">
      <c r="A5809" s="11">
        <v>42782</v>
      </c>
      <c r="B5809" s="10" t="s">
        <v>11973</v>
      </c>
      <c r="C5809" s="10" t="s">
        <v>11974</v>
      </c>
      <c r="D5809" s="11">
        <v>42782.67428240741</v>
      </c>
      <c r="E5809" s="10" t="s">
        <v>218</v>
      </c>
    </row>
    <row r="5810" spans="1:5">
      <c r="A5810" s="11">
        <v>42782</v>
      </c>
      <c r="B5810" s="10" t="s">
        <v>11975</v>
      </c>
      <c r="C5810" s="10" t="s">
        <v>11976</v>
      </c>
      <c r="D5810" s="11">
        <v>42782.689432870371</v>
      </c>
      <c r="E5810" s="10" t="s">
        <v>320</v>
      </c>
    </row>
    <row r="5811" spans="1:5">
      <c r="A5811" s="11">
        <v>42782</v>
      </c>
      <c r="B5811" s="10" t="s">
        <v>11977</v>
      </c>
      <c r="C5811" s="10" t="s">
        <v>11978</v>
      </c>
      <c r="D5811" s="11">
        <v>42782.695972222224</v>
      </c>
      <c r="E5811" s="10" t="s">
        <v>1092</v>
      </c>
    </row>
    <row r="5812" spans="1:5">
      <c r="A5812" s="11">
        <v>42782</v>
      </c>
      <c r="B5812" s="10" t="s">
        <v>11979</v>
      </c>
      <c r="C5812" s="10" t="s">
        <v>11980</v>
      </c>
      <c r="D5812" s="11">
        <v>42782.683113425926</v>
      </c>
      <c r="E5812" s="10" t="s">
        <v>320</v>
      </c>
    </row>
    <row r="5813" spans="1:5">
      <c r="A5813" s="11">
        <v>42782</v>
      </c>
      <c r="B5813" s="10" t="s">
        <v>11981</v>
      </c>
      <c r="C5813" s="10" t="s">
        <v>11982</v>
      </c>
      <c r="D5813" s="11">
        <v>42782.690034722225</v>
      </c>
      <c r="E5813" s="10" t="s">
        <v>422</v>
      </c>
    </row>
    <row r="5814" spans="1:5">
      <c r="A5814" s="11">
        <v>42782</v>
      </c>
      <c r="B5814" s="10" t="s">
        <v>11983</v>
      </c>
      <c r="C5814" s="10" t="s">
        <v>11984</v>
      </c>
      <c r="D5814" s="11">
        <v>42782.688935185186</v>
      </c>
      <c r="E5814" s="10" t="s">
        <v>96</v>
      </c>
    </row>
    <row r="5815" spans="1:5">
      <c r="A5815" s="11">
        <v>42782</v>
      </c>
      <c r="B5815" s="10" t="s">
        <v>11985</v>
      </c>
      <c r="C5815" s="10" t="s">
        <v>11986</v>
      </c>
      <c r="D5815" s="11">
        <v>42782.703622685185</v>
      </c>
      <c r="E5815" s="10" t="s">
        <v>237</v>
      </c>
    </row>
    <row r="5816" spans="1:5">
      <c r="A5816" s="11">
        <v>42782</v>
      </c>
      <c r="B5816" s="10" t="s">
        <v>11987</v>
      </c>
      <c r="C5816" s="10" t="s">
        <v>11988</v>
      </c>
      <c r="D5816" s="11">
        <v>42782.703645833331</v>
      </c>
      <c r="E5816" s="10" t="s">
        <v>8136</v>
      </c>
    </row>
    <row r="5817" spans="1:5">
      <c r="A5817" s="11">
        <v>42782</v>
      </c>
      <c r="B5817" s="10" t="s">
        <v>11989</v>
      </c>
      <c r="C5817" s="10" t="s">
        <v>11990</v>
      </c>
      <c r="D5817" s="11">
        <v>42782.703703703701</v>
      </c>
      <c r="E5817" s="10" t="s">
        <v>656</v>
      </c>
    </row>
    <row r="5818" spans="1:5">
      <c r="A5818" s="11">
        <v>42782</v>
      </c>
      <c r="B5818" s="10" t="s">
        <v>11991</v>
      </c>
      <c r="C5818" s="10" t="s">
        <v>11992</v>
      </c>
      <c r="D5818" s="11">
        <v>42782.691145833334</v>
      </c>
      <c r="E5818" s="10" t="s">
        <v>5026</v>
      </c>
    </row>
    <row r="5819" spans="1:5">
      <c r="A5819" s="11">
        <v>42782</v>
      </c>
      <c r="B5819" s="10" t="s">
        <v>11993</v>
      </c>
      <c r="C5819" s="10" t="s">
        <v>11994</v>
      </c>
      <c r="D5819" s="11">
        <v>42782.70380787037</v>
      </c>
      <c r="E5819" s="10" t="s">
        <v>902</v>
      </c>
    </row>
    <row r="5820" spans="1:5">
      <c r="A5820" s="11">
        <v>42782</v>
      </c>
      <c r="B5820" s="10" t="s">
        <v>11995</v>
      </c>
      <c r="C5820" s="10" t="s">
        <v>11996</v>
      </c>
      <c r="D5820" s="11">
        <v>42782.688645833332</v>
      </c>
      <c r="E5820" s="10" t="s">
        <v>152</v>
      </c>
    </row>
    <row r="5821" spans="1:5">
      <c r="A5821" s="11">
        <v>42782</v>
      </c>
      <c r="B5821" s="10" t="s">
        <v>11997</v>
      </c>
      <c r="C5821" s="10" t="s">
        <v>11998</v>
      </c>
      <c r="D5821" s="11">
        <v>42782.703993055555</v>
      </c>
      <c r="E5821" s="10" t="s">
        <v>707</v>
      </c>
    </row>
    <row r="5822" spans="1:5">
      <c r="A5822" s="11">
        <v>42782</v>
      </c>
      <c r="B5822" s="10" t="s">
        <v>11999</v>
      </c>
      <c r="C5822" s="10" t="s">
        <v>12000</v>
      </c>
      <c r="D5822" s="11">
        <v>42782.704004629632</v>
      </c>
      <c r="E5822" s="10" t="s">
        <v>433</v>
      </c>
    </row>
    <row r="5823" spans="1:5">
      <c r="A5823" s="11">
        <v>42782</v>
      </c>
      <c r="B5823" s="10" t="s">
        <v>12001</v>
      </c>
      <c r="C5823" s="10" t="s">
        <v>12002</v>
      </c>
      <c r="D5823" s="11">
        <v>42782.702430555553</v>
      </c>
      <c r="E5823" s="10" t="s">
        <v>237</v>
      </c>
    </row>
    <row r="5824" spans="1:5">
      <c r="A5824" s="11">
        <v>42782</v>
      </c>
      <c r="B5824" s="10" t="s">
        <v>12003</v>
      </c>
      <c r="C5824" s="10" t="s">
        <v>12004</v>
      </c>
      <c r="D5824" s="11">
        <v>42782.704074074078</v>
      </c>
      <c r="E5824" s="10" t="s">
        <v>2995</v>
      </c>
    </row>
    <row r="5825" spans="1:5">
      <c r="A5825" s="11">
        <v>42782</v>
      </c>
      <c r="B5825" s="10" t="s">
        <v>12005</v>
      </c>
      <c r="C5825" s="10" t="s">
        <v>12006</v>
      </c>
      <c r="D5825" s="11">
        <v>42782.704259259262</v>
      </c>
      <c r="E5825" s="10" t="s">
        <v>1103</v>
      </c>
    </row>
    <row r="5826" spans="1:5">
      <c r="A5826" s="11">
        <v>42782</v>
      </c>
      <c r="B5826" s="10" t="s">
        <v>12007</v>
      </c>
      <c r="C5826" s="10" t="s">
        <v>12008</v>
      </c>
      <c r="D5826" s="11">
        <v>42782.685763888891</v>
      </c>
      <c r="E5826" s="10" t="s">
        <v>122</v>
      </c>
    </row>
    <row r="5827" spans="1:5" ht="21.6">
      <c r="A5827" s="11">
        <v>42782</v>
      </c>
      <c r="B5827" s="10" t="s">
        <v>12009</v>
      </c>
      <c r="C5827" s="10" t="s">
        <v>12010</v>
      </c>
      <c r="D5827" s="11">
        <v>42782.704363425924</v>
      </c>
      <c r="E5827" s="10" t="s">
        <v>165</v>
      </c>
    </row>
    <row r="5828" spans="1:5">
      <c r="A5828" s="11">
        <v>42782</v>
      </c>
      <c r="B5828" s="10" t="s">
        <v>12011</v>
      </c>
      <c r="C5828" s="10" t="s">
        <v>12012</v>
      </c>
      <c r="D5828" s="11">
        <v>42782.704375000001</v>
      </c>
      <c r="E5828" s="10" t="s">
        <v>152</v>
      </c>
    </row>
    <row r="5829" spans="1:5">
      <c r="A5829" s="11">
        <v>42782</v>
      </c>
      <c r="B5829" s="10" t="s">
        <v>12013</v>
      </c>
      <c r="C5829" s="10" t="s">
        <v>12014</v>
      </c>
      <c r="D5829" s="11">
        <v>42782.704456018517</v>
      </c>
      <c r="E5829" s="10" t="s">
        <v>4865</v>
      </c>
    </row>
    <row r="5830" spans="1:5">
      <c r="A5830" s="11">
        <v>42782</v>
      </c>
      <c r="B5830" s="10" t="s">
        <v>12015</v>
      </c>
      <c r="C5830" s="10" t="s">
        <v>12016</v>
      </c>
      <c r="D5830" s="11">
        <v>42782.69803240741</v>
      </c>
      <c r="E5830" s="10" t="s">
        <v>433</v>
      </c>
    </row>
    <row r="5831" spans="1:5">
      <c r="A5831" s="11">
        <v>42782</v>
      </c>
      <c r="B5831" s="10" t="s">
        <v>12017</v>
      </c>
      <c r="C5831" s="10" t="s">
        <v>12018</v>
      </c>
      <c r="D5831" s="11">
        <v>42782.699201388888</v>
      </c>
      <c r="E5831" s="10" t="s">
        <v>2180</v>
      </c>
    </row>
    <row r="5832" spans="1:5">
      <c r="A5832" s="11">
        <v>42782</v>
      </c>
      <c r="B5832" s="10" t="s">
        <v>12019</v>
      </c>
      <c r="C5832" s="10" t="s">
        <v>12020</v>
      </c>
      <c r="D5832" s="11">
        <v>42782.700266203705</v>
      </c>
      <c r="E5832" s="10" t="s">
        <v>433</v>
      </c>
    </row>
    <row r="5833" spans="1:5">
      <c r="A5833" s="11">
        <v>42782</v>
      </c>
      <c r="B5833" s="10" t="s">
        <v>12021</v>
      </c>
      <c r="C5833" s="10" t="s">
        <v>12022</v>
      </c>
      <c r="D5833" s="11">
        <v>42782.704606481479</v>
      </c>
      <c r="E5833" s="10" t="s">
        <v>1361</v>
      </c>
    </row>
    <row r="5834" spans="1:5">
      <c r="A5834" s="11">
        <v>42782</v>
      </c>
      <c r="B5834" s="10" t="s">
        <v>12023</v>
      </c>
      <c r="C5834" s="10" t="s">
        <v>12024</v>
      </c>
      <c r="D5834" s="11">
        <v>42782.681539351855</v>
      </c>
      <c r="E5834" s="10" t="s">
        <v>4865</v>
      </c>
    </row>
    <row r="5835" spans="1:5">
      <c r="A5835" s="11">
        <v>42782</v>
      </c>
      <c r="B5835" s="10" t="s">
        <v>12025</v>
      </c>
      <c r="C5835" s="10" t="s">
        <v>12026</v>
      </c>
      <c r="D5835" s="11">
        <v>42782.702002314814</v>
      </c>
      <c r="E5835" s="10" t="s">
        <v>2571</v>
      </c>
    </row>
    <row r="5836" spans="1:5">
      <c r="A5836" s="11">
        <v>42782</v>
      </c>
      <c r="B5836" s="10" t="s">
        <v>12027</v>
      </c>
      <c r="C5836" s="10" t="s">
        <v>12028</v>
      </c>
      <c r="D5836" s="11">
        <v>42782.703379629631</v>
      </c>
      <c r="E5836" s="10" t="s">
        <v>96</v>
      </c>
    </row>
    <row r="5837" spans="1:5">
      <c r="A5837" s="11">
        <v>42782</v>
      </c>
      <c r="B5837" s="10" t="s">
        <v>12029</v>
      </c>
      <c r="C5837" s="10" t="s">
        <v>12030</v>
      </c>
      <c r="D5837" s="11">
        <v>42782.673333333332</v>
      </c>
      <c r="E5837" s="10" t="s">
        <v>422</v>
      </c>
    </row>
    <row r="5838" spans="1:5">
      <c r="A5838" s="11">
        <v>42782</v>
      </c>
      <c r="B5838" s="10" t="s">
        <v>12031</v>
      </c>
      <c r="C5838" s="10" t="s">
        <v>12032</v>
      </c>
      <c r="D5838" s="11">
        <v>42782.702048611114</v>
      </c>
      <c r="E5838" s="10" t="s">
        <v>193</v>
      </c>
    </row>
    <row r="5839" spans="1:5">
      <c r="A5839" s="11">
        <v>42782</v>
      </c>
      <c r="B5839" s="10" t="s">
        <v>12033</v>
      </c>
      <c r="C5839" s="10" t="s">
        <v>12034</v>
      </c>
      <c r="D5839" s="11">
        <v>42782.688032407408</v>
      </c>
      <c r="E5839" s="10" t="s">
        <v>240</v>
      </c>
    </row>
    <row r="5840" spans="1:5" ht="21.6">
      <c r="A5840" s="11">
        <v>42782</v>
      </c>
      <c r="B5840" s="10" t="s">
        <v>12035</v>
      </c>
      <c r="C5840" s="10" t="s">
        <v>12036</v>
      </c>
      <c r="D5840" s="11">
        <v>42782.704907407409</v>
      </c>
      <c r="E5840" s="10" t="s">
        <v>226</v>
      </c>
    </row>
    <row r="5841" spans="1:5">
      <c r="A5841" s="11">
        <v>42782</v>
      </c>
      <c r="B5841" s="10" t="s">
        <v>12037</v>
      </c>
      <c r="C5841" s="10" t="s">
        <v>12038</v>
      </c>
      <c r="D5841" s="11">
        <v>42782.704907407409</v>
      </c>
      <c r="E5841" s="10" t="s">
        <v>4865</v>
      </c>
    </row>
    <row r="5842" spans="1:5">
      <c r="A5842" s="11">
        <v>42782</v>
      </c>
      <c r="B5842" s="10" t="s">
        <v>12039</v>
      </c>
      <c r="C5842" s="10" t="s">
        <v>12040</v>
      </c>
      <c r="D5842" s="11">
        <v>42782.702615740738</v>
      </c>
      <c r="E5842" s="10" t="s">
        <v>152</v>
      </c>
    </row>
    <row r="5843" spans="1:5">
      <c r="A5843" s="11">
        <v>42782</v>
      </c>
      <c r="B5843" s="10" t="s">
        <v>12041</v>
      </c>
      <c r="C5843" s="10" t="s">
        <v>12042</v>
      </c>
      <c r="D5843" s="11">
        <v>42782.705057870371</v>
      </c>
      <c r="E5843" s="10" t="s">
        <v>422</v>
      </c>
    </row>
    <row r="5844" spans="1:5">
      <c r="A5844" s="11">
        <v>42782</v>
      </c>
      <c r="B5844" s="10" t="s">
        <v>12043</v>
      </c>
      <c r="C5844" s="10" t="s">
        <v>12044</v>
      </c>
      <c r="D5844" s="11">
        <v>42782.693807870368</v>
      </c>
      <c r="E5844" s="10" t="s">
        <v>422</v>
      </c>
    </row>
    <row r="5845" spans="1:5">
      <c r="A5845" s="11">
        <v>42782</v>
      </c>
      <c r="B5845" s="10" t="s">
        <v>12045</v>
      </c>
      <c r="C5845" s="10" t="s">
        <v>12046</v>
      </c>
      <c r="D5845" s="11">
        <v>42782.705092592594</v>
      </c>
      <c r="E5845" s="10" t="s">
        <v>320</v>
      </c>
    </row>
    <row r="5846" spans="1:5">
      <c r="A5846" s="11">
        <v>42782</v>
      </c>
      <c r="B5846" s="10" t="s">
        <v>12047</v>
      </c>
      <c r="C5846" s="10" t="s">
        <v>12048</v>
      </c>
      <c r="D5846" s="11">
        <v>42782.696597222224</v>
      </c>
      <c r="E5846" s="10" t="s">
        <v>96</v>
      </c>
    </row>
    <row r="5847" spans="1:5">
      <c r="A5847" s="11">
        <v>42782</v>
      </c>
      <c r="B5847" s="10" t="s">
        <v>12049</v>
      </c>
      <c r="C5847" s="10" t="s">
        <v>12050</v>
      </c>
      <c r="D5847" s="11">
        <v>42782.698391203703</v>
      </c>
      <c r="E5847" s="10" t="s">
        <v>152</v>
      </c>
    </row>
    <row r="5848" spans="1:5">
      <c r="A5848" s="11">
        <v>42782</v>
      </c>
      <c r="B5848" s="10" t="s">
        <v>12051</v>
      </c>
      <c r="C5848" s="10" t="s">
        <v>12052</v>
      </c>
      <c r="D5848" s="11">
        <v>42782.70517361111</v>
      </c>
      <c r="E5848" s="10" t="s">
        <v>292</v>
      </c>
    </row>
    <row r="5849" spans="1:5">
      <c r="A5849" s="11">
        <v>42782</v>
      </c>
      <c r="B5849" s="10" t="s">
        <v>12053</v>
      </c>
      <c r="C5849" s="10" t="s">
        <v>12054</v>
      </c>
      <c r="D5849" s="11">
        <v>42782.705208333333</v>
      </c>
      <c r="E5849" s="10" t="s">
        <v>2515</v>
      </c>
    </row>
    <row r="5850" spans="1:5">
      <c r="A5850" s="11">
        <v>42782</v>
      </c>
      <c r="B5850" s="10" t="s">
        <v>12055</v>
      </c>
      <c r="C5850" s="10" t="s">
        <v>12056</v>
      </c>
      <c r="D5850" s="11">
        <v>42782.684293981481</v>
      </c>
      <c r="E5850" s="10" t="s">
        <v>193</v>
      </c>
    </row>
    <row r="5851" spans="1:5">
      <c r="A5851" s="11">
        <v>42782</v>
      </c>
      <c r="B5851" s="10" t="s">
        <v>12057</v>
      </c>
      <c r="C5851" s="10" t="s">
        <v>12058</v>
      </c>
      <c r="D5851" s="11">
        <v>42782.697210648148</v>
      </c>
      <c r="E5851" s="10" t="s">
        <v>240</v>
      </c>
    </row>
    <row r="5852" spans="1:5">
      <c r="A5852" s="11">
        <v>42782</v>
      </c>
      <c r="B5852" s="10" t="s">
        <v>12059</v>
      </c>
      <c r="C5852" s="10" t="s">
        <v>12060</v>
      </c>
      <c r="D5852" s="11">
        <v>42782.705254629633</v>
      </c>
      <c r="E5852" s="10" t="s">
        <v>152</v>
      </c>
    </row>
    <row r="5853" spans="1:5">
      <c r="A5853" s="11">
        <v>42782</v>
      </c>
      <c r="B5853" s="10" t="s">
        <v>12061</v>
      </c>
      <c r="C5853" s="10" t="s">
        <v>12062</v>
      </c>
      <c r="D5853" s="11">
        <v>42782.695532407408</v>
      </c>
      <c r="E5853" s="10" t="s">
        <v>4865</v>
      </c>
    </row>
    <row r="5854" spans="1:5">
      <c r="A5854" s="11">
        <v>42782</v>
      </c>
      <c r="B5854" s="10" t="s">
        <v>12063</v>
      </c>
      <c r="C5854" s="10" t="s">
        <v>12064</v>
      </c>
      <c r="D5854" s="11">
        <v>42782.705428240741</v>
      </c>
      <c r="E5854" s="10" t="s">
        <v>237</v>
      </c>
    </row>
    <row r="5855" spans="1:5">
      <c r="A5855" s="11">
        <v>42782</v>
      </c>
      <c r="B5855" s="10" t="s">
        <v>12065</v>
      </c>
      <c r="C5855" s="10" t="s">
        <v>12066</v>
      </c>
      <c r="D5855" s="11">
        <v>42782.705509259256</v>
      </c>
      <c r="E5855" s="10" t="s">
        <v>380</v>
      </c>
    </row>
    <row r="5856" spans="1:5">
      <c r="A5856" s="11">
        <v>42782</v>
      </c>
      <c r="B5856" s="10" t="s">
        <v>12067</v>
      </c>
      <c r="C5856" s="10" t="s">
        <v>12068</v>
      </c>
      <c r="D5856" s="11">
        <v>42782.705590277779</v>
      </c>
      <c r="E5856" s="10" t="s">
        <v>8136</v>
      </c>
    </row>
    <row r="5857" spans="1:5">
      <c r="A5857" s="11">
        <v>42782</v>
      </c>
      <c r="B5857" s="10" t="s">
        <v>12069</v>
      </c>
      <c r="C5857" s="10" t="s">
        <v>12070</v>
      </c>
      <c r="D5857" s="11">
        <v>42782.704641203702</v>
      </c>
      <c r="E5857" s="10" t="s">
        <v>3570</v>
      </c>
    </row>
    <row r="5858" spans="1:5">
      <c r="A5858" s="11">
        <v>42782</v>
      </c>
      <c r="B5858" s="10" t="s">
        <v>12071</v>
      </c>
      <c r="C5858" s="10" t="s">
        <v>12072</v>
      </c>
      <c r="D5858" s="11">
        <v>42782.705706018518</v>
      </c>
      <c r="E5858" s="10" t="s">
        <v>237</v>
      </c>
    </row>
    <row r="5859" spans="1:5">
      <c r="A5859" s="11">
        <v>42782</v>
      </c>
      <c r="B5859" s="10" t="s">
        <v>12073</v>
      </c>
      <c r="C5859" s="10" t="s">
        <v>12074</v>
      </c>
      <c r="D5859" s="11">
        <v>42782.705509259256</v>
      </c>
      <c r="E5859" s="10" t="s">
        <v>138</v>
      </c>
    </row>
    <row r="5860" spans="1:5">
      <c r="A5860" s="11">
        <v>42782</v>
      </c>
      <c r="B5860" s="10" t="s">
        <v>12075</v>
      </c>
      <c r="C5860" s="10" t="s">
        <v>12076</v>
      </c>
      <c r="D5860" s="11">
        <v>42782.705740740741</v>
      </c>
      <c r="E5860" s="10" t="s">
        <v>422</v>
      </c>
    </row>
    <row r="5861" spans="1:5">
      <c r="A5861" s="11">
        <v>42782</v>
      </c>
      <c r="B5861" s="10" t="s">
        <v>12077</v>
      </c>
      <c r="C5861" s="10" t="s">
        <v>12078</v>
      </c>
      <c r="D5861" s="11">
        <v>42782.702719907407</v>
      </c>
      <c r="E5861" s="10" t="s">
        <v>433</v>
      </c>
    </row>
    <row r="5862" spans="1:5">
      <c r="A5862" s="11">
        <v>42782</v>
      </c>
      <c r="B5862" s="10" t="s">
        <v>12079</v>
      </c>
      <c r="C5862" s="10" t="s">
        <v>12080</v>
      </c>
      <c r="D5862" s="11">
        <v>42782.703379629631</v>
      </c>
      <c r="E5862" s="10" t="s">
        <v>433</v>
      </c>
    </row>
    <row r="5863" spans="1:5">
      <c r="A5863" s="11">
        <v>42782</v>
      </c>
      <c r="B5863" s="10" t="s">
        <v>12081</v>
      </c>
      <c r="C5863" s="10" t="s">
        <v>12082</v>
      </c>
      <c r="D5863" s="11">
        <v>42782.705787037034</v>
      </c>
      <c r="E5863" s="10" t="s">
        <v>99</v>
      </c>
    </row>
    <row r="5864" spans="1:5">
      <c r="A5864" s="11">
        <v>42782</v>
      </c>
      <c r="B5864" s="10" t="s">
        <v>12083</v>
      </c>
      <c r="C5864" s="10" t="s">
        <v>12084</v>
      </c>
      <c r="D5864" s="11">
        <v>42782.688923611109</v>
      </c>
      <c r="E5864" s="10" t="s">
        <v>218</v>
      </c>
    </row>
    <row r="5865" spans="1:5">
      <c r="A5865" s="11">
        <v>42782</v>
      </c>
      <c r="B5865" s="10" t="s">
        <v>12085</v>
      </c>
      <c r="C5865" s="10" t="s">
        <v>12086</v>
      </c>
      <c r="D5865" s="11">
        <v>42782.699652777781</v>
      </c>
      <c r="E5865" s="10" t="s">
        <v>96</v>
      </c>
    </row>
    <row r="5866" spans="1:5">
      <c r="A5866" s="11">
        <v>42782</v>
      </c>
      <c r="B5866" s="10" t="s">
        <v>12087</v>
      </c>
      <c r="C5866" s="10" t="s">
        <v>12088</v>
      </c>
      <c r="D5866" s="11">
        <v>42782.705925925926</v>
      </c>
      <c r="E5866" s="10" t="s">
        <v>193</v>
      </c>
    </row>
    <row r="5867" spans="1:5">
      <c r="A5867" s="11">
        <v>42782</v>
      </c>
      <c r="B5867" s="10" t="s">
        <v>12089</v>
      </c>
      <c r="C5867" s="10" t="s">
        <v>12090</v>
      </c>
      <c r="D5867" s="11">
        <v>42782.705960648149</v>
      </c>
      <c r="E5867" s="10" t="s">
        <v>237</v>
      </c>
    </row>
    <row r="5868" spans="1:5">
      <c r="A5868" s="11">
        <v>42782</v>
      </c>
      <c r="B5868" s="10" t="s">
        <v>12091</v>
      </c>
      <c r="C5868" s="10" t="s">
        <v>12092</v>
      </c>
      <c r="D5868" s="11">
        <v>42782.706041666665</v>
      </c>
      <c r="E5868" s="10" t="s">
        <v>320</v>
      </c>
    </row>
    <row r="5869" spans="1:5">
      <c r="A5869" s="11">
        <v>42782</v>
      </c>
      <c r="B5869" s="10" t="s">
        <v>12093</v>
      </c>
      <c r="C5869" s="10" t="s">
        <v>12094</v>
      </c>
      <c r="D5869" s="11">
        <v>42782.696828703702</v>
      </c>
      <c r="E5869" s="10" t="s">
        <v>707</v>
      </c>
    </row>
    <row r="5870" spans="1:5">
      <c r="A5870" s="11">
        <v>42782</v>
      </c>
      <c r="B5870" s="10" t="s">
        <v>12095</v>
      </c>
      <c r="C5870" s="10" t="s">
        <v>12096</v>
      </c>
      <c r="D5870" s="11">
        <v>42782.702384259261</v>
      </c>
      <c r="E5870" s="10" t="s">
        <v>96</v>
      </c>
    </row>
    <row r="5871" spans="1:5">
      <c r="A5871" s="11">
        <v>42782</v>
      </c>
      <c r="B5871" s="10" t="s">
        <v>12097</v>
      </c>
      <c r="C5871" s="10" t="s">
        <v>12098</v>
      </c>
      <c r="D5871" s="11">
        <v>42782.706284722219</v>
      </c>
      <c r="E5871" s="10" t="s">
        <v>122</v>
      </c>
    </row>
    <row r="5872" spans="1:5">
      <c r="A5872" s="11">
        <v>42782</v>
      </c>
      <c r="B5872" s="10" t="s">
        <v>12099</v>
      </c>
      <c r="C5872" s="10" t="s">
        <v>12100</v>
      </c>
      <c r="D5872" s="11">
        <v>42782.682719907411</v>
      </c>
      <c r="E5872" s="10" t="s">
        <v>433</v>
      </c>
    </row>
    <row r="5873" spans="1:5">
      <c r="A5873" s="11">
        <v>42782</v>
      </c>
      <c r="B5873" s="10" t="s">
        <v>12101</v>
      </c>
      <c r="C5873" s="10" t="s">
        <v>12102</v>
      </c>
      <c r="D5873" s="11">
        <v>42782.706365740742</v>
      </c>
      <c r="E5873" s="10" t="s">
        <v>96</v>
      </c>
    </row>
    <row r="5874" spans="1:5">
      <c r="A5874" s="11">
        <v>42782</v>
      </c>
      <c r="B5874" s="10" t="s">
        <v>12103</v>
      </c>
      <c r="C5874" s="10" t="s">
        <v>12104</v>
      </c>
      <c r="D5874" s="11">
        <v>42782.686550925922</v>
      </c>
      <c r="E5874" s="10" t="s">
        <v>96</v>
      </c>
    </row>
    <row r="5875" spans="1:5">
      <c r="A5875" s="11">
        <v>42782</v>
      </c>
      <c r="B5875" s="10" t="s">
        <v>12105</v>
      </c>
      <c r="C5875" s="10" t="s">
        <v>12106</v>
      </c>
      <c r="D5875" s="11">
        <v>42782.697893518518</v>
      </c>
      <c r="E5875" s="10" t="s">
        <v>433</v>
      </c>
    </row>
    <row r="5876" spans="1:5">
      <c r="A5876" s="11">
        <v>42782</v>
      </c>
      <c r="B5876" s="10" t="s">
        <v>12107</v>
      </c>
      <c r="C5876" s="10" t="s">
        <v>12108</v>
      </c>
      <c r="D5876" s="11">
        <v>42782.706458333334</v>
      </c>
      <c r="E5876" s="10" t="s">
        <v>8009</v>
      </c>
    </row>
    <row r="5877" spans="1:5">
      <c r="A5877" s="11">
        <v>42782</v>
      </c>
      <c r="B5877" s="10" t="s">
        <v>12109</v>
      </c>
      <c r="C5877" s="10" t="s">
        <v>12110</v>
      </c>
      <c r="D5877" s="11">
        <v>42782.702361111114</v>
      </c>
      <c r="E5877" s="10" t="s">
        <v>2180</v>
      </c>
    </row>
    <row r="5878" spans="1:5">
      <c r="A5878" s="11">
        <v>42782</v>
      </c>
      <c r="B5878" s="10" t="s">
        <v>12111</v>
      </c>
      <c r="C5878" s="10" t="s">
        <v>12112</v>
      </c>
      <c r="D5878" s="11">
        <v>42782.70648148148</v>
      </c>
      <c r="E5878" s="10" t="s">
        <v>433</v>
      </c>
    </row>
    <row r="5879" spans="1:5">
      <c r="A5879" s="11">
        <v>42782</v>
      </c>
      <c r="B5879" s="10" t="s">
        <v>12113</v>
      </c>
      <c r="C5879" s="10" t="s">
        <v>12114</v>
      </c>
      <c r="D5879" s="11">
        <v>42782.706493055557</v>
      </c>
      <c r="E5879" s="10" t="s">
        <v>433</v>
      </c>
    </row>
    <row r="5880" spans="1:5">
      <c r="A5880" s="11">
        <v>42782</v>
      </c>
      <c r="B5880" s="10" t="s">
        <v>12115</v>
      </c>
      <c r="C5880" s="10" t="s">
        <v>12116</v>
      </c>
      <c r="D5880" s="11">
        <v>42782.706620370373</v>
      </c>
      <c r="E5880" s="10" t="s">
        <v>237</v>
      </c>
    </row>
    <row r="5881" spans="1:5">
      <c r="A5881" s="11">
        <v>42782</v>
      </c>
      <c r="B5881" s="10" t="s">
        <v>12117</v>
      </c>
      <c r="C5881" s="10" t="s">
        <v>12118</v>
      </c>
      <c r="D5881" s="11">
        <v>42782.706631944442</v>
      </c>
      <c r="E5881" s="10" t="s">
        <v>2912</v>
      </c>
    </row>
    <row r="5882" spans="1:5">
      <c r="A5882" s="11">
        <v>42782</v>
      </c>
      <c r="B5882" s="10" t="s">
        <v>12119</v>
      </c>
      <c r="C5882" s="10" t="s">
        <v>12120</v>
      </c>
      <c r="D5882" s="11">
        <v>42782.687511574077</v>
      </c>
      <c r="E5882" s="10" t="s">
        <v>152</v>
      </c>
    </row>
    <row r="5883" spans="1:5">
      <c r="A5883" s="11">
        <v>42782</v>
      </c>
      <c r="B5883" s="10" t="s">
        <v>12121</v>
      </c>
      <c r="C5883" s="10" t="s">
        <v>12122</v>
      </c>
      <c r="D5883" s="11">
        <v>42782.706747685188</v>
      </c>
      <c r="E5883" s="10" t="s">
        <v>122</v>
      </c>
    </row>
    <row r="5884" spans="1:5">
      <c r="A5884" s="11">
        <v>42782</v>
      </c>
      <c r="B5884" s="10" t="s">
        <v>12123</v>
      </c>
      <c r="C5884" s="10" t="s">
        <v>12124</v>
      </c>
      <c r="D5884" s="11">
        <v>42782.698287037034</v>
      </c>
      <c r="E5884" s="10" t="s">
        <v>215</v>
      </c>
    </row>
    <row r="5885" spans="1:5">
      <c r="A5885" s="11">
        <v>42782</v>
      </c>
      <c r="B5885" s="10" t="s">
        <v>12125</v>
      </c>
      <c r="C5885" s="10" t="s">
        <v>12126</v>
      </c>
      <c r="D5885" s="11">
        <v>42782.706053240741</v>
      </c>
      <c r="E5885" s="10" t="s">
        <v>433</v>
      </c>
    </row>
    <row r="5886" spans="1:5">
      <c r="A5886" s="11">
        <v>42782</v>
      </c>
      <c r="B5886" s="10" t="s">
        <v>12127</v>
      </c>
      <c r="C5886" s="10" t="s">
        <v>12128</v>
      </c>
      <c r="D5886" s="11">
        <v>42782.686574074076</v>
      </c>
      <c r="E5886" s="10" t="s">
        <v>152</v>
      </c>
    </row>
    <row r="5887" spans="1:5">
      <c r="A5887" s="11">
        <v>42782</v>
      </c>
      <c r="B5887" s="10" t="s">
        <v>12129</v>
      </c>
      <c r="C5887" s="10" t="s">
        <v>12130</v>
      </c>
      <c r="D5887" s="11">
        <v>42782.706967592596</v>
      </c>
      <c r="E5887" s="10" t="s">
        <v>122</v>
      </c>
    </row>
    <row r="5888" spans="1:5">
      <c r="A5888" s="11">
        <v>42782</v>
      </c>
      <c r="B5888" s="10" t="s">
        <v>12131</v>
      </c>
      <c r="C5888" s="10" t="s">
        <v>12132</v>
      </c>
      <c r="D5888" s="11">
        <v>42782.702685185184</v>
      </c>
      <c r="E5888" s="10" t="s">
        <v>96</v>
      </c>
    </row>
    <row r="5889" spans="1:5">
      <c r="A5889" s="11">
        <v>42782</v>
      </c>
      <c r="B5889" s="10" t="s">
        <v>12133</v>
      </c>
      <c r="C5889" s="10" t="s">
        <v>12134</v>
      </c>
      <c r="D5889" s="11">
        <v>42782.677106481482</v>
      </c>
      <c r="E5889" s="10" t="s">
        <v>215</v>
      </c>
    </row>
    <row r="5890" spans="1:5">
      <c r="A5890" s="11">
        <v>42782</v>
      </c>
      <c r="B5890" s="10" t="s">
        <v>12135</v>
      </c>
      <c r="C5890" s="10" t="s">
        <v>12136</v>
      </c>
      <c r="D5890" s="11">
        <v>42782.700092592589</v>
      </c>
      <c r="E5890" s="10" t="s">
        <v>422</v>
      </c>
    </row>
    <row r="5891" spans="1:5">
      <c r="A5891" s="11">
        <v>42782</v>
      </c>
      <c r="B5891" s="10" t="s">
        <v>12137</v>
      </c>
      <c r="C5891" s="10" t="s">
        <v>12138</v>
      </c>
      <c r="D5891" s="11">
        <v>42782.672546296293</v>
      </c>
      <c r="E5891" s="10" t="s">
        <v>99</v>
      </c>
    </row>
    <row r="5892" spans="1:5">
      <c r="A5892" s="11">
        <v>42782</v>
      </c>
      <c r="B5892" s="10" t="s">
        <v>12139</v>
      </c>
      <c r="C5892" s="10" t="s">
        <v>12140</v>
      </c>
      <c r="D5892" s="11">
        <v>42782.685636574075</v>
      </c>
      <c r="E5892" s="10" t="s">
        <v>2995</v>
      </c>
    </row>
    <row r="5893" spans="1:5">
      <c r="A5893" s="11">
        <v>42782</v>
      </c>
      <c r="B5893" s="10" t="s">
        <v>12141</v>
      </c>
      <c r="C5893" s="10" t="s">
        <v>12142</v>
      </c>
      <c r="D5893" s="11">
        <v>42782.676770833335</v>
      </c>
      <c r="E5893" s="10" t="s">
        <v>479</v>
      </c>
    </row>
    <row r="5894" spans="1:5">
      <c r="A5894" s="11">
        <v>42782</v>
      </c>
      <c r="B5894" s="10" t="s">
        <v>12143</v>
      </c>
      <c r="C5894" s="10" t="s">
        <v>12144</v>
      </c>
      <c r="D5894" s="11">
        <v>42782.696932870371</v>
      </c>
      <c r="E5894" s="10" t="s">
        <v>433</v>
      </c>
    </row>
    <row r="5895" spans="1:5">
      <c r="A5895" s="11">
        <v>42782</v>
      </c>
      <c r="B5895" s="10" t="s">
        <v>12145</v>
      </c>
      <c r="C5895" s="10" t="s">
        <v>12146</v>
      </c>
      <c r="D5895" s="11">
        <v>42782.705787037034</v>
      </c>
      <c r="E5895" s="10" t="s">
        <v>96</v>
      </c>
    </row>
    <row r="5896" spans="1:5">
      <c r="A5896" s="11">
        <v>42782</v>
      </c>
      <c r="B5896" s="10" t="s">
        <v>12147</v>
      </c>
      <c r="C5896" s="10" t="s">
        <v>12148</v>
      </c>
      <c r="D5896" s="11">
        <v>42782.705821759257</v>
      </c>
      <c r="E5896" s="10" t="s">
        <v>3570</v>
      </c>
    </row>
    <row r="5897" spans="1:5">
      <c r="A5897" s="11">
        <v>42782</v>
      </c>
      <c r="B5897" s="10" t="s">
        <v>12149</v>
      </c>
      <c r="C5897" s="10" t="s">
        <v>12150</v>
      </c>
      <c r="D5897" s="11">
        <v>42782.70579861111</v>
      </c>
      <c r="E5897" s="10" t="s">
        <v>2144</v>
      </c>
    </row>
    <row r="5898" spans="1:5">
      <c r="A5898" s="11">
        <v>42782</v>
      </c>
      <c r="B5898" s="10" t="s">
        <v>12151</v>
      </c>
      <c r="C5898" s="10" t="s">
        <v>12152</v>
      </c>
      <c r="D5898" s="11">
        <v>42782.689340277779</v>
      </c>
      <c r="E5898" s="10" t="s">
        <v>2995</v>
      </c>
    </row>
    <row r="5899" spans="1:5">
      <c r="A5899" s="11">
        <v>42782</v>
      </c>
      <c r="B5899" s="10" t="s">
        <v>12153</v>
      </c>
      <c r="C5899" s="10" t="s">
        <v>12154</v>
      </c>
      <c r="D5899" s="11">
        <v>42782.707280092596</v>
      </c>
      <c r="E5899" s="10" t="s">
        <v>152</v>
      </c>
    </row>
    <row r="5900" spans="1:5">
      <c r="A5900" s="11">
        <v>42782</v>
      </c>
      <c r="B5900" s="10" t="s">
        <v>12155</v>
      </c>
      <c r="C5900" s="10" t="s">
        <v>12156</v>
      </c>
      <c r="D5900" s="11">
        <v>42782.707372685189</v>
      </c>
      <c r="E5900" s="10" t="s">
        <v>1103</v>
      </c>
    </row>
    <row r="5901" spans="1:5">
      <c r="A5901" s="11">
        <v>42782</v>
      </c>
      <c r="B5901" s="10" t="s">
        <v>12157</v>
      </c>
      <c r="C5901" s="10" t="s">
        <v>12158</v>
      </c>
      <c r="D5901" s="11">
        <v>42782.686412037037</v>
      </c>
      <c r="E5901" s="10" t="s">
        <v>4865</v>
      </c>
    </row>
    <row r="5902" spans="1:5">
      <c r="A5902" s="11">
        <v>42782</v>
      </c>
      <c r="B5902" s="10" t="s">
        <v>12159</v>
      </c>
      <c r="C5902" s="10" t="s">
        <v>12160</v>
      </c>
      <c r="D5902" s="11">
        <v>42782.679375</v>
      </c>
      <c r="E5902" s="10" t="s">
        <v>380</v>
      </c>
    </row>
    <row r="5903" spans="1:5">
      <c r="A5903" s="11">
        <v>42782</v>
      </c>
      <c r="B5903" s="10" t="s">
        <v>12161</v>
      </c>
      <c r="C5903" s="10" t="s">
        <v>12162</v>
      </c>
      <c r="D5903" s="11">
        <v>42782.707430555558</v>
      </c>
      <c r="E5903" s="10" t="s">
        <v>380</v>
      </c>
    </row>
    <row r="5904" spans="1:5">
      <c r="A5904" s="11">
        <v>42782</v>
      </c>
      <c r="B5904" s="10" t="s">
        <v>12163</v>
      </c>
      <c r="C5904" s="10" t="s">
        <v>12164</v>
      </c>
      <c r="D5904" s="11">
        <v>42782.698784722219</v>
      </c>
      <c r="E5904" s="10" t="s">
        <v>122</v>
      </c>
    </row>
    <row r="5905" spans="1:5">
      <c r="A5905" s="11">
        <v>42782</v>
      </c>
      <c r="B5905" s="10" t="s">
        <v>12165</v>
      </c>
      <c r="C5905" s="10" t="s">
        <v>12166</v>
      </c>
      <c r="D5905" s="11">
        <v>42782.702233796299</v>
      </c>
      <c r="E5905" s="10" t="s">
        <v>625</v>
      </c>
    </row>
    <row r="5906" spans="1:5">
      <c r="A5906" s="11">
        <v>42782</v>
      </c>
      <c r="B5906" s="10" t="s">
        <v>12167</v>
      </c>
      <c r="C5906" s="10" t="s">
        <v>12168</v>
      </c>
      <c r="D5906" s="11">
        <v>42782.707499999997</v>
      </c>
      <c r="E5906" s="10" t="s">
        <v>422</v>
      </c>
    </row>
    <row r="5907" spans="1:5">
      <c r="A5907" s="11">
        <v>42782</v>
      </c>
      <c r="B5907" s="10" t="s">
        <v>12169</v>
      </c>
      <c r="C5907" s="10" t="s">
        <v>12170</v>
      </c>
      <c r="D5907" s="11">
        <v>42782.705347222225</v>
      </c>
      <c r="E5907" s="10" t="s">
        <v>152</v>
      </c>
    </row>
    <row r="5908" spans="1:5">
      <c r="A5908" s="11">
        <v>42782</v>
      </c>
      <c r="B5908" s="10" t="s">
        <v>12171</v>
      </c>
      <c r="C5908" s="10" t="s">
        <v>12172</v>
      </c>
      <c r="D5908" s="11">
        <v>42782.707673611112</v>
      </c>
      <c r="E5908" s="10" t="s">
        <v>152</v>
      </c>
    </row>
    <row r="5909" spans="1:5">
      <c r="A5909" s="11">
        <v>42782</v>
      </c>
      <c r="B5909" s="10" t="s">
        <v>12173</v>
      </c>
      <c r="C5909" s="10" t="s">
        <v>12174</v>
      </c>
      <c r="D5909" s="11">
        <v>42782.707696759258</v>
      </c>
      <c r="E5909" s="10" t="s">
        <v>152</v>
      </c>
    </row>
    <row r="5910" spans="1:5">
      <c r="A5910" s="11">
        <v>42782</v>
      </c>
      <c r="B5910" s="10" t="s">
        <v>12175</v>
      </c>
      <c r="C5910" s="10" t="s">
        <v>12176</v>
      </c>
      <c r="D5910" s="11">
        <v>42782.707696759258</v>
      </c>
      <c r="E5910" s="10" t="s">
        <v>707</v>
      </c>
    </row>
    <row r="5911" spans="1:5">
      <c r="A5911" s="11">
        <v>42782</v>
      </c>
      <c r="B5911" s="10" t="s">
        <v>12177</v>
      </c>
      <c r="C5911" s="10" t="s">
        <v>12178</v>
      </c>
      <c r="D5911" s="11">
        <v>42782.707708333335</v>
      </c>
      <c r="E5911" s="10" t="s">
        <v>193</v>
      </c>
    </row>
    <row r="5912" spans="1:5">
      <c r="A5912" s="11">
        <v>42782</v>
      </c>
      <c r="B5912" s="10" t="s">
        <v>12179</v>
      </c>
      <c r="C5912" s="10" t="s">
        <v>12180</v>
      </c>
      <c r="D5912" s="11">
        <v>42782.701203703706</v>
      </c>
      <c r="E5912" s="10" t="s">
        <v>656</v>
      </c>
    </row>
    <row r="5913" spans="1:5">
      <c r="A5913" s="11">
        <v>42782</v>
      </c>
      <c r="B5913" s="10" t="s">
        <v>12181</v>
      </c>
      <c r="C5913" s="10" t="s">
        <v>12182</v>
      </c>
      <c r="D5913" s="11">
        <v>42782.707754629628</v>
      </c>
      <c r="E5913" s="10" t="s">
        <v>335</v>
      </c>
    </row>
    <row r="5914" spans="1:5">
      <c r="A5914" s="11">
        <v>42782</v>
      </c>
      <c r="B5914" s="10" t="s">
        <v>12183</v>
      </c>
      <c r="C5914" s="10" t="s">
        <v>12184</v>
      </c>
      <c r="D5914" s="11">
        <v>42782.707754629628</v>
      </c>
      <c r="E5914" s="10" t="s">
        <v>1319</v>
      </c>
    </row>
    <row r="5915" spans="1:5">
      <c r="A5915" s="11">
        <v>42782</v>
      </c>
      <c r="B5915" s="10" t="s">
        <v>12185</v>
      </c>
      <c r="C5915" s="10" t="s">
        <v>12186</v>
      </c>
      <c r="D5915" s="11">
        <v>42782.707962962966</v>
      </c>
      <c r="E5915" s="10" t="s">
        <v>218</v>
      </c>
    </row>
    <row r="5916" spans="1:5">
      <c r="A5916" s="11">
        <v>42782</v>
      </c>
      <c r="B5916" s="10" t="s">
        <v>12187</v>
      </c>
      <c r="C5916" s="10" t="s">
        <v>12188</v>
      </c>
      <c r="D5916" s="11">
        <v>42782.701701388891</v>
      </c>
      <c r="E5916" s="10" t="s">
        <v>193</v>
      </c>
    </row>
    <row r="5917" spans="1:5">
      <c r="A5917" s="11">
        <v>42782</v>
      </c>
      <c r="B5917" s="10" t="s">
        <v>12189</v>
      </c>
      <c r="C5917" s="10" t="s">
        <v>12190</v>
      </c>
      <c r="D5917" s="11">
        <v>42782.705543981479</v>
      </c>
      <c r="E5917" s="10" t="s">
        <v>96</v>
      </c>
    </row>
    <row r="5918" spans="1:5">
      <c r="A5918" s="11">
        <v>42782</v>
      </c>
      <c r="B5918" s="10" t="s">
        <v>12191</v>
      </c>
      <c r="C5918" s="10" t="s">
        <v>12192</v>
      </c>
      <c r="D5918" s="11">
        <v>42782.706296296295</v>
      </c>
      <c r="E5918" s="10" t="s">
        <v>152</v>
      </c>
    </row>
    <row r="5919" spans="1:5">
      <c r="A5919" s="11">
        <v>42782</v>
      </c>
      <c r="B5919" s="10" t="s">
        <v>12193</v>
      </c>
      <c r="C5919" s="10" t="s">
        <v>12194</v>
      </c>
      <c r="D5919" s="11">
        <v>42782.708124999997</v>
      </c>
      <c r="E5919" s="10" t="s">
        <v>656</v>
      </c>
    </row>
    <row r="5920" spans="1:5">
      <c r="A5920" s="11">
        <v>42782</v>
      </c>
      <c r="B5920" s="10" t="s">
        <v>12195</v>
      </c>
      <c r="C5920" s="10" t="s">
        <v>12196</v>
      </c>
      <c r="D5920" s="11">
        <v>42782.707048611112</v>
      </c>
      <c r="E5920" s="10" t="s">
        <v>320</v>
      </c>
    </row>
    <row r="5921" spans="1:5">
      <c r="A5921" s="11">
        <v>42782</v>
      </c>
      <c r="B5921" s="10" t="s">
        <v>12197</v>
      </c>
      <c r="C5921" s="10" t="s">
        <v>12198</v>
      </c>
      <c r="D5921" s="11">
        <v>42782.706805555557</v>
      </c>
      <c r="E5921" s="10" t="s">
        <v>3570</v>
      </c>
    </row>
    <row r="5922" spans="1:5">
      <c r="A5922" s="11">
        <v>42782</v>
      </c>
      <c r="B5922" s="10" t="s">
        <v>12199</v>
      </c>
      <c r="C5922" s="10" t="s">
        <v>12200</v>
      </c>
      <c r="D5922" s="11">
        <v>42782.708182870374</v>
      </c>
      <c r="E5922" s="10" t="s">
        <v>902</v>
      </c>
    </row>
    <row r="5923" spans="1:5" ht="21.6">
      <c r="A5923" s="11">
        <v>42782</v>
      </c>
      <c r="B5923" s="10" t="s">
        <v>12201</v>
      </c>
      <c r="C5923" s="10" t="s">
        <v>12202</v>
      </c>
      <c r="D5923" s="11">
        <v>42782.695567129631</v>
      </c>
      <c r="E5923" s="10" t="s">
        <v>368</v>
      </c>
    </row>
    <row r="5924" spans="1:5">
      <c r="A5924" s="11">
        <v>42782</v>
      </c>
      <c r="B5924" s="10" t="s">
        <v>12203</v>
      </c>
      <c r="C5924" s="10" t="s">
        <v>12204</v>
      </c>
      <c r="D5924" s="11">
        <v>42782.681562500002</v>
      </c>
      <c r="E5924" s="10" t="s">
        <v>2995</v>
      </c>
    </row>
    <row r="5925" spans="1:5">
      <c r="A5925" s="11">
        <v>42782</v>
      </c>
      <c r="B5925" s="10" t="s">
        <v>12205</v>
      </c>
      <c r="C5925" s="10" t="s">
        <v>12206</v>
      </c>
      <c r="D5925" s="11">
        <v>42782.708287037036</v>
      </c>
      <c r="E5925" s="10" t="s">
        <v>4898</v>
      </c>
    </row>
    <row r="5926" spans="1:5">
      <c r="A5926" s="11">
        <v>42782</v>
      </c>
      <c r="B5926" s="10" t="s">
        <v>12207</v>
      </c>
      <c r="C5926" s="10" t="s">
        <v>12208</v>
      </c>
      <c r="D5926" s="11">
        <v>42782.708333333336</v>
      </c>
      <c r="E5926" s="10" t="s">
        <v>178</v>
      </c>
    </row>
    <row r="5927" spans="1:5">
      <c r="A5927" s="11">
        <v>42782</v>
      </c>
      <c r="B5927" s="10" t="s">
        <v>12209</v>
      </c>
      <c r="C5927" s="10" t="s">
        <v>12210</v>
      </c>
      <c r="D5927" s="11">
        <v>42782.705659722225</v>
      </c>
      <c r="E5927" s="10" t="s">
        <v>193</v>
      </c>
    </row>
    <row r="5928" spans="1:5">
      <c r="A5928" s="11">
        <v>42782</v>
      </c>
      <c r="B5928" s="10" t="s">
        <v>12211</v>
      </c>
      <c r="C5928" s="10" t="s">
        <v>12212</v>
      </c>
      <c r="D5928" s="11">
        <v>42782.708356481482</v>
      </c>
      <c r="E5928" s="10" t="s">
        <v>152</v>
      </c>
    </row>
    <row r="5929" spans="1:5">
      <c r="A5929" s="11">
        <v>42782</v>
      </c>
      <c r="B5929" s="10" t="s">
        <v>12213</v>
      </c>
      <c r="C5929" s="10" t="s">
        <v>12214</v>
      </c>
      <c r="D5929" s="11">
        <v>42782.708356481482</v>
      </c>
      <c r="E5929" s="10" t="s">
        <v>433</v>
      </c>
    </row>
    <row r="5930" spans="1:5">
      <c r="A5930" s="11">
        <v>42782</v>
      </c>
      <c r="B5930" s="10" t="s">
        <v>12215</v>
      </c>
      <c r="C5930" s="10" t="s">
        <v>12216</v>
      </c>
      <c r="D5930" s="11">
        <v>42782.70820601852</v>
      </c>
      <c r="E5930" s="10" t="s">
        <v>1319</v>
      </c>
    </row>
    <row r="5931" spans="1:5">
      <c r="A5931" s="11">
        <v>42782</v>
      </c>
      <c r="B5931" s="10" t="s">
        <v>12217</v>
      </c>
      <c r="C5931" s="10" t="s">
        <v>12218</v>
      </c>
      <c r="D5931" s="11">
        <v>42782.706111111111</v>
      </c>
      <c r="E5931" s="10" t="s">
        <v>3570</v>
      </c>
    </row>
    <row r="5932" spans="1:5">
      <c r="A5932" s="11">
        <v>42782</v>
      </c>
      <c r="B5932" s="10" t="s">
        <v>12219</v>
      </c>
      <c r="C5932" s="10" t="s">
        <v>12220</v>
      </c>
      <c r="D5932" s="11">
        <v>42782.708402777775</v>
      </c>
      <c r="E5932" s="10" t="s">
        <v>625</v>
      </c>
    </row>
    <row r="5933" spans="1:5">
      <c r="A5933" s="11">
        <v>42782</v>
      </c>
      <c r="B5933" s="10" t="s">
        <v>12221</v>
      </c>
      <c r="C5933" s="10" t="s">
        <v>12222</v>
      </c>
      <c r="D5933" s="11">
        <v>42782.708449074074</v>
      </c>
      <c r="E5933" s="10" t="s">
        <v>218</v>
      </c>
    </row>
    <row r="5934" spans="1:5">
      <c r="A5934" s="11">
        <v>42782</v>
      </c>
      <c r="B5934" s="10" t="s">
        <v>12223</v>
      </c>
      <c r="C5934" s="10" t="s">
        <v>12224</v>
      </c>
      <c r="D5934" s="11">
        <v>42782.708449074074</v>
      </c>
      <c r="E5934" s="10" t="s">
        <v>215</v>
      </c>
    </row>
    <row r="5935" spans="1:5">
      <c r="A5935" s="11">
        <v>42782</v>
      </c>
      <c r="B5935" s="10" t="s">
        <v>12225</v>
      </c>
      <c r="C5935" s="10" t="s">
        <v>12226</v>
      </c>
      <c r="D5935" s="11">
        <v>42782.693356481483</v>
      </c>
      <c r="E5935" s="10" t="s">
        <v>152</v>
      </c>
    </row>
    <row r="5936" spans="1:5">
      <c r="A5936" s="11">
        <v>42782</v>
      </c>
      <c r="B5936" s="10" t="s">
        <v>12227</v>
      </c>
      <c r="C5936" s="10" t="s">
        <v>12228</v>
      </c>
      <c r="D5936" s="11">
        <v>42782.708460648151</v>
      </c>
      <c r="E5936" s="10" t="s">
        <v>193</v>
      </c>
    </row>
    <row r="5937" spans="1:5">
      <c r="A5937" s="11">
        <v>42782</v>
      </c>
      <c r="B5937" s="10" t="s">
        <v>12229</v>
      </c>
      <c r="C5937" s="10" t="s">
        <v>12230</v>
      </c>
      <c r="D5937" s="11">
        <v>42782.708472222221</v>
      </c>
      <c r="E5937" s="10" t="s">
        <v>237</v>
      </c>
    </row>
    <row r="5938" spans="1:5">
      <c r="A5938" s="11">
        <v>42782</v>
      </c>
      <c r="B5938" s="10" t="s">
        <v>12231</v>
      </c>
      <c r="C5938" s="10" t="s">
        <v>12232</v>
      </c>
      <c r="D5938" s="11">
        <v>42782.708680555559</v>
      </c>
      <c r="E5938" s="10" t="s">
        <v>433</v>
      </c>
    </row>
    <row r="5939" spans="1:5">
      <c r="A5939" s="11">
        <v>42782</v>
      </c>
      <c r="B5939" s="10" t="s">
        <v>12233</v>
      </c>
      <c r="C5939" s="10" t="s">
        <v>12234</v>
      </c>
      <c r="D5939" s="11">
        <v>42782.699259259258</v>
      </c>
      <c r="E5939" s="10" t="s">
        <v>190</v>
      </c>
    </row>
    <row r="5940" spans="1:5">
      <c r="A5940" s="11">
        <v>42782</v>
      </c>
      <c r="B5940" s="10" t="s">
        <v>12235</v>
      </c>
      <c r="C5940" s="10" t="s">
        <v>12236</v>
      </c>
      <c r="D5940" s="11">
        <v>42782.686979166669</v>
      </c>
      <c r="E5940" s="10" t="s">
        <v>122</v>
      </c>
    </row>
    <row r="5941" spans="1:5">
      <c r="A5941" s="11">
        <v>42782</v>
      </c>
      <c r="B5941" s="10" t="s">
        <v>12237</v>
      </c>
      <c r="C5941" s="10" t="s">
        <v>12238</v>
      </c>
      <c r="D5941" s="11">
        <v>42782.685729166667</v>
      </c>
      <c r="E5941" s="10" t="s">
        <v>237</v>
      </c>
    </row>
    <row r="5942" spans="1:5">
      <c r="A5942" s="11">
        <v>42782</v>
      </c>
      <c r="B5942" s="10" t="s">
        <v>12239</v>
      </c>
      <c r="C5942" s="10" t="s">
        <v>12240</v>
      </c>
      <c r="D5942" s="11">
        <v>42782.708738425928</v>
      </c>
      <c r="E5942" s="10" t="s">
        <v>4898</v>
      </c>
    </row>
    <row r="5943" spans="1:5">
      <c r="A5943" s="11">
        <v>42782</v>
      </c>
      <c r="B5943" s="10" t="s">
        <v>12241</v>
      </c>
      <c r="C5943" s="10" t="s">
        <v>12242</v>
      </c>
      <c r="D5943" s="11">
        <v>42782.708796296298</v>
      </c>
      <c r="E5943" s="10" t="s">
        <v>433</v>
      </c>
    </row>
    <row r="5944" spans="1:5">
      <c r="A5944" s="11">
        <v>42782</v>
      </c>
      <c r="B5944" s="10" t="s">
        <v>12243</v>
      </c>
      <c r="C5944" s="10" t="s">
        <v>12244</v>
      </c>
      <c r="D5944" s="11">
        <v>42782.693437499998</v>
      </c>
      <c r="E5944" s="10" t="s">
        <v>193</v>
      </c>
    </row>
    <row r="5945" spans="1:5">
      <c r="A5945" s="11">
        <v>42782</v>
      </c>
      <c r="B5945" s="10" t="s">
        <v>12245</v>
      </c>
      <c r="C5945" s="10" t="s">
        <v>12246</v>
      </c>
      <c r="D5945" s="11">
        <v>42782.707685185182</v>
      </c>
      <c r="E5945" s="10" t="s">
        <v>193</v>
      </c>
    </row>
    <row r="5946" spans="1:5">
      <c r="A5946" s="11">
        <v>42782</v>
      </c>
      <c r="B5946" s="10" t="s">
        <v>12247</v>
      </c>
      <c r="C5946" s="10" t="s">
        <v>12248</v>
      </c>
      <c r="D5946" s="11">
        <v>42782.691516203704</v>
      </c>
      <c r="E5946" s="10" t="s">
        <v>193</v>
      </c>
    </row>
    <row r="5947" spans="1:5">
      <c r="A5947" s="11">
        <v>42782</v>
      </c>
      <c r="B5947" s="10" t="s">
        <v>12249</v>
      </c>
      <c r="C5947" s="10" t="s">
        <v>12250</v>
      </c>
      <c r="D5947" s="11">
        <v>42782.703460648147</v>
      </c>
      <c r="E5947" s="10" t="s">
        <v>2180</v>
      </c>
    </row>
    <row r="5948" spans="1:5">
      <c r="A5948" s="11">
        <v>42782</v>
      </c>
      <c r="B5948" s="10" t="s">
        <v>12251</v>
      </c>
      <c r="C5948" s="10" t="s">
        <v>12252</v>
      </c>
      <c r="D5948" s="11">
        <v>42782.70890046296</v>
      </c>
      <c r="E5948" s="10" t="s">
        <v>152</v>
      </c>
    </row>
    <row r="5949" spans="1:5">
      <c r="A5949" s="11">
        <v>42782</v>
      </c>
      <c r="B5949" s="10" t="s">
        <v>12253</v>
      </c>
      <c r="C5949" s="10" t="s">
        <v>12254</v>
      </c>
      <c r="D5949" s="11">
        <v>42782.708912037036</v>
      </c>
      <c r="E5949" s="10" t="s">
        <v>707</v>
      </c>
    </row>
    <row r="5950" spans="1:5">
      <c r="A5950" s="11">
        <v>42782</v>
      </c>
      <c r="B5950" s="10" t="s">
        <v>12255</v>
      </c>
      <c r="C5950" s="10" t="s">
        <v>12256</v>
      </c>
      <c r="D5950" s="11">
        <v>42782.708958333336</v>
      </c>
      <c r="E5950" s="10" t="s">
        <v>902</v>
      </c>
    </row>
    <row r="5951" spans="1:5">
      <c r="A5951" s="11">
        <v>42782</v>
      </c>
      <c r="B5951" s="10" t="s">
        <v>12257</v>
      </c>
      <c r="C5951" s="10" t="s">
        <v>12258</v>
      </c>
      <c r="D5951" s="11">
        <v>42782.708993055552</v>
      </c>
      <c r="E5951" s="10" t="s">
        <v>433</v>
      </c>
    </row>
    <row r="5952" spans="1:5">
      <c r="A5952" s="11">
        <v>42782</v>
      </c>
      <c r="B5952" s="10" t="s">
        <v>12259</v>
      </c>
      <c r="C5952" s="10" t="s">
        <v>12260</v>
      </c>
      <c r="D5952" s="11">
        <v>42782.709004629629</v>
      </c>
      <c r="E5952" s="10" t="s">
        <v>707</v>
      </c>
    </row>
    <row r="5953" spans="1:5">
      <c r="A5953" s="11">
        <v>42782</v>
      </c>
      <c r="B5953" s="10" t="s">
        <v>12261</v>
      </c>
      <c r="C5953" s="10" t="s">
        <v>12262</v>
      </c>
      <c r="D5953" s="11">
        <v>42782.709027777775</v>
      </c>
      <c r="E5953" s="10" t="s">
        <v>218</v>
      </c>
    </row>
    <row r="5954" spans="1:5">
      <c r="A5954" s="11">
        <v>42782</v>
      </c>
      <c r="B5954" s="10" t="s">
        <v>12263</v>
      </c>
      <c r="C5954" s="10" t="s">
        <v>12264</v>
      </c>
      <c r="D5954" s="11">
        <v>42782.709062499998</v>
      </c>
      <c r="E5954" s="10" t="s">
        <v>292</v>
      </c>
    </row>
    <row r="5955" spans="1:5">
      <c r="A5955" s="11">
        <v>42782</v>
      </c>
      <c r="B5955" s="10" t="s">
        <v>12265</v>
      </c>
      <c r="C5955" s="10" t="s">
        <v>12266</v>
      </c>
      <c r="D5955" s="11">
        <v>42782.70584490741</v>
      </c>
      <c r="E5955" s="10" t="s">
        <v>237</v>
      </c>
    </row>
    <row r="5956" spans="1:5">
      <c r="A5956" s="11">
        <v>42782</v>
      </c>
      <c r="B5956" s="10" t="s">
        <v>12267</v>
      </c>
      <c r="C5956" s="10" t="s">
        <v>12268</v>
      </c>
      <c r="D5956" s="11">
        <v>42782.695706018516</v>
      </c>
      <c r="E5956" s="10" t="s">
        <v>96</v>
      </c>
    </row>
    <row r="5957" spans="1:5">
      <c r="A5957" s="11">
        <v>42782</v>
      </c>
      <c r="B5957" s="10" t="s">
        <v>12269</v>
      </c>
      <c r="C5957" s="10" t="s">
        <v>12270</v>
      </c>
      <c r="D5957" s="11">
        <v>42782.707395833335</v>
      </c>
      <c r="E5957" s="10" t="s">
        <v>6178</v>
      </c>
    </row>
    <row r="5958" spans="1:5">
      <c r="A5958" s="11">
        <v>42782</v>
      </c>
      <c r="B5958" s="10" t="s">
        <v>12271</v>
      </c>
      <c r="C5958" s="10" t="s">
        <v>12272</v>
      </c>
      <c r="D5958" s="11">
        <v>42782.691446759258</v>
      </c>
      <c r="E5958" s="10" t="s">
        <v>122</v>
      </c>
    </row>
    <row r="5959" spans="1:5">
      <c r="A5959" s="11">
        <v>42782</v>
      </c>
      <c r="B5959" s="10" t="s">
        <v>12273</v>
      </c>
      <c r="C5959" s="10" t="s">
        <v>12274</v>
      </c>
      <c r="D5959" s="11">
        <v>42782.697418981479</v>
      </c>
      <c r="E5959" s="10" t="s">
        <v>193</v>
      </c>
    </row>
    <row r="5960" spans="1:5">
      <c r="A5960" s="11">
        <v>42782</v>
      </c>
      <c r="B5960" s="10" t="s">
        <v>12275</v>
      </c>
      <c r="C5960" s="10" t="s">
        <v>12276</v>
      </c>
      <c r="D5960" s="11">
        <v>42782.709247685183</v>
      </c>
      <c r="E5960" s="10" t="s">
        <v>193</v>
      </c>
    </row>
    <row r="5961" spans="1:5">
      <c r="A5961" s="11">
        <v>42782</v>
      </c>
      <c r="B5961" s="10" t="s">
        <v>12277</v>
      </c>
      <c r="C5961" s="10" t="s">
        <v>12278</v>
      </c>
      <c r="D5961" s="11">
        <v>42782.707997685182</v>
      </c>
      <c r="E5961" s="10" t="s">
        <v>218</v>
      </c>
    </row>
    <row r="5962" spans="1:5">
      <c r="A5962" s="11">
        <v>42782</v>
      </c>
      <c r="B5962" s="10" t="s">
        <v>12279</v>
      </c>
      <c r="C5962" s="10" t="s">
        <v>12280</v>
      </c>
      <c r="D5962" s="11">
        <v>42782.709201388891</v>
      </c>
      <c r="E5962" s="10" t="s">
        <v>977</v>
      </c>
    </row>
    <row r="5963" spans="1:5">
      <c r="A5963" s="11">
        <v>42782</v>
      </c>
      <c r="B5963" s="10" t="s">
        <v>12281</v>
      </c>
      <c r="C5963" s="10" t="s">
        <v>12282</v>
      </c>
      <c r="D5963" s="11">
        <v>42782.705821759257</v>
      </c>
      <c r="E5963" s="10" t="s">
        <v>2912</v>
      </c>
    </row>
    <row r="5964" spans="1:5">
      <c r="A5964" s="11">
        <v>42782</v>
      </c>
      <c r="B5964" s="10" t="s">
        <v>12283</v>
      </c>
      <c r="C5964" s="10" t="s">
        <v>12284</v>
      </c>
      <c r="D5964" s="11">
        <v>42782.709340277775</v>
      </c>
      <c r="E5964" s="10" t="s">
        <v>152</v>
      </c>
    </row>
    <row r="5965" spans="1:5">
      <c r="A5965" s="11">
        <v>42782</v>
      </c>
      <c r="B5965" s="10" t="s">
        <v>12285</v>
      </c>
      <c r="C5965" s="10" t="s">
        <v>12286</v>
      </c>
      <c r="D5965" s="11">
        <v>42782.709386574075</v>
      </c>
      <c r="E5965" s="10" t="s">
        <v>422</v>
      </c>
    </row>
    <row r="5966" spans="1:5">
      <c r="A5966" s="11">
        <v>42782</v>
      </c>
      <c r="B5966" s="10" t="s">
        <v>12287</v>
      </c>
      <c r="C5966" s="10" t="s">
        <v>12288</v>
      </c>
      <c r="D5966" s="11">
        <v>42782.709421296298</v>
      </c>
      <c r="E5966" s="10" t="s">
        <v>2554</v>
      </c>
    </row>
    <row r="5967" spans="1:5">
      <c r="A5967" s="11">
        <v>42782</v>
      </c>
      <c r="B5967" s="10" t="s">
        <v>12289</v>
      </c>
      <c r="C5967" s="10" t="s">
        <v>12290</v>
      </c>
      <c r="D5967" s="11">
        <v>42782.685335648152</v>
      </c>
      <c r="E5967" s="10" t="s">
        <v>96</v>
      </c>
    </row>
    <row r="5968" spans="1:5">
      <c r="A5968" s="11">
        <v>42782</v>
      </c>
      <c r="B5968" s="10" t="s">
        <v>12291</v>
      </c>
      <c r="C5968" s="10" t="s">
        <v>12292</v>
      </c>
      <c r="D5968" s="11">
        <v>42782.709444444445</v>
      </c>
      <c r="E5968" s="10" t="s">
        <v>4865</v>
      </c>
    </row>
    <row r="5969" spans="1:5">
      <c r="A5969" s="11">
        <v>42782</v>
      </c>
      <c r="B5969" s="10" t="s">
        <v>12293</v>
      </c>
      <c r="C5969" s="10" t="s">
        <v>12294</v>
      </c>
      <c r="D5969" s="11">
        <v>42782.709467592591</v>
      </c>
      <c r="E5969" s="10" t="s">
        <v>178</v>
      </c>
    </row>
    <row r="5970" spans="1:5">
      <c r="A5970" s="11">
        <v>42782</v>
      </c>
      <c r="B5970" s="10" t="s">
        <v>12295</v>
      </c>
      <c r="C5970" s="10" t="s">
        <v>12296</v>
      </c>
      <c r="D5970" s="11">
        <v>42782.709189814814</v>
      </c>
      <c r="E5970" s="10" t="s">
        <v>4898</v>
      </c>
    </row>
    <row r="5971" spans="1:5">
      <c r="A5971" s="11">
        <v>42782</v>
      </c>
      <c r="B5971" s="10" t="s">
        <v>12297</v>
      </c>
      <c r="C5971" s="10" t="s">
        <v>12298</v>
      </c>
      <c r="D5971" s="11">
        <v>42782.70952546296</v>
      </c>
      <c r="E5971" s="10" t="s">
        <v>859</v>
      </c>
    </row>
    <row r="5972" spans="1:5">
      <c r="A5972" s="11">
        <v>42782</v>
      </c>
      <c r="B5972" s="10" t="s">
        <v>12299</v>
      </c>
      <c r="C5972" s="10" t="s">
        <v>12300</v>
      </c>
      <c r="D5972" s="11">
        <v>42782.709537037037</v>
      </c>
      <c r="E5972" s="10" t="s">
        <v>152</v>
      </c>
    </row>
    <row r="5973" spans="1:5">
      <c r="A5973" s="11">
        <v>42782</v>
      </c>
      <c r="B5973" s="10" t="s">
        <v>12301</v>
      </c>
      <c r="C5973" s="10" t="s">
        <v>12302</v>
      </c>
      <c r="D5973" s="11">
        <v>42782.709560185183</v>
      </c>
      <c r="E5973" s="10" t="s">
        <v>99</v>
      </c>
    </row>
    <row r="5974" spans="1:5">
      <c r="A5974" s="11">
        <v>42782</v>
      </c>
      <c r="B5974" s="10" t="s">
        <v>12303</v>
      </c>
      <c r="C5974" s="10" t="s">
        <v>12304</v>
      </c>
      <c r="D5974" s="11">
        <v>42782.70652777778</v>
      </c>
      <c r="E5974" s="10" t="s">
        <v>2538</v>
      </c>
    </row>
    <row r="5975" spans="1:5">
      <c r="A5975" s="11">
        <v>42782</v>
      </c>
      <c r="B5975" s="10" t="s">
        <v>12305</v>
      </c>
      <c r="C5975" s="10" t="s">
        <v>12306</v>
      </c>
      <c r="D5975" s="11">
        <v>42782.70008101852</v>
      </c>
      <c r="E5975" s="10" t="s">
        <v>482</v>
      </c>
    </row>
    <row r="5976" spans="1:5">
      <c r="A5976" s="11">
        <v>42782</v>
      </c>
      <c r="B5976" s="10" t="s">
        <v>12307</v>
      </c>
      <c r="C5976" s="10" t="s">
        <v>12308</v>
      </c>
      <c r="D5976" s="11">
        <v>42782.709699074076</v>
      </c>
      <c r="E5976" s="10" t="s">
        <v>5650</v>
      </c>
    </row>
    <row r="5977" spans="1:5">
      <c r="A5977" s="11">
        <v>42782</v>
      </c>
      <c r="B5977" s="10" t="s">
        <v>12309</v>
      </c>
      <c r="C5977" s="10" t="s">
        <v>12310</v>
      </c>
      <c r="D5977" s="11">
        <v>42782.709710648145</v>
      </c>
      <c r="E5977" s="10" t="s">
        <v>625</v>
      </c>
    </row>
    <row r="5978" spans="1:5">
      <c r="A5978" s="11">
        <v>42782</v>
      </c>
      <c r="B5978" s="10" t="s">
        <v>12311</v>
      </c>
      <c r="C5978" s="10" t="s">
        <v>12312</v>
      </c>
      <c r="D5978" s="11">
        <v>42782.709733796299</v>
      </c>
      <c r="E5978" s="10" t="s">
        <v>2554</v>
      </c>
    </row>
    <row r="5979" spans="1:5">
      <c r="A5979" s="11">
        <v>42782</v>
      </c>
      <c r="B5979" s="10" t="s">
        <v>12313</v>
      </c>
      <c r="C5979" s="10" t="s">
        <v>12314</v>
      </c>
      <c r="D5979" s="11">
        <v>42782.705185185187</v>
      </c>
      <c r="E5979" s="10" t="s">
        <v>2995</v>
      </c>
    </row>
    <row r="5980" spans="1:5">
      <c r="A5980" s="11">
        <v>42782</v>
      </c>
      <c r="B5980" s="10" t="s">
        <v>12315</v>
      </c>
      <c r="C5980" s="10" t="s">
        <v>12316</v>
      </c>
      <c r="D5980" s="11">
        <v>42782.709780092591</v>
      </c>
      <c r="E5980" s="10" t="s">
        <v>433</v>
      </c>
    </row>
    <row r="5981" spans="1:5">
      <c r="A5981" s="11">
        <v>42782</v>
      </c>
      <c r="B5981" s="10" t="s">
        <v>12317</v>
      </c>
      <c r="C5981" s="10" t="s">
        <v>12318</v>
      </c>
      <c r="D5981" s="11">
        <v>42782.707314814812</v>
      </c>
      <c r="E5981" s="10" t="s">
        <v>433</v>
      </c>
    </row>
    <row r="5982" spans="1:5">
      <c r="A5982" s="11">
        <v>42782</v>
      </c>
      <c r="B5982" s="10" t="s">
        <v>12319</v>
      </c>
      <c r="C5982" s="10" t="s">
        <v>12320</v>
      </c>
      <c r="D5982" s="11">
        <v>42782.709861111114</v>
      </c>
      <c r="E5982" s="10" t="s">
        <v>237</v>
      </c>
    </row>
    <row r="5983" spans="1:5">
      <c r="A5983" s="11">
        <v>42782</v>
      </c>
      <c r="B5983" s="10" t="s">
        <v>12321</v>
      </c>
      <c r="C5983" s="10" t="s">
        <v>12322</v>
      </c>
      <c r="D5983" s="11">
        <v>42782.709872685184</v>
      </c>
      <c r="E5983" s="10" t="s">
        <v>99</v>
      </c>
    </row>
    <row r="5984" spans="1:5">
      <c r="A5984" s="11">
        <v>42782</v>
      </c>
      <c r="B5984" s="10" t="s">
        <v>12323</v>
      </c>
      <c r="C5984" s="10" t="s">
        <v>12324</v>
      </c>
      <c r="D5984" s="11">
        <v>42782.69798611111</v>
      </c>
      <c r="E5984" s="10" t="s">
        <v>433</v>
      </c>
    </row>
    <row r="5985" spans="1:5">
      <c r="A5985" s="11">
        <v>42782</v>
      </c>
      <c r="B5985" s="10" t="s">
        <v>12325</v>
      </c>
      <c r="C5985" s="10" t="s">
        <v>12326</v>
      </c>
      <c r="D5985" s="11">
        <v>42782.70988425926</v>
      </c>
      <c r="E5985" s="10" t="s">
        <v>977</v>
      </c>
    </row>
    <row r="5986" spans="1:5">
      <c r="A5986" s="11">
        <v>42782</v>
      </c>
      <c r="B5986" s="10" t="s">
        <v>12327</v>
      </c>
      <c r="C5986" s="10" t="s">
        <v>12328</v>
      </c>
      <c r="D5986" s="11">
        <v>42782.70989583333</v>
      </c>
      <c r="E5986" s="10" t="s">
        <v>2234</v>
      </c>
    </row>
    <row r="5987" spans="1:5">
      <c r="A5987" s="11">
        <v>42782</v>
      </c>
      <c r="B5987" s="10" t="s">
        <v>12329</v>
      </c>
      <c r="C5987" s="10" t="s">
        <v>12330</v>
      </c>
      <c r="D5987" s="11">
        <v>42782.670266203706</v>
      </c>
      <c r="E5987" s="10" t="s">
        <v>12331</v>
      </c>
    </row>
    <row r="5988" spans="1:5">
      <c r="A5988" s="11">
        <v>42782</v>
      </c>
      <c r="B5988" s="10" t="s">
        <v>12332</v>
      </c>
      <c r="C5988" s="10" t="s">
        <v>12333</v>
      </c>
      <c r="D5988" s="11">
        <v>42782.707037037035</v>
      </c>
      <c r="E5988" s="10" t="s">
        <v>966</v>
      </c>
    </row>
    <row r="5989" spans="1:5">
      <c r="A5989" s="11">
        <v>42782</v>
      </c>
      <c r="B5989" s="10" t="s">
        <v>12334</v>
      </c>
      <c r="C5989" s="10" t="s">
        <v>12335</v>
      </c>
      <c r="D5989" s="11">
        <v>42782.708032407405</v>
      </c>
      <c r="E5989" s="10" t="s">
        <v>433</v>
      </c>
    </row>
    <row r="5990" spans="1:5">
      <c r="A5990" s="11">
        <v>42782</v>
      </c>
      <c r="B5990" s="10" t="s">
        <v>12336</v>
      </c>
      <c r="C5990" s="10" t="s">
        <v>12337</v>
      </c>
      <c r="D5990" s="11">
        <v>42782.709976851853</v>
      </c>
      <c r="E5990" s="10" t="s">
        <v>152</v>
      </c>
    </row>
    <row r="5991" spans="1:5">
      <c r="A5991" s="11">
        <v>42782</v>
      </c>
      <c r="B5991" s="10" t="s">
        <v>12338</v>
      </c>
      <c r="C5991" s="10" t="s">
        <v>12339</v>
      </c>
      <c r="D5991" s="11">
        <v>42782.71</v>
      </c>
      <c r="E5991" s="10" t="s">
        <v>237</v>
      </c>
    </row>
    <row r="5992" spans="1:5">
      <c r="A5992" s="11">
        <v>42782</v>
      </c>
      <c r="B5992" s="10" t="s">
        <v>12340</v>
      </c>
      <c r="C5992" s="10" t="s">
        <v>12341</v>
      </c>
      <c r="D5992" s="11">
        <v>42782.697083333333</v>
      </c>
      <c r="E5992" s="10" t="s">
        <v>96</v>
      </c>
    </row>
    <row r="5993" spans="1:5">
      <c r="A5993" s="11">
        <v>42782</v>
      </c>
      <c r="B5993" s="10" t="s">
        <v>12342</v>
      </c>
      <c r="C5993" s="10" t="s">
        <v>12343</v>
      </c>
      <c r="D5993" s="11">
        <v>42782.702094907407</v>
      </c>
      <c r="E5993" s="10" t="s">
        <v>237</v>
      </c>
    </row>
    <row r="5994" spans="1:5">
      <c r="A5994" s="11">
        <v>42782</v>
      </c>
      <c r="B5994" s="10" t="s">
        <v>12344</v>
      </c>
      <c r="C5994" s="10" t="s">
        <v>12345</v>
      </c>
      <c r="D5994" s="11">
        <v>42782.70721064815</v>
      </c>
      <c r="E5994" s="10" t="s">
        <v>422</v>
      </c>
    </row>
    <row r="5995" spans="1:5">
      <c r="A5995" s="11">
        <v>42782</v>
      </c>
      <c r="B5995" s="10" t="s">
        <v>12346</v>
      </c>
      <c r="C5995" s="10" t="s">
        <v>12347</v>
      </c>
      <c r="D5995" s="11">
        <v>42782.708611111113</v>
      </c>
      <c r="E5995" s="10" t="s">
        <v>152</v>
      </c>
    </row>
    <row r="5996" spans="1:5">
      <c r="A5996" s="11">
        <v>42782</v>
      </c>
      <c r="B5996" s="10" t="s">
        <v>12348</v>
      </c>
      <c r="C5996" s="10" t="s">
        <v>12349</v>
      </c>
      <c r="D5996" s="11">
        <v>42782.710138888891</v>
      </c>
      <c r="E5996" s="10" t="s">
        <v>2234</v>
      </c>
    </row>
    <row r="5997" spans="1:5">
      <c r="A5997" s="11">
        <v>42782</v>
      </c>
      <c r="B5997" s="10" t="s">
        <v>12350</v>
      </c>
      <c r="C5997" s="10" t="s">
        <v>12351</v>
      </c>
      <c r="D5997" s="11">
        <v>42782.685370370367</v>
      </c>
      <c r="E5997" s="10" t="s">
        <v>373</v>
      </c>
    </row>
    <row r="5998" spans="1:5">
      <c r="A5998" s="11">
        <v>42782</v>
      </c>
      <c r="B5998" s="10" t="s">
        <v>12352</v>
      </c>
      <c r="C5998" s="10" t="s">
        <v>12353</v>
      </c>
      <c r="D5998" s="11">
        <v>42782.707245370373</v>
      </c>
      <c r="E5998" s="10" t="s">
        <v>1319</v>
      </c>
    </row>
    <row r="5999" spans="1:5">
      <c r="A5999" s="11">
        <v>42782</v>
      </c>
      <c r="B5999" s="10" t="s">
        <v>12354</v>
      </c>
      <c r="C5999" s="10" t="s">
        <v>12355</v>
      </c>
      <c r="D5999" s="11">
        <v>42782.710173611114</v>
      </c>
      <c r="E5999" s="10" t="s">
        <v>433</v>
      </c>
    </row>
    <row r="6000" spans="1:5">
      <c r="A6000" s="11">
        <v>42782</v>
      </c>
      <c r="B6000" s="10" t="s">
        <v>12356</v>
      </c>
      <c r="C6000" s="10" t="s">
        <v>12357</v>
      </c>
      <c r="D6000" s="11">
        <v>42782.710185185184</v>
      </c>
      <c r="E6000" s="10" t="s">
        <v>237</v>
      </c>
    </row>
    <row r="6001" spans="1:5">
      <c r="A6001" s="11">
        <v>42782</v>
      </c>
      <c r="B6001" s="10" t="s">
        <v>12358</v>
      </c>
      <c r="C6001" s="10" t="s">
        <v>12359</v>
      </c>
      <c r="D6001" s="11">
        <v>42782.679120370369</v>
      </c>
      <c r="E6001" s="10" t="s">
        <v>240</v>
      </c>
    </row>
    <row r="6002" spans="1:5">
      <c r="A6002" s="11">
        <v>42782</v>
      </c>
      <c r="B6002" s="10" t="s">
        <v>12360</v>
      </c>
      <c r="C6002" s="10" t="s">
        <v>12361</v>
      </c>
      <c r="D6002" s="11">
        <v>42782.710196759261</v>
      </c>
      <c r="E6002" s="10" t="s">
        <v>479</v>
      </c>
    </row>
    <row r="6003" spans="1:5">
      <c r="A6003" s="11">
        <v>42782</v>
      </c>
      <c r="B6003" s="10" t="s">
        <v>12362</v>
      </c>
      <c r="C6003" s="10" t="s">
        <v>12363</v>
      </c>
      <c r="D6003" s="11">
        <v>42782.707488425927</v>
      </c>
      <c r="E6003" s="10" t="s">
        <v>193</v>
      </c>
    </row>
    <row r="6004" spans="1:5">
      <c r="A6004" s="11">
        <v>42782</v>
      </c>
      <c r="B6004" s="10" t="s">
        <v>12364</v>
      </c>
      <c r="C6004" s="10" t="s">
        <v>12365</v>
      </c>
      <c r="D6004" s="11">
        <v>42782.71020833333</v>
      </c>
      <c r="E6004" s="10" t="s">
        <v>209</v>
      </c>
    </row>
    <row r="6005" spans="1:5">
      <c r="A6005" s="11">
        <v>42782</v>
      </c>
      <c r="B6005" s="10" t="s">
        <v>12366</v>
      </c>
      <c r="C6005" s="10" t="s">
        <v>12367</v>
      </c>
      <c r="D6005" s="11">
        <v>42782.708993055552</v>
      </c>
      <c r="E6005" s="10" t="s">
        <v>3997</v>
      </c>
    </row>
    <row r="6006" spans="1:5">
      <c r="A6006" s="11">
        <v>42782</v>
      </c>
      <c r="B6006" s="10" t="s">
        <v>12368</v>
      </c>
      <c r="C6006" s="10" t="s">
        <v>12369</v>
      </c>
      <c r="D6006" s="11">
        <v>42782.710289351853</v>
      </c>
      <c r="E6006" s="10" t="s">
        <v>320</v>
      </c>
    </row>
    <row r="6007" spans="1:5">
      <c r="A6007" s="11">
        <v>42782</v>
      </c>
      <c r="B6007" s="10" t="s">
        <v>12370</v>
      </c>
      <c r="C6007" s="10" t="s">
        <v>12371</v>
      </c>
      <c r="D6007" s="11">
        <v>42782.709780092591</v>
      </c>
      <c r="E6007" s="10" t="s">
        <v>2865</v>
      </c>
    </row>
    <row r="6008" spans="1:5">
      <c r="A6008" s="11">
        <v>42782</v>
      </c>
      <c r="B6008" s="10" t="s">
        <v>12372</v>
      </c>
      <c r="C6008" s="10" t="s">
        <v>12373</v>
      </c>
      <c r="D6008" s="11">
        <v>42782.705555555556</v>
      </c>
      <c r="E6008" s="10" t="s">
        <v>152</v>
      </c>
    </row>
    <row r="6009" spans="1:5">
      <c r="A6009" s="11">
        <v>42782</v>
      </c>
      <c r="B6009" s="10" t="s">
        <v>12374</v>
      </c>
      <c r="C6009" s="10" t="s">
        <v>12375</v>
      </c>
      <c r="D6009" s="11">
        <v>42782.697569444441</v>
      </c>
      <c r="E6009" s="10" t="s">
        <v>193</v>
      </c>
    </row>
    <row r="6010" spans="1:5">
      <c r="A6010" s="11">
        <v>42782</v>
      </c>
      <c r="B6010" s="10" t="s">
        <v>12376</v>
      </c>
      <c r="C6010" s="10" t="s">
        <v>12377</v>
      </c>
      <c r="D6010" s="11">
        <v>42782.710358796299</v>
      </c>
      <c r="E6010" s="10" t="s">
        <v>433</v>
      </c>
    </row>
    <row r="6011" spans="1:5">
      <c r="A6011" s="11">
        <v>42782</v>
      </c>
      <c r="B6011" s="10" t="s">
        <v>12378</v>
      </c>
      <c r="C6011" s="10" t="s">
        <v>12379</v>
      </c>
      <c r="D6011" s="11">
        <v>42782.706250000003</v>
      </c>
      <c r="E6011" s="10" t="s">
        <v>1103</v>
      </c>
    </row>
    <row r="6012" spans="1:5">
      <c r="A6012" s="11">
        <v>42782</v>
      </c>
      <c r="B6012" s="10" t="s">
        <v>12380</v>
      </c>
      <c r="C6012" s="10" t="s">
        <v>12381</v>
      </c>
      <c r="D6012" s="11">
        <v>42782.710416666669</v>
      </c>
      <c r="E6012" s="10" t="s">
        <v>237</v>
      </c>
    </row>
    <row r="6013" spans="1:5">
      <c r="A6013" s="11">
        <v>42782</v>
      </c>
      <c r="B6013" s="10" t="s">
        <v>12382</v>
      </c>
      <c r="C6013" s="10" t="s">
        <v>12383</v>
      </c>
      <c r="D6013" s="11">
        <v>42782.696006944447</v>
      </c>
      <c r="E6013" s="10" t="s">
        <v>433</v>
      </c>
    </row>
    <row r="6014" spans="1:5">
      <c r="A6014" s="11">
        <v>42782</v>
      </c>
      <c r="B6014" s="10" t="s">
        <v>12384</v>
      </c>
      <c r="C6014" s="10" t="s">
        <v>12385</v>
      </c>
      <c r="D6014" s="11">
        <v>42782.706597222219</v>
      </c>
      <c r="E6014" s="10" t="s">
        <v>122</v>
      </c>
    </row>
    <row r="6015" spans="1:5">
      <c r="A6015" s="11">
        <v>42782</v>
      </c>
      <c r="B6015" s="10" t="s">
        <v>12386</v>
      </c>
      <c r="C6015" s="10" t="s">
        <v>12387</v>
      </c>
      <c r="D6015" s="11">
        <v>42782.710173611114</v>
      </c>
      <c r="E6015" s="10" t="s">
        <v>2865</v>
      </c>
    </row>
    <row r="6016" spans="1:5">
      <c r="A6016" s="11">
        <v>42782</v>
      </c>
      <c r="B6016" s="10" t="s">
        <v>12388</v>
      </c>
      <c r="C6016" s="10" t="s">
        <v>12389</v>
      </c>
      <c r="D6016" s="11">
        <v>42782.710451388892</v>
      </c>
      <c r="E6016" s="10" t="s">
        <v>380</v>
      </c>
    </row>
    <row r="6017" spans="1:5">
      <c r="A6017" s="11">
        <v>42782</v>
      </c>
      <c r="B6017" s="10" t="s">
        <v>12390</v>
      </c>
      <c r="C6017" s="10" t="s">
        <v>12391</v>
      </c>
      <c r="D6017" s="11">
        <v>42782.707939814813</v>
      </c>
      <c r="E6017" s="10" t="s">
        <v>96</v>
      </c>
    </row>
    <row r="6018" spans="1:5">
      <c r="A6018" s="11">
        <v>42782</v>
      </c>
      <c r="B6018" s="10" t="s">
        <v>12392</v>
      </c>
      <c r="C6018" s="10" t="s">
        <v>12393</v>
      </c>
      <c r="D6018" s="11">
        <v>42782.708356481482</v>
      </c>
      <c r="E6018" s="10" t="s">
        <v>99</v>
      </c>
    </row>
    <row r="6019" spans="1:5">
      <c r="A6019" s="11">
        <v>42782</v>
      </c>
      <c r="B6019" s="10" t="s">
        <v>12394</v>
      </c>
      <c r="C6019" s="10" t="s">
        <v>12395</v>
      </c>
      <c r="D6019" s="11">
        <v>42782.681087962963</v>
      </c>
      <c r="E6019" s="10" t="s">
        <v>152</v>
      </c>
    </row>
    <row r="6020" spans="1:5">
      <c r="A6020" s="11">
        <v>42782</v>
      </c>
      <c r="B6020" s="10" t="s">
        <v>12396</v>
      </c>
      <c r="C6020" s="10" t="s">
        <v>12397</v>
      </c>
      <c r="D6020" s="11">
        <v>42782.710486111115</v>
      </c>
      <c r="E6020" s="10" t="s">
        <v>380</v>
      </c>
    </row>
    <row r="6021" spans="1:5">
      <c r="A6021" s="11">
        <v>42782</v>
      </c>
      <c r="B6021" s="10" t="s">
        <v>12398</v>
      </c>
      <c r="C6021" s="10" t="s">
        <v>12399</v>
      </c>
      <c r="D6021" s="11">
        <v>42782.708784722221</v>
      </c>
      <c r="E6021" s="10" t="s">
        <v>193</v>
      </c>
    </row>
    <row r="6022" spans="1:5">
      <c r="A6022" s="11">
        <v>42782</v>
      </c>
      <c r="B6022" s="10" t="s">
        <v>12400</v>
      </c>
      <c r="C6022" s="10" t="s">
        <v>12401</v>
      </c>
      <c r="D6022" s="11">
        <v>42782.710520833331</v>
      </c>
      <c r="E6022" s="10" t="s">
        <v>122</v>
      </c>
    </row>
    <row r="6023" spans="1:5">
      <c r="A6023" s="11">
        <v>42782</v>
      </c>
      <c r="B6023" s="10" t="s">
        <v>12402</v>
      </c>
      <c r="C6023" s="10" t="s">
        <v>12403</v>
      </c>
      <c r="D6023" s="11">
        <v>42782.700462962966</v>
      </c>
      <c r="E6023" s="10" t="s">
        <v>2180</v>
      </c>
    </row>
    <row r="6024" spans="1:5">
      <c r="A6024" s="11">
        <v>42782</v>
      </c>
      <c r="B6024" s="10" t="s">
        <v>12404</v>
      </c>
      <c r="C6024" s="10" t="s">
        <v>12405</v>
      </c>
      <c r="D6024" s="11">
        <v>42782.707962962966</v>
      </c>
      <c r="E6024" s="10" t="s">
        <v>96</v>
      </c>
    </row>
    <row r="6025" spans="1:5">
      <c r="A6025" s="11">
        <v>42782</v>
      </c>
      <c r="B6025" s="10" t="s">
        <v>12406</v>
      </c>
      <c r="C6025" s="10" t="s">
        <v>12407</v>
      </c>
      <c r="D6025" s="11">
        <v>42782.694374999999</v>
      </c>
      <c r="E6025" s="10" t="s">
        <v>305</v>
      </c>
    </row>
    <row r="6026" spans="1:5">
      <c r="A6026" s="11">
        <v>42782</v>
      </c>
      <c r="B6026" s="10" t="s">
        <v>12408</v>
      </c>
      <c r="C6026" s="10" t="s">
        <v>12409</v>
      </c>
      <c r="D6026" s="11">
        <v>42782.710509259261</v>
      </c>
      <c r="E6026" s="10" t="s">
        <v>707</v>
      </c>
    </row>
    <row r="6027" spans="1:5">
      <c r="A6027" s="11">
        <v>42782</v>
      </c>
      <c r="B6027" s="10" t="s">
        <v>12410</v>
      </c>
      <c r="C6027" s="10" t="s">
        <v>12411</v>
      </c>
      <c r="D6027" s="11">
        <v>42782.70957175926</v>
      </c>
      <c r="E6027" s="10" t="s">
        <v>1319</v>
      </c>
    </row>
    <row r="6028" spans="1:5">
      <c r="A6028" s="11">
        <v>42782</v>
      </c>
      <c r="B6028" s="10" t="s">
        <v>12412</v>
      </c>
      <c r="C6028" s="10" t="s">
        <v>12413</v>
      </c>
      <c r="D6028" s="11">
        <v>42782.710601851853</v>
      </c>
      <c r="E6028" s="10" t="s">
        <v>122</v>
      </c>
    </row>
    <row r="6029" spans="1:5">
      <c r="A6029" s="11">
        <v>42782</v>
      </c>
      <c r="B6029" s="10" t="s">
        <v>12414</v>
      </c>
      <c r="C6029" s="10" t="s">
        <v>12415</v>
      </c>
      <c r="D6029" s="11">
        <v>42782.680069444446</v>
      </c>
      <c r="E6029" s="10" t="s">
        <v>122</v>
      </c>
    </row>
    <row r="6030" spans="1:5">
      <c r="A6030" s="11">
        <v>42782</v>
      </c>
      <c r="B6030" s="10" t="s">
        <v>12416</v>
      </c>
      <c r="C6030" s="10" t="s">
        <v>12417</v>
      </c>
      <c r="D6030" s="11">
        <v>42782.698067129626</v>
      </c>
      <c r="E6030" s="10" t="s">
        <v>380</v>
      </c>
    </row>
    <row r="6031" spans="1:5">
      <c r="A6031" s="11">
        <v>42782</v>
      </c>
      <c r="B6031" s="10" t="s">
        <v>12418</v>
      </c>
      <c r="C6031" s="10" t="s">
        <v>12419</v>
      </c>
      <c r="D6031" s="11">
        <v>42782.703414351854</v>
      </c>
      <c r="E6031" s="10" t="s">
        <v>380</v>
      </c>
    </row>
    <row r="6032" spans="1:5">
      <c r="A6032" s="11">
        <v>42782</v>
      </c>
      <c r="B6032" s="10" t="s">
        <v>12420</v>
      </c>
      <c r="C6032" s="10" t="s">
        <v>12421</v>
      </c>
      <c r="D6032" s="11">
        <v>42782.710775462961</v>
      </c>
      <c r="E6032" s="10" t="s">
        <v>707</v>
      </c>
    </row>
    <row r="6033" spans="1:5">
      <c r="A6033" s="11">
        <v>42782</v>
      </c>
      <c r="B6033" s="10" t="s">
        <v>12422</v>
      </c>
      <c r="C6033" s="10" t="s">
        <v>12423</v>
      </c>
      <c r="D6033" s="11">
        <v>42782.710775462961</v>
      </c>
      <c r="E6033" s="10" t="s">
        <v>465</v>
      </c>
    </row>
    <row r="6034" spans="1:5">
      <c r="A6034" s="11">
        <v>42782</v>
      </c>
      <c r="B6034" s="10" t="s">
        <v>12424</v>
      </c>
      <c r="C6034" s="10" t="s">
        <v>12425</v>
      </c>
      <c r="D6034" s="11">
        <v>42782.709074074075</v>
      </c>
      <c r="E6034" s="10" t="s">
        <v>96</v>
      </c>
    </row>
    <row r="6035" spans="1:5">
      <c r="A6035" s="11">
        <v>42782</v>
      </c>
      <c r="B6035" s="10" t="s">
        <v>12426</v>
      </c>
      <c r="C6035" s="10" t="s">
        <v>12427</v>
      </c>
      <c r="D6035" s="11">
        <v>42782.709062499998</v>
      </c>
      <c r="E6035" s="10" t="s">
        <v>683</v>
      </c>
    </row>
    <row r="6036" spans="1:5">
      <c r="A6036" s="11">
        <v>42782</v>
      </c>
      <c r="B6036" s="10" t="s">
        <v>12428</v>
      </c>
      <c r="C6036" s="10" t="s">
        <v>12429</v>
      </c>
      <c r="D6036" s="11">
        <v>42782.710821759261</v>
      </c>
      <c r="E6036" s="10" t="s">
        <v>5026</v>
      </c>
    </row>
    <row r="6037" spans="1:5">
      <c r="A6037" s="11">
        <v>42782</v>
      </c>
      <c r="B6037" s="10" t="s">
        <v>12430</v>
      </c>
      <c r="C6037" s="10" t="s">
        <v>12431</v>
      </c>
      <c r="D6037" s="11">
        <v>42782.677881944444</v>
      </c>
      <c r="E6037" s="10" t="s">
        <v>2995</v>
      </c>
    </row>
    <row r="6038" spans="1:5">
      <c r="A6038" s="11">
        <v>42782</v>
      </c>
      <c r="B6038" s="10" t="s">
        <v>12432</v>
      </c>
      <c r="C6038" s="10" t="s">
        <v>12433</v>
      </c>
      <c r="D6038" s="11">
        <v>42782.697199074071</v>
      </c>
      <c r="E6038" s="10" t="s">
        <v>193</v>
      </c>
    </row>
    <row r="6039" spans="1:5">
      <c r="A6039" s="11">
        <v>42782</v>
      </c>
      <c r="B6039" s="10" t="s">
        <v>12434</v>
      </c>
      <c r="C6039" s="10" t="s">
        <v>12435</v>
      </c>
      <c r="D6039" s="11">
        <v>42782.704733796294</v>
      </c>
      <c r="E6039" s="10" t="s">
        <v>2086</v>
      </c>
    </row>
    <row r="6040" spans="1:5">
      <c r="A6040" s="11">
        <v>42782</v>
      </c>
      <c r="B6040" s="10" t="s">
        <v>12436</v>
      </c>
      <c r="C6040" s="10" t="s">
        <v>12437</v>
      </c>
      <c r="D6040" s="11">
        <v>42782.695138888892</v>
      </c>
      <c r="E6040" s="10" t="s">
        <v>707</v>
      </c>
    </row>
    <row r="6041" spans="1:5">
      <c r="A6041" s="11">
        <v>42782</v>
      </c>
      <c r="B6041" s="10" t="s">
        <v>12438</v>
      </c>
      <c r="C6041" s="10" t="s">
        <v>12439</v>
      </c>
      <c r="D6041" s="11">
        <v>42782.710659722223</v>
      </c>
      <c r="E6041" s="10" t="s">
        <v>152</v>
      </c>
    </row>
    <row r="6042" spans="1:5">
      <c r="A6042" s="11">
        <v>42782</v>
      </c>
      <c r="B6042" s="10" t="s">
        <v>12440</v>
      </c>
      <c r="C6042" s="10" t="s">
        <v>12441</v>
      </c>
      <c r="D6042" s="11">
        <v>42782.7108912037</v>
      </c>
      <c r="E6042" s="10" t="s">
        <v>193</v>
      </c>
    </row>
    <row r="6043" spans="1:5">
      <c r="A6043" s="11">
        <v>42782</v>
      </c>
      <c r="B6043" s="10" t="s">
        <v>12442</v>
      </c>
      <c r="C6043" s="10" t="s">
        <v>12443</v>
      </c>
      <c r="D6043" s="11">
        <v>42782.710902777777</v>
      </c>
      <c r="E6043" s="10" t="s">
        <v>237</v>
      </c>
    </row>
    <row r="6044" spans="1:5">
      <c r="A6044" s="11">
        <v>42782</v>
      </c>
      <c r="B6044" s="10" t="s">
        <v>12444</v>
      </c>
      <c r="C6044" s="10" t="s">
        <v>12445</v>
      </c>
      <c r="D6044" s="11">
        <v>42782.709247685183</v>
      </c>
      <c r="E6044" s="10" t="s">
        <v>433</v>
      </c>
    </row>
    <row r="6045" spans="1:5">
      <c r="A6045" s="11">
        <v>42782</v>
      </c>
      <c r="B6045" s="10" t="s">
        <v>12446</v>
      </c>
      <c r="C6045" s="10" t="s">
        <v>12447</v>
      </c>
      <c r="D6045" s="11">
        <v>42782.692743055559</v>
      </c>
      <c r="E6045" s="10" t="s">
        <v>152</v>
      </c>
    </row>
    <row r="6046" spans="1:5">
      <c r="A6046" s="11">
        <v>42782</v>
      </c>
      <c r="B6046" s="10" t="s">
        <v>12448</v>
      </c>
      <c r="C6046" s="10" t="s">
        <v>12449</v>
      </c>
      <c r="D6046" s="11">
        <v>42782.673483796294</v>
      </c>
      <c r="E6046" s="10" t="s">
        <v>433</v>
      </c>
    </row>
    <row r="6047" spans="1:5">
      <c r="A6047" s="11">
        <v>42782</v>
      </c>
      <c r="B6047" s="10" t="s">
        <v>12450</v>
      </c>
      <c r="C6047" s="10" t="s">
        <v>12451</v>
      </c>
      <c r="D6047" s="11">
        <v>42782.710995370369</v>
      </c>
      <c r="E6047" s="10" t="s">
        <v>122</v>
      </c>
    </row>
    <row r="6048" spans="1:5">
      <c r="A6048" s="11">
        <v>42782</v>
      </c>
      <c r="B6048" s="10" t="s">
        <v>12452</v>
      </c>
      <c r="C6048" s="10" t="s">
        <v>12453</v>
      </c>
      <c r="D6048" s="11">
        <v>42782.710995370369</v>
      </c>
      <c r="E6048" s="10" t="s">
        <v>380</v>
      </c>
    </row>
    <row r="6049" spans="1:5">
      <c r="A6049" s="11">
        <v>42782</v>
      </c>
      <c r="B6049" s="10" t="s">
        <v>12454</v>
      </c>
      <c r="C6049" s="10" t="s">
        <v>12455</v>
      </c>
      <c r="D6049" s="11">
        <v>42782.698611111111</v>
      </c>
      <c r="E6049" s="10" t="s">
        <v>105</v>
      </c>
    </row>
    <row r="6050" spans="1:5">
      <c r="A6050" s="11">
        <v>42782</v>
      </c>
      <c r="B6050" s="10" t="s">
        <v>12456</v>
      </c>
      <c r="C6050" s="10" t="s">
        <v>12457</v>
      </c>
      <c r="D6050" s="11">
        <v>42782.704837962963</v>
      </c>
      <c r="E6050" s="10" t="s">
        <v>3570</v>
      </c>
    </row>
    <row r="6051" spans="1:5">
      <c r="A6051" s="11">
        <v>42782</v>
      </c>
      <c r="B6051" s="10" t="s">
        <v>12458</v>
      </c>
      <c r="C6051" s="10" t="s">
        <v>12459</v>
      </c>
      <c r="D6051" s="11">
        <v>42782.711006944446</v>
      </c>
      <c r="E6051" s="10" t="s">
        <v>178</v>
      </c>
    </row>
    <row r="6052" spans="1:5">
      <c r="A6052" s="11">
        <v>42782</v>
      </c>
      <c r="B6052" s="10" t="s">
        <v>12460</v>
      </c>
      <c r="C6052" s="10" t="s">
        <v>12461</v>
      </c>
      <c r="D6052" s="11">
        <v>42782.711018518516</v>
      </c>
      <c r="E6052" s="10" t="s">
        <v>193</v>
      </c>
    </row>
    <row r="6053" spans="1:5">
      <c r="A6053" s="11">
        <v>42782</v>
      </c>
      <c r="B6053" s="10" t="s">
        <v>12462</v>
      </c>
      <c r="C6053" s="10" t="s">
        <v>12463</v>
      </c>
      <c r="D6053" s="11">
        <v>42782.692754629628</v>
      </c>
      <c r="E6053" s="10" t="s">
        <v>152</v>
      </c>
    </row>
    <row r="6054" spans="1:5">
      <c r="A6054" s="11">
        <v>42782</v>
      </c>
      <c r="B6054" s="10" t="s">
        <v>12464</v>
      </c>
      <c r="C6054" s="10" t="s">
        <v>12465</v>
      </c>
      <c r="D6054" s="11">
        <v>42782.7028587963</v>
      </c>
      <c r="E6054" s="10" t="s">
        <v>902</v>
      </c>
    </row>
    <row r="6055" spans="1:5">
      <c r="A6055" s="11">
        <v>42782</v>
      </c>
      <c r="B6055" s="10" t="s">
        <v>12466</v>
      </c>
      <c r="C6055" s="10" t="s">
        <v>12467</v>
      </c>
      <c r="D6055" s="11">
        <v>42782.711076388892</v>
      </c>
      <c r="E6055" s="10" t="s">
        <v>966</v>
      </c>
    </row>
    <row r="6056" spans="1:5">
      <c r="A6056" s="11">
        <v>42782</v>
      </c>
      <c r="B6056" s="10" t="s">
        <v>12468</v>
      </c>
      <c r="C6056" s="10" t="s">
        <v>12469</v>
      </c>
      <c r="D6056" s="11">
        <v>42782.701550925929</v>
      </c>
      <c r="E6056" s="10" t="s">
        <v>433</v>
      </c>
    </row>
    <row r="6057" spans="1:5">
      <c r="A6057" s="11">
        <v>42782</v>
      </c>
      <c r="B6057" s="10" t="s">
        <v>12470</v>
      </c>
      <c r="C6057" s="10" t="s">
        <v>12471</v>
      </c>
      <c r="D6057" s="11">
        <v>42782.711087962962</v>
      </c>
      <c r="E6057" s="10" t="s">
        <v>1319</v>
      </c>
    </row>
    <row r="6058" spans="1:5">
      <c r="A6058" s="11">
        <v>42782</v>
      </c>
      <c r="B6058" s="10" t="s">
        <v>12472</v>
      </c>
      <c r="C6058" s="10" t="s">
        <v>12473</v>
      </c>
      <c r="D6058" s="11">
        <v>42782.708738425928</v>
      </c>
      <c r="E6058" s="10" t="s">
        <v>625</v>
      </c>
    </row>
    <row r="6059" spans="1:5">
      <c r="A6059" s="11">
        <v>42346</v>
      </c>
      <c r="B6059" s="10" t="s">
        <v>12474</v>
      </c>
      <c r="C6059" s="10" t="s">
        <v>12475</v>
      </c>
      <c r="D6059" s="11">
        <v>42442.489363425928</v>
      </c>
      <c r="E6059" s="10" t="s">
        <v>308</v>
      </c>
    </row>
    <row r="6060" spans="1:5" ht="21.6">
      <c r="A6060" s="11">
        <v>42353</v>
      </c>
      <c r="B6060" s="10" t="s">
        <v>12476</v>
      </c>
      <c r="C6060" s="10" t="s">
        <v>12477</v>
      </c>
      <c r="D6060" s="11">
        <v>42441.556157407409</v>
      </c>
      <c r="E6060" s="10" t="s">
        <v>447</v>
      </c>
    </row>
    <row r="6061" spans="1:5">
      <c r="A6061" s="11">
        <v>42411</v>
      </c>
      <c r="B6061" s="10" t="s">
        <v>12478</v>
      </c>
      <c r="C6061" s="10" t="s">
        <v>12479</v>
      </c>
      <c r="D6061" s="11">
        <v>42443.492534722223</v>
      </c>
      <c r="E6061" s="10" t="s">
        <v>1205</v>
      </c>
    </row>
    <row r="6062" spans="1:5">
      <c r="A6062" s="11">
        <v>42418</v>
      </c>
      <c r="B6062" s="10" t="s">
        <v>12480</v>
      </c>
      <c r="C6062" s="10" t="s">
        <v>12481</v>
      </c>
      <c r="D6062" s="11">
        <v>42439.41846064815</v>
      </c>
      <c r="E6062" s="10" t="s">
        <v>472</v>
      </c>
    </row>
    <row r="6063" spans="1:5">
      <c r="A6063" s="11">
        <v>42427</v>
      </c>
      <c r="B6063" s="10" t="s">
        <v>12482</v>
      </c>
      <c r="C6063" s="10" t="s">
        <v>12483</v>
      </c>
      <c r="D6063" s="11">
        <v>42442.377581018518</v>
      </c>
      <c r="E6063" s="10" t="s">
        <v>683</v>
      </c>
    </row>
    <row r="6064" spans="1:5" ht="21.6">
      <c r="A6064" s="11">
        <v>42440</v>
      </c>
      <c r="B6064" s="10" t="s">
        <v>12484</v>
      </c>
      <c r="C6064" s="10" t="s">
        <v>12485</v>
      </c>
      <c r="D6064" s="11">
        <v>42440.970937500002</v>
      </c>
      <c r="E6064" s="10" t="s">
        <v>146</v>
      </c>
    </row>
    <row r="6065" spans="1:5" ht="21.6">
      <c r="A6065" s="11">
        <v>42442</v>
      </c>
      <c r="B6065" s="10" t="s">
        <v>12486</v>
      </c>
      <c r="C6065" s="10" t="s">
        <v>12487</v>
      </c>
      <c r="D6065" s="11">
        <v>42442.824513888889</v>
      </c>
      <c r="E6065" s="10" t="s">
        <v>1015</v>
      </c>
    </row>
    <row r="6066" spans="1:5">
      <c r="A6066" s="11">
        <v>42435</v>
      </c>
      <c r="B6066" s="10" t="s">
        <v>12488</v>
      </c>
      <c r="C6066" s="10" t="s">
        <v>12489</v>
      </c>
      <c r="D6066" s="11">
        <v>42442.474178240744</v>
      </c>
      <c r="E6066" s="10" t="s">
        <v>12490</v>
      </c>
    </row>
    <row r="6067" spans="1:5">
      <c r="A6067" s="11">
        <v>42781</v>
      </c>
      <c r="B6067" s="10" t="s">
        <v>12491</v>
      </c>
      <c r="C6067" s="10" t="s">
        <v>12492</v>
      </c>
      <c r="D6067" s="11">
        <v>42781.676168981481</v>
      </c>
      <c r="E6067" s="10" t="s">
        <v>1361</v>
      </c>
    </row>
    <row r="6068" spans="1:5">
      <c r="A6068" s="11">
        <v>42781</v>
      </c>
      <c r="B6068" s="10" t="s">
        <v>12493</v>
      </c>
      <c r="C6068" s="10" t="s">
        <v>12494</v>
      </c>
      <c r="D6068" s="11">
        <v>42781.930914351855</v>
      </c>
      <c r="E6068" s="10" t="s">
        <v>1361</v>
      </c>
    </row>
    <row r="6069" spans="1:5">
      <c r="A6069" s="11">
        <v>42782</v>
      </c>
      <c r="B6069" s="10" t="s">
        <v>12495</v>
      </c>
      <c r="C6069" s="10" t="s">
        <v>12496</v>
      </c>
      <c r="D6069" s="11">
        <v>42782.643865740742</v>
      </c>
      <c r="E6069" s="10" t="s">
        <v>2538</v>
      </c>
    </row>
    <row r="6070" spans="1:5">
      <c r="A6070" s="11">
        <v>42782</v>
      </c>
      <c r="B6070" s="10" t="s">
        <v>12497</v>
      </c>
      <c r="C6070" s="10" t="s">
        <v>12498</v>
      </c>
      <c r="D6070" s="11">
        <v>42782.617037037038</v>
      </c>
      <c r="E6070" s="10" t="s">
        <v>138</v>
      </c>
    </row>
    <row r="6071" spans="1:5">
      <c r="A6071" s="11">
        <v>42782</v>
      </c>
      <c r="B6071" s="10" t="s">
        <v>12499</v>
      </c>
      <c r="C6071" s="10" t="s">
        <v>12500</v>
      </c>
      <c r="D6071" s="11">
        <v>42782.662789351853</v>
      </c>
      <c r="E6071" s="10" t="s">
        <v>859</v>
      </c>
    </row>
    <row r="6072" spans="1:5">
      <c r="A6072" s="11">
        <v>42782</v>
      </c>
      <c r="B6072" s="10" t="s">
        <v>12501</v>
      </c>
      <c r="C6072" s="10" t="s">
        <v>12502</v>
      </c>
      <c r="D6072" s="11">
        <v>42782.675243055557</v>
      </c>
      <c r="E6072" s="10" t="s">
        <v>5387</v>
      </c>
    </row>
    <row r="6073" spans="1:5">
      <c r="A6073" s="11">
        <v>42782</v>
      </c>
      <c r="B6073" s="10" t="s">
        <v>12503</v>
      </c>
      <c r="C6073" s="10" t="s">
        <v>12504</v>
      </c>
      <c r="D6073" s="11">
        <v>42782.673483796294</v>
      </c>
      <c r="E6073" s="10" t="s">
        <v>130</v>
      </c>
    </row>
    <row r="6074" spans="1:5">
      <c r="A6074" s="11">
        <v>42441</v>
      </c>
      <c r="B6074" s="10" t="s">
        <v>12505</v>
      </c>
      <c r="C6074" s="10" t="s">
        <v>12506</v>
      </c>
      <c r="D6074" s="11">
        <v>42441.424722222226</v>
      </c>
      <c r="E6074" s="10" t="s">
        <v>653</v>
      </c>
    </row>
    <row r="6075" spans="1:5">
      <c r="A6075" s="11">
        <v>42430</v>
      </c>
      <c r="B6075" s="10" t="s">
        <v>12507</v>
      </c>
      <c r="C6075" s="10" t="s">
        <v>12508</v>
      </c>
      <c r="D6075" s="11">
        <v>42430.711504629631</v>
      </c>
      <c r="E6075" s="10" t="s">
        <v>117</v>
      </c>
    </row>
    <row r="6076" spans="1:5">
      <c r="A6076" s="11">
        <v>42338</v>
      </c>
      <c r="B6076" s="10" t="s">
        <v>12509</v>
      </c>
      <c r="C6076" s="10" t="s">
        <v>12510</v>
      </c>
      <c r="D6076" s="11">
        <v>42443.43513888889</v>
      </c>
      <c r="E6076" s="10" t="s">
        <v>472</v>
      </c>
    </row>
    <row r="6077" spans="1:5">
      <c r="A6077" s="11">
        <v>42339</v>
      </c>
      <c r="B6077" s="10" t="s">
        <v>12511</v>
      </c>
      <c r="C6077" s="10" t="s">
        <v>12512</v>
      </c>
      <c r="D6077" s="11">
        <v>42441.662187499998</v>
      </c>
      <c r="E6077" s="10" t="s">
        <v>3314</v>
      </c>
    </row>
    <row r="6078" spans="1:5">
      <c r="A6078" s="11">
        <v>42359</v>
      </c>
      <c r="B6078" s="10" t="s">
        <v>12513</v>
      </c>
      <c r="C6078" s="10" t="s">
        <v>12514</v>
      </c>
      <c r="D6078" s="11">
        <v>42443.437835648147</v>
      </c>
      <c r="E6078" s="10" t="s">
        <v>373</v>
      </c>
    </row>
    <row r="6079" spans="1:5" ht="21.6">
      <c r="A6079" s="11">
        <v>42363</v>
      </c>
      <c r="B6079" s="10" t="s">
        <v>12515</v>
      </c>
      <c r="C6079" s="10" t="s">
        <v>12516</v>
      </c>
      <c r="D6079" s="11">
        <v>42443.483136574076</v>
      </c>
      <c r="E6079" s="10" t="s">
        <v>165</v>
      </c>
    </row>
    <row r="6080" spans="1:5">
      <c r="A6080" s="11">
        <v>42379</v>
      </c>
      <c r="B6080" s="10" t="s">
        <v>12517</v>
      </c>
      <c r="C6080" s="10" t="s">
        <v>12518</v>
      </c>
      <c r="D6080" s="11">
        <v>42439.603541666664</v>
      </c>
      <c r="E6080" s="10" t="s">
        <v>966</v>
      </c>
    </row>
    <row r="6081" spans="1:5">
      <c r="A6081" s="11">
        <v>42379</v>
      </c>
      <c r="B6081" s="10" t="s">
        <v>12519</v>
      </c>
      <c r="C6081" s="10" t="s">
        <v>12520</v>
      </c>
      <c r="D6081" s="11">
        <v>42436.558587962965</v>
      </c>
      <c r="E6081" s="10" t="s">
        <v>613</v>
      </c>
    </row>
    <row r="6082" spans="1:5">
      <c r="A6082" s="11">
        <v>42386</v>
      </c>
      <c r="B6082" s="10" t="s">
        <v>12521</v>
      </c>
      <c r="C6082" s="10" t="s">
        <v>12522</v>
      </c>
      <c r="D6082" s="11">
        <v>42443.440023148149</v>
      </c>
      <c r="E6082" s="10" t="s">
        <v>656</v>
      </c>
    </row>
    <row r="6083" spans="1:5">
      <c r="A6083" s="11">
        <v>42392</v>
      </c>
      <c r="B6083" s="10" t="s">
        <v>12523</v>
      </c>
      <c r="C6083" s="10" t="s">
        <v>12524</v>
      </c>
      <c r="D6083" s="11">
        <v>42436.475046296298</v>
      </c>
      <c r="E6083" s="10" t="s">
        <v>373</v>
      </c>
    </row>
    <row r="6084" spans="1:5">
      <c r="A6084" s="11">
        <v>42403</v>
      </c>
      <c r="B6084" s="10" t="s">
        <v>12525</v>
      </c>
      <c r="C6084" s="10" t="s">
        <v>12526</v>
      </c>
      <c r="D6084" s="11">
        <v>42443.399513888886</v>
      </c>
      <c r="E6084" s="10" t="s">
        <v>373</v>
      </c>
    </row>
    <row r="6085" spans="1:5">
      <c r="A6085" s="11">
        <v>42418</v>
      </c>
      <c r="B6085" s="10" t="s">
        <v>12527</v>
      </c>
      <c r="C6085" s="10" t="s">
        <v>12528</v>
      </c>
      <c r="D6085" s="11">
        <v>42443.477442129632</v>
      </c>
      <c r="E6085" s="10" t="s">
        <v>1680</v>
      </c>
    </row>
    <row r="6086" spans="1:5">
      <c r="A6086" s="11">
        <v>42420</v>
      </c>
      <c r="B6086" s="10" t="s">
        <v>12529</v>
      </c>
      <c r="C6086" s="10" t="s">
        <v>12530</v>
      </c>
      <c r="D6086" s="11">
        <v>42437.442430555559</v>
      </c>
      <c r="E6086" s="10" t="s">
        <v>373</v>
      </c>
    </row>
    <row r="6087" spans="1:5">
      <c r="A6087" s="11">
        <v>42423</v>
      </c>
      <c r="B6087" s="10" t="s">
        <v>12531</v>
      </c>
      <c r="C6087" s="10" t="s">
        <v>12532</v>
      </c>
      <c r="D6087" s="11">
        <v>42440.698217592595</v>
      </c>
      <c r="E6087" s="10" t="s">
        <v>240</v>
      </c>
    </row>
    <row r="6088" spans="1:5">
      <c r="A6088" s="11">
        <v>42424</v>
      </c>
      <c r="B6088" s="10" t="s">
        <v>12533</v>
      </c>
      <c r="C6088" s="10" t="s">
        <v>12534</v>
      </c>
      <c r="D6088" s="11">
        <v>42440.528067129628</v>
      </c>
      <c r="E6088" s="10" t="s">
        <v>365</v>
      </c>
    </row>
    <row r="6089" spans="1:5">
      <c r="A6089" s="11">
        <v>42424</v>
      </c>
      <c r="B6089" s="10" t="s">
        <v>12535</v>
      </c>
      <c r="C6089" s="10" t="s">
        <v>12536</v>
      </c>
      <c r="D6089" s="11">
        <v>42442.868437500001</v>
      </c>
      <c r="E6089" s="10" t="s">
        <v>373</v>
      </c>
    </row>
    <row r="6090" spans="1:5">
      <c r="A6090" s="11">
        <v>42425</v>
      </c>
      <c r="B6090" s="10" t="s">
        <v>12537</v>
      </c>
      <c r="C6090" s="10" t="s">
        <v>12538</v>
      </c>
      <c r="D6090" s="11">
        <v>42443.499583333331</v>
      </c>
      <c r="E6090" s="10" t="s">
        <v>656</v>
      </c>
    </row>
    <row r="6091" spans="1:5">
      <c r="A6091" s="11">
        <v>42428</v>
      </c>
      <c r="B6091" s="10" t="s">
        <v>12539</v>
      </c>
      <c r="C6091" s="10" t="s">
        <v>12540</v>
      </c>
      <c r="D6091" s="11">
        <v>42443.500243055554</v>
      </c>
      <c r="E6091" s="10" t="s">
        <v>656</v>
      </c>
    </row>
    <row r="6092" spans="1:5">
      <c r="A6092" s="11">
        <v>42429</v>
      </c>
      <c r="B6092" s="10" t="s">
        <v>12541</v>
      </c>
      <c r="C6092" s="10" t="s">
        <v>12542</v>
      </c>
      <c r="D6092" s="11">
        <v>42443.488749999997</v>
      </c>
      <c r="E6092" s="10" t="s">
        <v>218</v>
      </c>
    </row>
    <row r="6093" spans="1:5">
      <c r="A6093" s="11">
        <v>42430</v>
      </c>
      <c r="B6093" s="10" t="s">
        <v>12543</v>
      </c>
      <c r="C6093" s="10" t="s">
        <v>12544</v>
      </c>
      <c r="D6093" s="11">
        <v>42439.442430555559</v>
      </c>
      <c r="E6093" s="10" t="s">
        <v>2322</v>
      </c>
    </row>
    <row r="6094" spans="1:5">
      <c r="A6094" s="11">
        <v>42430</v>
      </c>
      <c r="B6094" s="10" t="s">
        <v>12545</v>
      </c>
      <c r="C6094" s="10" t="s">
        <v>12546</v>
      </c>
      <c r="D6094" s="11">
        <v>42430.377152777779</v>
      </c>
      <c r="E6094" s="10" t="s">
        <v>373</v>
      </c>
    </row>
    <row r="6095" spans="1:5">
      <c r="A6095" s="11">
        <v>42430</v>
      </c>
      <c r="B6095" s="10" t="s">
        <v>12547</v>
      </c>
      <c r="C6095" s="10" t="s">
        <v>12548</v>
      </c>
      <c r="D6095" s="11">
        <v>42443.37804398148</v>
      </c>
      <c r="E6095" s="10" t="s">
        <v>373</v>
      </c>
    </row>
    <row r="6096" spans="1:5">
      <c r="A6096" s="11">
        <v>42430</v>
      </c>
      <c r="B6096" s="10" t="s">
        <v>12549</v>
      </c>
      <c r="C6096" s="10" t="s">
        <v>12550</v>
      </c>
      <c r="D6096" s="11">
        <v>42439.392939814818</v>
      </c>
      <c r="E6096" s="10" t="s">
        <v>240</v>
      </c>
    </row>
    <row r="6097" spans="1:5">
      <c r="A6097" s="11">
        <v>42430</v>
      </c>
      <c r="B6097" s="10" t="s">
        <v>12551</v>
      </c>
      <c r="C6097" s="10" t="s">
        <v>12552</v>
      </c>
      <c r="D6097" s="11">
        <v>42443.386435185188</v>
      </c>
      <c r="E6097" s="10" t="s">
        <v>373</v>
      </c>
    </row>
    <row r="6098" spans="1:5">
      <c r="A6098" s="11">
        <v>42430</v>
      </c>
      <c r="B6098" s="10" t="s">
        <v>12553</v>
      </c>
      <c r="C6098" s="10" t="s">
        <v>12554</v>
      </c>
      <c r="D6098" s="11">
        <v>42443.493726851855</v>
      </c>
      <c r="E6098" s="10" t="s">
        <v>365</v>
      </c>
    </row>
    <row r="6099" spans="1:5">
      <c r="A6099" s="11">
        <v>42431</v>
      </c>
      <c r="B6099" s="10" t="s">
        <v>12555</v>
      </c>
      <c r="C6099" s="10" t="s">
        <v>12556</v>
      </c>
      <c r="D6099" s="11">
        <v>42442.053900462961</v>
      </c>
      <c r="E6099" s="10" t="s">
        <v>373</v>
      </c>
    </row>
    <row r="6100" spans="1:5">
      <c r="A6100" s="11">
        <v>42432</v>
      </c>
      <c r="B6100" s="10" t="s">
        <v>12557</v>
      </c>
      <c r="C6100" s="10" t="s">
        <v>12558</v>
      </c>
      <c r="D6100" s="11">
        <v>42440.793402777781</v>
      </c>
      <c r="E6100" s="10" t="s">
        <v>373</v>
      </c>
    </row>
    <row r="6101" spans="1:5">
      <c r="A6101" s="11">
        <v>42435</v>
      </c>
      <c r="B6101" s="10" t="s">
        <v>12559</v>
      </c>
      <c r="C6101" s="10" t="s">
        <v>12560</v>
      </c>
      <c r="D6101" s="11">
        <v>42443.471666666665</v>
      </c>
      <c r="E6101" s="10" t="s">
        <v>335</v>
      </c>
    </row>
    <row r="6102" spans="1:5">
      <c r="A6102" s="11">
        <v>42435</v>
      </c>
      <c r="B6102" s="10" t="s">
        <v>12561</v>
      </c>
      <c r="C6102" s="10" t="s">
        <v>12562</v>
      </c>
      <c r="D6102" s="11">
        <v>42443.473726851851</v>
      </c>
      <c r="E6102" s="10" t="s">
        <v>335</v>
      </c>
    </row>
    <row r="6103" spans="1:5" ht="21.6">
      <c r="A6103" s="11">
        <v>42435</v>
      </c>
      <c r="B6103" s="10" t="s">
        <v>12563</v>
      </c>
      <c r="C6103" s="10" t="s">
        <v>12564</v>
      </c>
      <c r="D6103" s="11">
        <v>42436.659537037034</v>
      </c>
      <c r="E6103" s="10" t="s">
        <v>499</v>
      </c>
    </row>
    <row r="6104" spans="1:5">
      <c r="A6104" s="11">
        <v>42436</v>
      </c>
      <c r="B6104" s="10" t="s">
        <v>12565</v>
      </c>
      <c r="C6104" s="10" t="s">
        <v>12566</v>
      </c>
      <c r="D6104" s="11">
        <v>42443.476643518516</v>
      </c>
      <c r="E6104" s="10" t="s">
        <v>472</v>
      </c>
    </row>
    <row r="6105" spans="1:5">
      <c r="A6105" s="11">
        <v>42436</v>
      </c>
      <c r="B6105" s="10" t="s">
        <v>12567</v>
      </c>
      <c r="C6105" s="10" t="s">
        <v>12568</v>
      </c>
      <c r="D6105" s="11">
        <v>42443.46503472222</v>
      </c>
      <c r="E6105" s="10" t="s">
        <v>373</v>
      </c>
    </row>
    <row r="6106" spans="1:5">
      <c r="A6106" s="11">
        <v>42436</v>
      </c>
      <c r="B6106" s="10" t="s">
        <v>12569</v>
      </c>
      <c r="C6106" s="10" t="s">
        <v>12570</v>
      </c>
      <c r="D6106" s="11">
        <v>42443.443055555559</v>
      </c>
      <c r="E6106" s="10" t="s">
        <v>433</v>
      </c>
    </row>
    <row r="6107" spans="1:5">
      <c r="A6107" s="11">
        <v>42437</v>
      </c>
      <c r="B6107" s="10" t="s">
        <v>12571</v>
      </c>
      <c r="C6107" s="10" t="s">
        <v>12572</v>
      </c>
      <c r="D6107" s="11">
        <v>42443.360706018517</v>
      </c>
      <c r="E6107" s="10" t="s">
        <v>305</v>
      </c>
    </row>
    <row r="6108" spans="1:5">
      <c r="A6108" s="11">
        <v>42437</v>
      </c>
      <c r="B6108" s="10" t="s">
        <v>12573</v>
      </c>
      <c r="C6108" s="10" t="s">
        <v>12574</v>
      </c>
      <c r="D6108" s="11">
        <v>42443.369780092595</v>
      </c>
      <c r="E6108" s="10" t="s">
        <v>373</v>
      </c>
    </row>
    <row r="6109" spans="1:5">
      <c r="A6109" s="11">
        <v>42437</v>
      </c>
      <c r="B6109" s="10" t="s">
        <v>12575</v>
      </c>
      <c r="C6109" s="10" t="s">
        <v>12576</v>
      </c>
      <c r="D6109" s="11">
        <v>42443.500625000001</v>
      </c>
      <c r="E6109" s="10" t="s">
        <v>373</v>
      </c>
    </row>
    <row r="6110" spans="1:5">
      <c r="A6110" s="11">
        <v>42437</v>
      </c>
      <c r="B6110" s="10" t="s">
        <v>12577</v>
      </c>
      <c r="C6110" s="10" t="s">
        <v>12578</v>
      </c>
      <c r="D6110" s="11">
        <v>42443.35361111111</v>
      </c>
      <c r="E6110" s="10" t="s">
        <v>335</v>
      </c>
    </row>
    <row r="6111" spans="1:5">
      <c r="A6111" s="11">
        <v>42437</v>
      </c>
      <c r="B6111" s="10" t="s">
        <v>12579</v>
      </c>
      <c r="C6111" s="10" t="s">
        <v>12580</v>
      </c>
      <c r="D6111" s="11">
        <v>42443.488344907404</v>
      </c>
      <c r="E6111" s="10" t="s">
        <v>365</v>
      </c>
    </row>
    <row r="6112" spans="1:5">
      <c r="A6112" s="11">
        <v>42438</v>
      </c>
      <c r="B6112" s="10" t="s">
        <v>12581</v>
      </c>
      <c r="C6112" s="10" t="s">
        <v>12582</v>
      </c>
      <c r="D6112" s="11">
        <v>42443.459594907406</v>
      </c>
      <c r="E6112" s="10" t="s">
        <v>365</v>
      </c>
    </row>
    <row r="6113" spans="1:5">
      <c r="A6113" s="11">
        <v>42438</v>
      </c>
      <c r="B6113" s="10" t="s">
        <v>12583</v>
      </c>
      <c r="C6113" s="10" t="s">
        <v>12584</v>
      </c>
      <c r="D6113" s="11">
        <v>42438.427395833336</v>
      </c>
      <c r="E6113" s="10" t="s">
        <v>373</v>
      </c>
    </row>
    <row r="6114" spans="1:5">
      <c r="A6114" s="11">
        <v>42438</v>
      </c>
      <c r="B6114" s="10" t="s">
        <v>12585</v>
      </c>
      <c r="C6114" s="10" t="s">
        <v>12586</v>
      </c>
      <c r="D6114" s="11">
        <v>42440.467650462961</v>
      </c>
      <c r="E6114" s="10" t="s">
        <v>240</v>
      </c>
    </row>
    <row r="6115" spans="1:5">
      <c r="A6115" s="11">
        <v>42438</v>
      </c>
      <c r="B6115" s="10" t="s">
        <v>12587</v>
      </c>
      <c r="C6115" s="10" t="s">
        <v>12588</v>
      </c>
      <c r="D6115" s="11">
        <v>42443.469351851854</v>
      </c>
      <c r="E6115" s="10" t="s">
        <v>335</v>
      </c>
    </row>
    <row r="6116" spans="1:5">
      <c r="A6116" s="11">
        <v>42438</v>
      </c>
      <c r="B6116" s="10" t="s">
        <v>12589</v>
      </c>
      <c r="C6116" s="10" t="s">
        <v>12590</v>
      </c>
      <c r="D6116" s="11">
        <v>42438.623726851853</v>
      </c>
      <c r="E6116" s="10" t="s">
        <v>373</v>
      </c>
    </row>
    <row r="6117" spans="1:5">
      <c r="A6117" s="11">
        <v>42438</v>
      </c>
      <c r="B6117" s="10" t="s">
        <v>12591</v>
      </c>
      <c r="C6117" s="10" t="s">
        <v>12592</v>
      </c>
      <c r="D6117" s="11">
        <v>42443.444594907407</v>
      </c>
      <c r="E6117" s="10" t="s">
        <v>206</v>
      </c>
    </row>
    <row r="6118" spans="1:5">
      <c r="A6118" s="11">
        <v>42438</v>
      </c>
      <c r="B6118" s="10" t="s">
        <v>12593</v>
      </c>
      <c r="C6118" s="10" t="s">
        <v>12594</v>
      </c>
      <c r="D6118" s="11">
        <v>42438.699004629627</v>
      </c>
      <c r="E6118" s="10" t="s">
        <v>373</v>
      </c>
    </row>
    <row r="6119" spans="1:5">
      <c r="A6119" s="11">
        <v>42438</v>
      </c>
      <c r="B6119" s="10" t="s">
        <v>12595</v>
      </c>
      <c r="C6119" s="10" t="s">
        <v>12596</v>
      </c>
      <c r="D6119" s="11">
        <v>42438.741990740738</v>
      </c>
      <c r="E6119" s="10" t="s">
        <v>373</v>
      </c>
    </row>
    <row r="6120" spans="1:5">
      <c r="A6120" s="11">
        <v>42438</v>
      </c>
      <c r="B6120" s="10" t="s">
        <v>12597</v>
      </c>
      <c r="C6120" s="10" t="s">
        <v>12598</v>
      </c>
      <c r="D6120" s="11">
        <v>42438.866724537038</v>
      </c>
      <c r="E6120" s="10" t="s">
        <v>373</v>
      </c>
    </row>
    <row r="6121" spans="1:5">
      <c r="A6121" s="11">
        <v>42439</v>
      </c>
      <c r="B6121" s="10" t="s">
        <v>12599</v>
      </c>
      <c r="C6121" s="10" t="s">
        <v>12600</v>
      </c>
      <c r="D6121" s="11">
        <v>42443.388460648152</v>
      </c>
      <c r="E6121" s="10" t="s">
        <v>305</v>
      </c>
    </row>
    <row r="6122" spans="1:5">
      <c r="A6122" s="11">
        <v>42439</v>
      </c>
      <c r="B6122" s="10" t="s">
        <v>12601</v>
      </c>
      <c r="C6122" s="10" t="s">
        <v>12602</v>
      </c>
      <c r="D6122" s="11">
        <v>42439.486921296295</v>
      </c>
      <c r="E6122" s="10" t="s">
        <v>373</v>
      </c>
    </row>
    <row r="6123" spans="1:5">
      <c r="A6123" s="11">
        <v>42439</v>
      </c>
      <c r="B6123" s="10" t="s">
        <v>12603</v>
      </c>
      <c r="C6123" s="10" t="s">
        <v>12604</v>
      </c>
      <c r="D6123" s="11">
        <v>42443.382986111108</v>
      </c>
      <c r="E6123" s="10" t="s">
        <v>373</v>
      </c>
    </row>
    <row r="6124" spans="1:5">
      <c r="A6124" s="11">
        <v>42439</v>
      </c>
      <c r="B6124" s="10" t="s">
        <v>12605</v>
      </c>
      <c r="C6124" s="10" t="s">
        <v>12606</v>
      </c>
      <c r="D6124" s="11">
        <v>42443.501122685186</v>
      </c>
      <c r="E6124" s="10" t="s">
        <v>335</v>
      </c>
    </row>
    <row r="6125" spans="1:5">
      <c r="A6125" s="11">
        <v>42439</v>
      </c>
      <c r="B6125" s="10" t="s">
        <v>12607</v>
      </c>
      <c r="C6125" s="10" t="s">
        <v>12608</v>
      </c>
      <c r="D6125" s="11">
        <v>42439.627858796295</v>
      </c>
      <c r="E6125" s="10" t="s">
        <v>373</v>
      </c>
    </row>
    <row r="6126" spans="1:5">
      <c r="A6126" s="11">
        <v>42441</v>
      </c>
      <c r="B6126" s="10" t="s">
        <v>12609</v>
      </c>
      <c r="C6126" s="10" t="s">
        <v>12610</v>
      </c>
      <c r="D6126" s="11">
        <v>42443.470717592594</v>
      </c>
      <c r="E6126" s="10" t="s">
        <v>240</v>
      </c>
    </row>
    <row r="6127" spans="1:5" ht="21.6">
      <c r="A6127" s="11">
        <v>42441</v>
      </c>
      <c r="B6127" s="10" t="s">
        <v>12611</v>
      </c>
      <c r="C6127" s="10" t="s">
        <v>12612</v>
      </c>
      <c r="D6127" s="11">
        <v>42441.506481481483</v>
      </c>
      <c r="E6127" s="10" t="s">
        <v>12613</v>
      </c>
    </row>
    <row r="6128" spans="1:5">
      <c r="A6128" s="11">
        <v>42442</v>
      </c>
      <c r="B6128" s="10" t="s">
        <v>12614</v>
      </c>
      <c r="C6128" s="10" t="s">
        <v>12615</v>
      </c>
      <c r="D6128" s="11">
        <v>42443.412164351852</v>
      </c>
      <c r="E6128" s="10" t="s">
        <v>472</v>
      </c>
    </row>
    <row r="6129" spans="1:5">
      <c r="A6129" s="11">
        <v>42442</v>
      </c>
      <c r="B6129" s="10" t="s">
        <v>12616</v>
      </c>
      <c r="C6129" s="10" t="s">
        <v>12617</v>
      </c>
      <c r="D6129" s="11">
        <v>42443.485405092593</v>
      </c>
      <c r="E6129" s="10" t="s">
        <v>305</v>
      </c>
    </row>
    <row r="6130" spans="1:5">
      <c r="A6130" s="11">
        <v>42442</v>
      </c>
      <c r="B6130" s="10" t="s">
        <v>12618</v>
      </c>
      <c r="C6130" s="10" t="s">
        <v>12619</v>
      </c>
      <c r="D6130" s="11">
        <v>42442.929965277777</v>
      </c>
      <c r="E6130" s="10" t="s">
        <v>365</v>
      </c>
    </row>
    <row r="6131" spans="1:5" ht="21.6">
      <c r="A6131" s="11">
        <v>42661</v>
      </c>
      <c r="B6131" s="10" t="s">
        <v>12620</v>
      </c>
      <c r="C6131" s="10" t="s">
        <v>12621</v>
      </c>
      <c r="D6131" s="11">
        <v>42782.688923611109</v>
      </c>
      <c r="E6131" s="10" t="s">
        <v>419</v>
      </c>
    </row>
    <row r="6132" spans="1:5">
      <c r="A6132" s="11">
        <v>42664</v>
      </c>
      <c r="B6132" s="10" t="s">
        <v>12622</v>
      </c>
      <c r="C6132" s="10" t="s">
        <v>12623</v>
      </c>
      <c r="D6132" s="11">
        <v>42782.698263888888</v>
      </c>
      <c r="E6132" s="10" t="s">
        <v>237</v>
      </c>
    </row>
    <row r="6133" spans="1:5">
      <c r="A6133" s="11">
        <v>42677</v>
      </c>
      <c r="B6133" s="10" t="s">
        <v>12624</v>
      </c>
      <c r="C6133" s="10" t="s">
        <v>12625</v>
      </c>
      <c r="D6133" s="11">
        <v>42781.74728009259</v>
      </c>
      <c r="E6133" s="10" t="s">
        <v>237</v>
      </c>
    </row>
    <row r="6134" spans="1:5">
      <c r="A6134" s="11">
        <v>42698</v>
      </c>
      <c r="B6134" s="10" t="s">
        <v>12626</v>
      </c>
      <c r="C6134" s="10" t="s">
        <v>12627</v>
      </c>
      <c r="D6134" s="11">
        <v>42782.706597222219</v>
      </c>
      <c r="E6134" s="10" t="s">
        <v>237</v>
      </c>
    </row>
    <row r="6135" spans="1:5">
      <c r="A6135" s="11">
        <v>42716</v>
      </c>
      <c r="B6135" s="10" t="s">
        <v>12628</v>
      </c>
      <c r="C6135" s="10" t="s">
        <v>12629</v>
      </c>
      <c r="D6135" s="11">
        <v>42781.786504629628</v>
      </c>
      <c r="E6135" s="10" t="s">
        <v>433</v>
      </c>
    </row>
    <row r="6136" spans="1:5">
      <c r="A6136" s="11">
        <v>42725</v>
      </c>
      <c r="B6136" s="10" t="s">
        <v>12630</v>
      </c>
      <c r="C6136" s="10" t="s">
        <v>12631</v>
      </c>
      <c r="D6136" s="11">
        <v>42782.61445601852</v>
      </c>
      <c r="E6136" s="10" t="s">
        <v>218</v>
      </c>
    </row>
    <row r="6137" spans="1:5">
      <c r="A6137" s="11">
        <v>42731</v>
      </c>
      <c r="B6137" s="10" t="s">
        <v>12632</v>
      </c>
      <c r="C6137" s="10" t="s">
        <v>12633</v>
      </c>
      <c r="D6137" s="11">
        <v>42782.475266203706</v>
      </c>
      <c r="E6137" s="10" t="s">
        <v>373</v>
      </c>
    </row>
    <row r="6138" spans="1:5">
      <c r="A6138" s="11">
        <v>42735</v>
      </c>
      <c r="B6138" s="10" t="s">
        <v>12634</v>
      </c>
      <c r="C6138" s="10" t="s">
        <v>12635</v>
      </c>
      <c r="D6138" s="11">
        <v>42781.929560185185</v>
      </c>
      <c r="E6138" s="10" t="s">
        <v>240</v>
      </c>
    </row>
    <row r="6139" spans="1:5">
      <c r="A6139" s="11">
        <v>42735</v>
      </c>
      <c r="B6139" s="10" t="s">
        <v>12636</v>
      </c>
      <c r="C6139" s="10" t="s">
        <v>12637</v>
      </c>
      <c r="D6139" s="11">
        <v>42782.564895833333</v>
      </c>
      <c r="E6139" s="10" t="s">
        <v>433</v>
      </c>
    </row>
    <row r="6140" spans="1:5">
      <c r="A6140" s="11">
        <v>42737</v>
      </c>
      <c r="B6140" s="10" t="s">
        <v>12638</v>
      </c>
      <c r="C6140" s="10" t="s">
        <v>12639</v>
      </c>
      <c r="D6140" s="11">
        <v>42782.701180555552</v>
      </c>
      <c r="E6140" s="10" t="s">
        <v>433</v>
      </c>
    </row>
    <row r="6141" spans="1:5">
      <c r="A6141" s="11">
        <v>42739</v>
      </c>
      <c r="B6141" s="10" t="s">
        <v>12640</v>
      </c>
      <c r="C6141" s="10" t="s">
        <v>12641</v>
      </c>
      <c r="D6141" s="11">
        <v>42778.434675925928</v>
      </c>
      <c r="E6141" s="10" t="s">
        <v>433</v>
      </c>
    </row>
    <row r="6142" spans="1:5">
      <c r="A6142" s="11">
        <v>42742</v>
      </c>
      <c r="B6142" s="10" t="s">
        <v>12642</v>
      </c>
      <c r="C6142" s="10" t="s">
        <v>12643</v>
      </c>
      <c r="D6142" s="11">
        <v>42782.695023148146</v>
      </c>
      <c r="E6142" s="10" t="s">
        <v>240</v>
      </c>
    </row>
    <row r="6143" spans="1:5">
      <c r="A6143" s="11">
        <v>42742</v>
      </c>
      <c r="B6143" s="10" t="s">
        <v>12644</v>
      </c>
      <c r="C6143" s="10" t="s">
        <v>12645</v>
      </c>
      <c r="D6143" s="11">
        <v>42782.618842592594</v>
      </c>
      <c r="E6143" s="10" t="s">
        <v>433</v>
      </c>
    </row>
    <row r="6144" spans="1:5">
      <c r="A6144" s="11">
        <v>42743</v>
      </c>
      <c r="B6144" s="10" t="s">
        <v>12646</v>
      </c>
      <c r="C6144" s="10" t="s">
        <v>12647</v>
      </c>
      <c r="D6144" s="11">
        <v>42779.78392361111</v>
      </c>
      <c r="E6144" s="10" t="s">
        <v>218</v>
      </c>
    </row>
    <row r="6145" spans="1:5">
      <c r="A6145" s="11">
        <v>42744</v>
      </c>
      <c r="B6145" s="10" t="s">
        <v>12648</v>
      </c>
      <c r="C6145" s="10" t="s">
        <v>12649</v>
      </c>
      <c r="D6145" s="11">
        <v>42782.70722222222</v>
      </c>
      <c r="E6145" s="10" t="s">
        <v>240</v>
      </c>
    </row>
    <row r="6146" spans="1:5">
      <c r="A6146" s="11">
        <v>42744</v>
      </c>
      <c r="B6146" s="10" t="s">
        <v>12650</v>
      </c>
      <c r="C6146" s="10" t="s">
        <v>12651</v>
      </c>
      <c r="D6146" s="11">
        <v>42782.623090277775</v>
      </c>
      <c r="E6146" s="10" t="s">
        <v>433</v>
      </c>
    </row>
    <row r="6147" spans="1:5">
      <c r="A6147" s="11">
        <v>42745</v>
      </c>
      <c r="B6147" s="10" t="s">
        <v>12652</v>
      </c>
      <c r="C6147" s="10" t="s">
        <v>12653</v>
      </c>
      <c r="D6147" s="11">
        <v>42782.669328703705</v>
      </c>
      <c r="E6147" s="10" t="s">
        <v>656</v>
      </c>
    </row>
    <row r="6148" spans="1:5">
      <c r="A6148" s="11">
        <v>42745</v>
      </c>
      <c r="B6148" s="10" t="s">
        <v>12654</v>
      </c>
      <c r="C6148" s="10" t="s">
        <v>12655</v>
      </c>
      <c r="D6148" s="11">
        <v>42782.431666666664</v>
      </c>
      <c r="E6148" s="10" t="s">
        <v>656</v>
      </c>
    </row>
    <row r="6149" spans="1:5" ht="21.6">
      <c r="A6149" s="11">
        <v>42746</v>
      </c>
      <c r="B6149" s="10" t="s">
        <v>12656</v>
      </c>
      <c r="C6149" s="10" t="s">
        <v>12657</v>
      </c>
      <c r="D6149" s="11">
        <v>42782.640173611115</v>
      </c>
      <c r="E6149" s="10" t="s">
        <v>447</v>
      </c>
    </row>
    <row r="6150" spans="1:5">
      <c r="A6150" s="11">
        <v>42746</v>
      </c>
      <c r="B6150" s="10" t="s">
        <v>12658</v>
      </c>
      <c r="C6150" s="10" t="s">
        <v>12659</v>
      </c>
      <c r="D6150" s="11">
        <v>42782.505011574074</v>
      </c>
      <c r="E6150" s="10" t="s">
        <v>373</v>
      </c>
    </row>
    <row r="6151" spans="1:5">
      <c r="A6151" s="11">
        <v>42746</v>
      </c>
      <c r="B6151" s="10" t="s">
        <v>12660</v>
      </c>
      <c r="C6151" s="10" t="s">
        <v>12661</v>
      </c>
      <c r="D6151" s="11">
        <v>42782.682349537034</v>
      </c>
      <c r="E6151" s="10" t="s">
        <v>240</v>
      </c>
    </row>
    <row r="6152" spans="1:5">
      <c r="A6152" s="11">
        <v>42750</v>
      </c>
      <c r="B6152" s="10" t="s">
        <v>12662</v>
      </c>
      <c r="C6152" s="10" t="s">
        <v>12663</v>
      </c>
      <c r="D6152" s="11">
        <v>42782.695856481485</v>
      </c>
      <c r="E6152" s="10" t="s">
        <v>240</v>
      </c>
    </row>
    <row r="6153" spans="1:5">
      <c r="A6153" s="11">
        <v>42751</v>
      </c>
      <c r="B6153" s="10" t="s">
        <v>12664</v>
      </c>
      <c r="C6153" s="10" t="s">
        <v>12665</v>
      </c>
      <c r="D6153" s="11">
        <v>42782.590428240743</v>
      </c>
      <c r="E6153" s="10" t="s">
        <v>433</v>
      </c>
    </row>
    <row r="6154" spans="1:5">
      <c r="A6154" s="11">
        <v>42752</v>
      </c>
      <c r="B6154" s="10" t="s">
        <v>12666</v>
      </c>
      <c r="C6154" s="10" t="s">
        <v>12667</v>
      </c>
      <c r="D6154" s="11">
        <v>42780.5624537037</v>
      </c>
      <c r="E6154" s="10" t="s">
        <v>373</v>
      </c>
    </row>
    <row r="6155" spans="1:5">
      <c r="A6155" s="11">
        <v>42752</v>
      </c>
      <c r="B6155" s="10" t="s">
        <v>12668</v>
      </c>
      <c r="C6155" s="10" t="s">
        <v>12669</v>
      </c>
      <c r="D6155" s="11">
        <v>42782.437384259261</v>
      </c>
      <c r="E6155" s="10" t="s">
        <v>433</v>
      </c>
    </row>
    <row r="6156" spans="1:5">
      <c r="A6156" s="11">
        <v>42754</v>
      </c>
      <c r="B6156" s="10" t="s">
        <v>12670</v>
      </c>
      <c r="C6156" s="10" t="s">
        <v>12671</v>
      </c>
      <c r="D6156" s="11">
        <v>42782.699884259258</v>
      </c>
      <c r="E6156" s="10" t="s">
        <v>237</v>
      </c>
    </row>
    <row r="6157" spans="1:5">
      <c r="A6157" s="11">
        <v>42754</v>
      </c>
      <c r="B6157" s="10" t="s">
        <v>12672</v>
      </c>
      <c r="C6157" s="10" t="s">
        <v>12673</v>
      </c>
      <c r="D6157" s="11">
        <v>42782.622800925928</v>
      </c>
      <c r="E6157" s="10" t="s">
        <v>373</v>
      </c>
    </row>
    <row r="6158" spans="1:5">
      <c r="A6158" s="11">
        <v>42754</v>
      </c>
      <c r="B6158" s="10" t="s">
        <v>12674</v>
      </c>
      <c r="C6158" s="10" t="s">
        <v>12675</v>
      </c>
      <c r="D6158" s="11">
        <v>42781.783368055556</v>
      </c>
      <c r="E6158" s="10" t="s">
        <v>433</v>
      </c>
    </row>
    <row r="6159" spans="1:5">
      <c r="A6159" s="11">
        <v>42755</v>
      </c>
      <c r="B6159" s="10" t="s">
        <v>12676</v>
      </c>
      <c r="C6159" s="10" t="s">
        <v>12677</v>
      </c>
      <c r="D6159" s="11">
        <v>42781.969907407409</v>
      </c>
      <c r="E6159" s="10" t="s">
        <v>433</v>
      </c>
    </row>
    <row r="6160" spans="1:5">
      <c r="A6160" s="11">
        <v>42755</v>
      </c>
      <c r="B6160" s="10" t="s">
        <v>12678</v>
      </c>
      <c r="C6160" s="10" t="s">
        <v>12679</v>
      </c>
      <c r="D6160" s="11">
        <v>42782.679571759261</v>
      </c>
      <c r="E6160" s="10" t="s">
        <v>237</v>
      </c>
    </row>
    <row r="6161" spans="1:5">
      <c r="A6161" s="11">
        <v>42756</v>
      </c>
      <c r="B6161" s="10" t="s">
        <v>12680</v>
      </c>
      <c r="C6161" s="10" t="s">
        <v>12681</v>
      </c>
      <c r="D6161" s="11">
        <v>42782.667025462964</v>
      </c>
      <c r="E6161" s="10" t="s">
        <v>237</v>
      </c>
    </row>
    <row r="6162" spans="1:5">
      <c r="A6162" s="11">
        <v>42756</v>
      </c>
      <c r="B6162" s="10" t="s">
        <v>12682</v>
      </c>
      <c r="C6162" s="10" t="s">
        <v>12683</v>
      </c>
      <c r="D6162" s="11">
        <v>42782.625243055554</v>
      </c>
      <c r="E6162" s="10" t="s">
        <v>433</v>
      </c>
    </row>
    <row r="6163" spans="1:5">
      <c r="A6163" s="11">
        <v>42758</v>
      </c>
      <c r="B6163" s="10" t="s">
        <v>12684</v>
      </c>
      <c r="C6163" s="10" t="s">
        <v>12685</v>
      </c>
      <c r="D6163" s="11">
        <v>42782.700787037036</v>
      </c>
      <c r="E6163" s="10" t="s">
        <v>482</v>
      </c>
    </row>
    <row r="6164" spans="1:5">
      <c r="A6164" s="11">
        <v>42761</v>
      </c>
      <c r="B6164" s="10" t="s">
        <v>12686</v>
      </c>
      <c r="C6164" s="10" t="s">
        <v>12687</v>
      </c>
      <c r="D6164" s="11">
        <v>42780.660717592589</v>
      </c>
      <c r="E6164" s="10" t="s">
        <v>218</v>
      </c>
    </row>
    <row r="6165" spans="1:5">
      <c r="A6165" s="11">
        <v>42770</v>
      </c>
      <c r="B6165" s="10" t="s">
        <v>12688</v>
      </c>
      <c r="C6165" s="10" t="s">
        <v>12689</v>
      </c>
      <c r="D6165" s="11">
        <v>42782.685023148151</v>
      </c>
      <c r="E6165" s="10" t="s">
        <v>237</v>
      </c>
    </row>
    <row r="6166" spans="1:5">
      <c r="A6166" s="11">
        <v>42770</v>
      </c>
      <c r="B6166" s="10" t="s">
        <v>12690</v>
      </c>
      <c r="C6166" s="10" t="s">
        <v>12691</v>
      </c>
      <c r="D6166" s="11">
        <v>42782.40053240741</v>
      </c>
      <c r="E6166" s="10" t="s">
        <v>218</v>
      </c>
    </row>
    <row r="6167" spans="1:5">
      <c r="A6167" s="11">
        <v>42770</v>
      </c>
      <c r="B6167" s="10" t="s">
        <v>12692</v>
      </c>
      <c r="C6167" s="10" t="s">
        <v>12693</v>
      </c>
      <c r="D6167" s="11">
        <v>42782.677523148152</v>
      </c>
      <c r="E6167" s="10" t="s">
        <v>240</v>
      </c>
    </row>
    <row r="6168" spans="1:5">
      <c r="A6168" s="11">
        <v>42771</v>
      </c>
      <c r="B6168" s="10" t="s">
        <v>12694</v>
      </c>
      <c r="C6168" s="10" t="s">
        <v>12695</v>
      </c>
      <c r="D6168" s="11">
        <v>42782.471562500003</v>
      </c>
      <c r="E6168" s="10" t="s">
        <v>240</v>
      </c>
    </row>
    <row r="6169" spans="1:5">
      <c r="A6169" s="11">
        <v>42771</v>
      </c>
      <c r="B6169" s="10" t="s">
        <v>12696</v>
      </c>
      <c r="C6169" s="10" t="s">
        <v>12697</v>
      </c>
      <c r="D6169" s="11">
        <v>42782.51122685185</v>
      </c>
      <c r="E6169" s="10" t="s">
        <v>433</v>
      </c>
    </row>
    <row r="6170" spans="1:5">
      <c r="A6170" s="11">
        <v>42772</v>
      </c>
      <c r="B6170" s="10" t="s">
        <v>12698</v>
      </c>
      <c r="C6170" s="10" t="s">
        <v>12699</v>
      </c>
      <c r="D6170" s="11">
        <v>42781.45244212963</v>
      </c>
      <c r="E6170" s="10" t="s">
        <v>433</v>
      </c>
    </row>
    <row r="6171" spans="1:5">
      <c r="A6171" s="11">
        <v>42772</v>
      </c>
      <c r="B6171" s="10" t="s">
        <v>12700</v>
      </c>
      <c r="C6171" s="10" t="s">
        <v>12701</v>
      </c>
      <c r="D6171" s="11">
        <v>42781.906238425923</v>
      </c>
      <c r="E6171" s="10" t="s">
        <v>215</v>
      </c>
    </row>
    <row r="6172" spans="1:5">
      <c r="A6172" s="11">
        <v>42772</v>
      </c>
      <c r="B6172" s="10" t="s">
        <v>12702</v>
      </c>
      <c r="C6172" s="10" t="s">
        <v>12703</v>
      </c>
      <c r="D6172" s="11">
        <v>42781.560219907406</v>
      </c>
      <c r="E6172" s="10" t="s">
        <v>218</v>
      </c>
    </row>
    <row r="6173" spans="1:5">
      <c r="A6173" s="11">
        <v>42772</v>
      </c>
      <c r="B6173" s="10" t="s">
        <v>12704</v>
      </c>
      <c r="C6173" s="10" t="s">
        <v>12705</v>
      </c>
      <c r="D6173" s="11">
        <v>42782.697268518517</v>
      </c>
      <c r="E6173" s="10" t="s">
        <v>365</v>
      </c>
    </row>
    <row r="6174" spans="1:5">
      <c r="A6174" s="11">
        <v>42772</v>
      </c>
      <c r="B6174" s="10" t="s">
        <v>12706</v>
      </c>
      <c r="C6174" s="10" t="s">
        <v>12707</v>
      </c>
      <c r="D6174" s="11">
        <v>42781.930277777778</v>
      </c>
      <c r="E6174" s="10" t="s">
        <v>380</v>
      </c>
    </row>
    <row r="6175" spans="1:5">
      <c r="A6175" s="11">
        <v>42772</v>
      </c>
      <c r="B6175" s="10" t="s">
        <v>12708</v>
      </c>
      <c r="C6175" s="10" t="s">
        <v>12709</v>
      </c>
      <c r="D6175" s="11">
        <v>42782.631030092591</v>
      </c>
      <c r="E6175" s="10" t="s">
        <v>240</v>
      </c>
    </row>
    <row r="6176" spans="1:5">
      <c r="A6176" s="11">
        <v>42773</v>
      </c>
      <c r="B6176" s="10" t="s">
        <v>12710</v>
      </c>
      <c r="C6176" s="10" t="s">
        <v>12711</v>
      </c>
      <c r="D6176" s="11">
        <v>42782.701018518521</v>
      </c>
      <c r="E6176" s="10" t="s">
        <v>1022</v>
      </c>
    </row>
    <row r="6177" spans="1:5">
      <c r="A6177" s="11">
        <v>42773</v>
      </c>
      <c r="B6177" s="10" t="s">
        <v>12712</v>
      </c>
      <c r="C6177" s="10" t="s">
        <v>12713</v>
      </c>
      <c r="D6177" s="11">
        <v>42782.682662037034</v>
      </c>
      <c r="E6177" s="10" t="s">
        <v>218</v>
      </c>
    </row>
    <row r="6178" spans="1:5">
      <c r="A6178" s="11">
        <v>42774</v>
      </c>
      <c r="B6178" s="10" t="s">
        <v>12714</v>
      </c>
      <c r="C6178" s="10" t="s">
        <v>12715</v>
      </c>
      <c r="D6178" s="11">
        <v>42782.632673611108</v>
      </c>
      <c r="E6178" s="10" t="s">
        <v>240</v>
      </c>
    </row>
    <row r="6179" spans="1:5">
      <c r="A6179" s="11">
        <v>42774</v>
      </c>
      <c r="B6179" s="10" t="s">
        <v>12716</v>
      </c>
      <c r="C6179" s="10" t="s">
        <v>12717</v>
      </c>
      <c r="D6179" s="11">
        <v>42779.401423611111</v>
      </c>
      <c r="E6179" s="10" t="s">
        <v>335</v>
      </c>
    </row>
    <row r="6180" spans="1:5">
      <c r="A6180" s="11">
        <v>42774</v>
      </c>
      <c r="B6180" s="10" t="s">
        <v>12718</v>
      </c>
      <c r="C6180" s="10" t="s">
        <v>12719</v>
      </c>
      <c r="D6180" s="11">
        <v>42782.681828703702</v>
      </c>
      <c r="E6180" s="10" t="s">
        <v>240</v>
      </c>
    </row>
    <row r="6181" spans="1:5">
      <c r="A6181" s="11">
        <v>42775</v>
      </c>
      <c r="B6181" s="10" t="s">
        <v>12720</v>
      </c>
      <c r="C6181" s="10" t="s">
        <v>12721</v>
      </c>
      <c r="D6181" s="11">
        <v>42780.726724537039</v>
      </c>
      <c r="E6181" s="10" t="s">
        <v>240</v>
      </c>
    </row>
    <row r="6182" spans="1:5">
      <c r="A6182" s="11">
        <v>42775</v>
      </c>
      <c r="B6182" s="10" t="s">
        <v>12722</v>
      </c>
      <c r="C6182" s="10" t="s">
        <v>12723</v>
      </c>
      <c r="D6182" s="11">
        <v>42782.609930555554</v>
      </c>
      <c r="E6182" s="10" t="s">
        <v>433</v>
      </c>
    </row>
    <row r="6183" spans="1:5">
      <c r="A6183" s="11">
        <v>42775</v>
      </c>
      <c r="B6183" s="10" t="s">
        <v>12724</v>
      </c>
      <c r="C6183" s="10" t="s">
        <v>12725</v>
      </c>
      <c r="D6183" s="11">
        <v>42782.625474537039</v>
      </c>
      <c r="E6183" s="10" t="s">
        <v>433</v>
      </c>
    </row>
    <row r="6184" spans="1:5">
      <c r="A6184" s="11">
        <v>42776</v>
      </c>
      <c r="B6184" s="10" t="s">
        <v>12726</v>
      </c>
      <c r="C6184" s="10" t="s">
        <v>12727</v>
      </c>
      <c r="D6184" s="11">
        <v>42782.658819444441</v>
      </c>
      <c r="E6184" s="10" t="s">
        <v>433</v>
      </c>
    </row>
    <row r="6185" spans="1:5">
      <c r="A6185" s="11">
        <v>42776</v>
      </c>
      <c r="B6185" s="10" t="s">
        <v>12728</v>
      </c>
      <c r="C6185" s="10" t="s">
        <v>12729</v>
      </c>
      <c r="D6185" s="11">
        <v>42782.416944444441</v>
      </c>
      <c r="E6185" s="10" t="s">
        <v>433</v>
      </c>
    </row>
    <row r="6186" spans="1:5">
      <c r="A6186" s="11">
        <v>42777</v>
      </c>
      <c r="B6186" s="10" t="s">
        <v>12730</v>
      </c>
      <c r="C6186" s="10" t="s">
        <v>12731</v>
      </c>
      <c r="D6186" s="11">
        <v>42782.601990740739</v>
      </c>
      <c r="E6186" s="10" t="s">
        <v>218</v>
      </c>
    </row>
    <row r="6187" spans="1:5">
      <c r="A6187" s="11">
        <v>42777</v>
      </c>
      <c r="B6187" s="10" t="s">
        <v>12732</v>
      </c>
      <c r="C6187" s="10" t="s">
        <v>12733</v>
      </c>
      <c r="D6187" s="11">
        <v>42782.646539351852</v>
      </c>
      <c r="E6187" s="10" t="s">
        <v>218</v>
      </c>
    </row>
    <row r="6188" spans="1:5">
      <c r="A6188" s="11">
        <v>42777</v>
      </c>
      <c r="B6188" s="10" t="s">
        <v>12734</v>
      </c>
      <c r="C6188" s="10" t="s">
        <v>12735</v>
      </c>
      <c r="D6188" s="11">
        <v>42782.685787037037</v>
      </c>
      <c r="E6188" s="10" t="s">
        <v>433</v>
      </c>
    </row>
    <row r="6189" spans="1:5">
      <c r="A6189" s="11">
        <v>42778</v>
      </c>
      <c r="B6189" s="10" t="s">
        <v>12736</v>
      </c>
      <c r="C6189" s="10" t="s">
        <v>12737</v>
      </c>
      <c r="D6189" s="11">
        <v>42778.587997685187</v>
      </c>
      <c r="E6189" s="10" t="s">
        <v>218</v>
      </c>
    </row>
    <row r="6190" spans="1:5">
      <c r="A6190" s="11">
        <v>42778</v>
      </c>
      <c r="B6190" s="10" t="s">
        <v>12738</v>
      </c>
      <c r="C6190" s="10" t="s">
        <v>12739</v>
      </c>
      <c r="D6190" s="11">
        <v>42778.885960648149</v>
      </c>
      <c r="E6190" s="10" t="s">
        <v>433</v>
      </c>
    </row>
    <row r="6191" spans="1:5">
      <c r="A6191" s="11">
        <v>42779</v>
      </c>
      <c r="B6191" s="10" t="s">
        <v>12740</v>
      </c>
      <c r="C6191" s="10" t="s">
        <v>12741</v>
      </c>
      <c r="D6191" s="11">
        <v>42782.646817129629</v>
      </c>
      <c r="E6191" s="10" t="s">
        <v>215</v>
      </c>
    </row>
    <row r="6192" spans="1:5">
      <c r="A6192" s="11">
        <v>42779</v>
      </c>
      <c r="B6192" s="10" t="s">
        <v>12742</v>
      </c>
      <c r="C6192" s="10" t="s">
        <v>12743</v>
      </c>
      <c r="D6192" s="11">
        <v>42782.38181712963</v>
      </c>
      <c r="E6192" s="10" t="s">
        <v>433</v>
      </c>
    </row>
    <row r="6193" spans="1:5">
      <c r="A6193" s="11">
        <v>42779</v>
      </c>
      <c r="B6193" s="10" t="s">
        <v>12744</v>
      </c>
      <c r="C6193" s="10" t="s">
        <v>12745</v>
      </c>
      <c r="D6193" s="11">
        <v>42782.564733796295</v>
      </c>
      <c r="E6193" s="10" t="s">
        <v>433</v>
      </c>
    </row>
    <row r="6194" spans="1:5">
      <c r="A6194" s="11">
        <v>42779</v>
      </c>
      <c r="B6194" s="10" t="s">
        <v>12746</v>
      </c>
      <c r="C6194" s="10" t="s">
        <v>12747</v>
      </c>
      <c r="D6194" s="11">
        <v>42779.634768518517</v>
      </c>
      <c r="E6194" s="10" t="s">
        <v>240</v>
      </c>
    </row>
    <row r="6195" spans="1:5">
      <c r="A6195" s="11">
        <v>42780</v>
      </c>
      <c r="B6195" s="10" t="s">
        <v>12748</v>
      </c>
      <c r="C6195" s="10" t="s">
        <v>12749</v>
      </c>
      <c r="D6195" s="11">
        <v>42781.662835648145</v>
      </c>
      <c r="E6195" s="10" t="s">
        <v>215</v>
      </c>
    </row>
    <row r="6196" spans="1:5">
      <c r="A6196" s="11">
        <v>42780</v>
      </c>
      <c r="B6196" s="10" t="s">
        <v>12750</v>
      </c>
      <c r="C6196" s="10" t="s">
        <v>12751</v>
      </c>
      <c r="D6196" s="11">
        <v>42780.340150462966</v>
      </c>
      <c r="E6196" s="10" t="s">
        <v>240</v>
      </c>
    </row>
    <row r="6197" spans="1:5">
      <c r="A6197" s="11">
        <v>42780</v>
      </c>
      <c r="B6197" s="10" t="s">
        <v>12752</v>
      </c>
      <c r="C6197" s="10" t="s">
        <v>12753</v>
      </c>
      <c r="D6197" s="11">
        <v>42780.349733796298</v>
      </c>
      <c r="E6197" s="10" t="s">
        <v>433</v>
      </c>
    </row>
    <row r="6198" spans="1:5">
      <c r="A6198" s="11">
        <v>42780</v>
      </c>
      <c r="B6198" s="10" t="s">
        <v>12754</v>
      </c>
      <c r="C6198" s="10" t="s">
        <v>12755</v>
      </c>
      <c r="D6198" s="11">
        <v>42782.706064814818</v>
      </c>
      <c r="E6198" s="10" t="s">
        <v>433</v>
      </c>
    </row>
    <row r="6199" spans="1:5">
      <c r="A6199" s="11">
        <v>42780</v>
      </c>
      <c r="B6199" s="10" t="s">
        <v>12756</v>
      </c>
      <c r="C6199" s="10" t="s">
        <v>12757</v>
      </c>
      <c r="D6199" s="11">
        <v>42782.453865740739</v>
      </c>
      <c r="E6199" s="10" t="s">
        <v>218</v>
      </c>
    </row>
    <row r="6200" spans="1:5">
      <c r="A6200" s="11">
        <v>42780</v>
      </c>
      <c r="B6200" s="10" t="s">
        <v>12758</v>
      </c>
      <c r="C6200" s="10" t="s">
        <v>12759</v>
      </c>
      <c r="D6200" s="11">
        <v>42780.62400462963</v>
      </c>
      <c r="E6200" s="10" t="s">
        <v>373</v>
      </c>
    </row>
    <row r="6201" spans="1:5">
      <c r="A6201" s="11">
        <v>42780</v>
      </c>
      <c r="B6201" s="10" t="s">
        <v>12760</v>
      </c>
      <c r="C6201" s="10" t="s">
        <v>12761</v>
      </c>
      <c r="D6201" s="11">
        <v>42780.649270833332</v>
      </c>
      <c r="E6201" s="10" t="s">
        <v>433</v>
      </c>
    </row>
    <row r="6202" spans="1:5">
      <c r="A6202" s="11">
        <v>42780</v>
      </c>
      <c r="B6202" s="10" t="s">
        <v>12762</v>
      </c>
      <c r="C6202" s="10" t="s">
        <v>12763</v>
      </c>
      <c r="D6202" s="11">
        <v>42780.754282407404</v>
      </c>
      <c r="E6202" s="10" t="s">
        <v>240</v>
      </c>
    </row>
    <row r="6203" spans="1:5">
      <c r="A6203" s="11">
        <v>42781</v>
      </c>
      <c r="B6203" s="10" t="s">
        <v>12764</v>
      </c>
      <c r="C6203" s="10" t="s">
        <v>12765</v>
      </c>
      <c r="D6203" s="11">
        <v>42782.495879629627</v>
      </c>
      <c r="E6203" s="10" t="s">
        <v>240</v>
      </c>
    </row>
    <row r="6204" spans="1:5">
      <c r="A6204" s="11">
        <v>42781</v>
      </c>
      <c r="B6204" s="10" t="s">
        <v>12766</v>
      </c>
      <c r="C6204" s="10" t="s">
        <v>12767</v>
      </c>
      <c r="D6204" s="11">
        <v>42781.49858796296</v>
      </c>
      <c r="E6204" s="10" t="s">
        <v>433</v>
      </c>
    </row>
    <row r="6205" spans="1:5">
      <c r="A6205" s="11">
        <v>42781</v>
      </c>
      <c r="B6205" s="10" t="s">
        <v>12768</v>
      </c>
      <c r="C6205" s="10" t="s">
        <v>12769</v>
      </c>
      <c r="D6205" s="11">
        <v>42781.623333333337</v>
      </c>
      <c r="E6205" s="10" t="s">
        <v>373</v>
      </c>
    </row>
    <row r="6206" spans="1:5">
      <c r="A6206" s="11">
        <v>42781</v>
      </c>
      <c r="B6206" s="10" t="s">
        <v>12770</v>
      </c>
      <c r="C6206" s="10" t="s">
        <v>12771</v>
      </c>
      <c r="D6206" s="11">
        <v>42782.651689814818</v>
      </c>
      <c r="E6206" s="10" t="s">
        <v>433</v>
      </c>
    </row>
    <row r="6207" spans="1:5">
      <c r="A6207" s="11">
        <v>42781</v>
      </c>
      <c r="B6207" s="10" t="s">
        <v>12772</v>
      </c>
      <c r="C6207" s="10" t="s">
        <v>12773</v>
      </c>
      <c r="D6207" s="11">
        <v>42781.816574074073</v>
      </c>
      <c r="E6207" s="10" t="s">
        <v>240</v>
      </c>
    </row>
    <row r="6208" spans="1:5">
      <c r="A6208" s="11">
        <v>42781</v>
      </c>
      <c r="B6208" s="10" t="s">
        <v>12774</v>
      </c>
      <c r="C6208" s="10" t="s">
        <v>12775</v>
      </c>
      <c r="D6208" s="11">
        <v>42781.877129629633</v>
      </c>
      <c r="E6208" s="10" t="s">
        <v>433</v>
      </c>
    </row>
    <row r="6209" spans="1:5">
      <c r="A6209" s="11">
        <v>42782</v>
      </c>
      <c r="B6209" s="10" t="s">
        <v>12776</v>
      </c>
      <c r="C6209" s="10" t="s">
        <v>12777</v>
      </c>
      <c r="D6209" s="11">
        <v>42782.361377314817</v>
      </c>
      <c r="E6209" s="10" t="s">
        <v>433</v>
      </c>
    </row>
    <row r="6210" spans="1:5">
      <c r="A6210" s="11">
        <v>42782</v>
      </c>
      <c r="B6210" s="10" t="s">
        <v>12778</v>
      </c>
      <c r="C6210" s="10" t="s">
        <v>12779</v>
      </c>
      <c r="D6210" s="11">
        <v>42782.424988425926</v>
      </c>
      <c r="E6210" s="10" t="s">
        <v>433</v>
      </c>
    </row>
    <row r="6211" spans="1:5">
      <c r="A6211" s="11">
        <v>42782</v>
      </c>
      <c r="B6211" s="10" t="s">
        <v>12780</v>
      </c>
      <c r="C6211" s="10" t="s">
        <v>12781</v>
      </c>
      <c r="D6211" s="11">
        <v>42782.42465277778</v>
      </c>
      <c r="E6211" s="10" t="s">
        <v>656</v>
      </c>
    </row>
    <row r="6212" spans="1:5">
      <c r="A6212" s="11">
        <v>42782</v>
      </c>
      <c r="B6212" s="10" t="s">
        <v>12782</v>
      </c>
      <c r="C6212" s="10" t="s">
        <v>12783</v>
      </c>
      <c r="D6212" s="11">
        <v>42782.441608796296</v>
      </c>
      <c r="E6212" s="10" t="s">
        <v>96</v>
      </c>
    </row>
    <row r="6213" spans="1:5">
      <c r="A6213" s="11">
        <v>42782</v>
      </c>
      <c r="B6213" s="10" t="s">
        <v>12784</v>
      </c>
      <c r="C6213" s="10" t="s">
        <v>12785</v>
      </c>
      <c r="D6213" s="11">
        <v>42782.425787037035</v>
      </c>
      <c r="E6213" s="10" t="s">
        <v>433</v>
      </c>
    </row>
    <row r="6214" spans="1:5">
      <c r="A6214" s="11">
        <v>42782</v>
      </c>
      <c r="B6214" s="10" t="s">
        <v>12786</v>
      </c>
      <c r="C6214" s="10" t="s">
        <v>12787</v>
      </c>
      <c r="D6214" s="11">
        <v>42782.446319444447</v>
      </c>
      <c r="E6214" s="10" t="s">
        <v>433</v>
      </c>
    </row>
    <row r="6215" spans="1:5" ht="21.6">
      <c r="A6215" s="11">
        <v>42782</v>
      </c>
      <c r="B6215" s="10" t="s">
        <v>12788</v>
      </c>
      <c r="C6215" s="10" t="s">
        <v>12789</v>
      </c>
      <c r="D6215" s="11">
        <v>42782.467430555553</v>
      </c>
      <c r="E6215" s="10" t="s">
        <v>966</v>
      </c>
    </row>
    <row r="6216" spans="1:5">
      <c r="A6216" s="11">
        <v>42782</v>
      </c>
      <c r="B6216" s="10" t="s">
        <v>12790</v>
      </c>
      <c r="C6216" s="10" t="s">
        <v>12791</v>
      </c>
      <c r="D6216" s="11">
        <v>42782.539965277778</v>
      </c>
      <c r="E6216" s="10" t="s">
        <v>433</v>
      </c>
    </row>
    <row r="6217" spans="1:5">
      <c r="A6217" s="11">
        <v>42782</v>
      </c>
      <c r="B6217" s="10" t="s">
        <v>12792</v>
      </c>
      <c r="C6217" s="10" t="s">
        <v>12793</v>
      </c>
      <c r="D6217" s="11">
        <v>42782.573576388888</v>
      </c>
      <c r="E6217" s="10" t="s">
        <v>433</v>
      </c>
    </row>
    <row r="6218" spans="1:5">
      <c r="A6218" s="11">
        <v>42782</v>
      </c>
      <c r="B6218" s="10" t="s">
        <v>12794</v>
      </c>
      <c r="C6218" s="10" t="s">
        <v>12795</v>
      </c>
      <c r="D6218" s="11">
        <v>42782.578090277777</v>
      </c>
      <c r="E6218" s="10" t="s">
        <v>433</v>
      </c>
    </row>
    <row r="6219" spans="1:5">
      <c r="A6219" s="11">
        <v>42782</v>
      </c>
      <c r="B6219" s="10" t="s">
        <v>12796</v>
      </c>
      <c r="C6219" s="10" t="s">
        <v>12797</v>
      </c>
      <c r="D6219" s="11">
        <v>42782.585011574076</v>
      </c>
      <c r="E6219" s="10" t="s">
        <v>433</v>
      </c>
    </row>
    <row r="6220" spans="1:5">
      <c r="A6220" s="11">
        <v>42782</v>
      </c>
      <c r="B6220" s="10" t="s">
        <v>12798</v>
      </c>
      <c r="C6220" s="10" t="s">
        <v>12799</v>
      </c>
      <c r="D6220" s="11">
        <v>42782.655277777776</v>
      </c>
      <c r="E6220" s="10" t="s">
        <v>218</v>
      </c>
    </row>
    <row r="6221" spans="1:5">
      <c r="A6221" s="11">
        <v>42782</v>
      </c>
      <c r="B6221" s="10" t="s">
        <v>12800</v>
      </c>
      <c r="C6221" s="10" t="s">
        <v>12801</v>
      </c>
      <c r="D6221" s="11">
        <v>42782.653553240743</v>
      </c>
      <c r="E6221" s="10" t="s">
        <v>433</v>
      </c>
    </row>
    <row r="6222" spans="1:5">
      <c r="A6222" s="11">
        <v>42782</v>
      </c>
      <c r="B6222" s="10" t="s">
        <v>12802</v>
      </c>
      <c r="C6222" s="10" t="s">
        <v>12803</v>
      </c>
      <c r="D6222" s="11">
        <v>42782.66269675926</v>
      </c>
      <c r="E6222" s="10" t="s">
        <v>193</v>
      </c>
    </row>
    <row r="6223" spans="1:5">
      <c r="A6223" s="11">
        <v>42782</v>
      </c>
      <c r="B6223" s="10" t="s">
        <v>12804</v>
      </c>
      <c r="C6223" s="10" t="s">
        <v>12805</v>
      </c>
      <c r="D6223" s="11">
        <v>42782.642928240741</v>
      </c>
      <c r="E6223" s="10" t="s">
        <v>433</v>
      </c>
    </row>
    <row r="6224" spans="1:5">
      <c r="A6224" s="11">
        <v>42782</v>
      </c>
      <c r="B6224" s="10" t="s">
        <v>12806</v>
      </c>
      <c r="C6224" s="10" t="s">
        <v>12807</v>
      </c>
      <c r="D6224" s="11">
        <v>42782.662222222221</v>
      </c>
      <c r="E6224" s="10" t="s">
        <v>433</v>
      </c>
    </row>
    <row r="6225" spans="1:5">
      <c r="A6225" s="11">
        <v>42782</v>
      </c>
      <c r="B6225" s="10" t="s">
        <v>12808</v>
      </c>
      <c r="C6225" s="10" t="s">
        <v>12809</v>
      </c>
      <c r="D6225" s="11">
        <v>42782.668749999997</v>
      </c>
      <c r="E6225" s="10" t="s">
        <v>433</v>
      </c>
    </row>
    <row r="6226" spans="1:5">
      <c r="A6226" s="11">
        <v>42782</v>
      </c>
      <c r="B6226" s="10" t="s">
        <v>12810</v>
      </c>
      <c r="C6226" s="10" t="s">
        <v>12811</v>
      </c>
      <c r="D6226" s="11">
        <v>42782.679166666669</v>
      </c>
      <c r="E6226" s="10" t="s">
        <v>433</v>
      </c>
    </row>
    <row r="6227" spans="1:5">
      <c r="A6227" s="11">
        <v>42782</v>
      </c>
      <c r="B6227" s="10" t="s">
        <v>12812</v>
      </c>
      <c r="C6227" s="10" t="s">
        <v>12813</v>
      </c>
      <c r="D6227" s="11">
        <v>42782.674768518518</v>
      </c>
      <c r="E6227" s="10" t="s">
        <v>433</v>
      </c>
    </row>
    <row r="6228" spans="1:5">
      <c r="A6228" s="11">
        <v>42782</v>
      </c>
      <c r="B6228" s="10" t="s">
        <v>12814</v>
      </c>
      <c r="C6228" s="10" t="s">
        <v>12815</v>
      </c>
      <c r="D6228" s="11">
        <v>42782.69734953704</v>
      </c>
      <c r="E6228" s="10" t="s">
        <v>433</v>
      </c>
    </row>
    <row r="6229" spans="1:5">
      <c r="A6229" s="11">
        <v>42782</v>
      </c>
      <c r="B6229" s="10" t="s">
        <v>12816</v>
      </c>
      <c r="C6229" s="10" t="s">
        <v>12817</v>
      </c>
      <c r="D6229" s="11">
        <v>42782.678344907406</v>
      </c>
      <c r="E6229" s="10" t="s">
        <v>2183</v>
      </c>
    </row>
    <row r="6230" spans="1:5">
      <c r="A6230" s="11">
        <v>42782</v>
      </c>
      <c r="B6230" s="10" t="s">
        <v>12818</v>
      </c>
      <c r="C6230" s="10" t="s">
        <v>12819</v>
      </c>
      <c r="D6230" s="11">
        <v>42782.70722222222</v>
      </c>
      <c r="E6230" s="10" t="s">
        <v>237</v>
      </c>
    </row>
    <row r="6231" spans="1:5">
      <c r="A6231" s="11">
        <v>42782</v>
      </c>
      <c r="B6231" s="10" t="s">
        <v>12820</v>
      </c>
      <c r="C6231" s="10" t="s">
        <v>12821</v>
      </c>
      <c r="D6231" s="11">
        <v>42782.706817129627</v>
      </c>
      <c r="E6231" s="10" t="s">
        <v>240</v>
      </c>
    </row>
    <row r="6232" spans="1:5">
      <c r="A6232" s="11">
        <v>42782</v>
      </c>
      <c r="B6232" s="10" t="s">
        <v>12822</v>
      </c>
      <c r="C6232" s="10" t="s">
        <v>12823</v>
      </c>
      <c r="D6232" s="11">
        <v>42782.7034375</v>
      </c>
      <c r="E6232" s="10" t="s">
        <v>237</v>
      </c>
    </row>
    <row r="6233" spans="1:5">
      <c r="A6233" s="11">
        <v>42782</v>
      </c>
      <c r="B6233" s="10" t="s">
        <v>12824</v>
      </c>
      <c r="C6233" s="10" t="s">
        <v>12825</v>
      </c>
      <c r="D6233" s="11">
        <v>42782.703645833331</v>
      </c>
      <c r="E6233" s="10" t="s">
        <v>240</v>
      </c>
    </row>
    <row r="6234" spans="1:5">
      <c r="A6234" s="11">
        <v>42782</v>
      </c>
      <c r="B6234" s="10" t="s">
        <v>12826</v>
      </c>
      <c r="C6234" s="10" t="s">
        <v>12827</v>
      </c>
      <c r="D6234" s="11">
        <v>42782.70071759259</v>
      </c>
      <c r="E6234" s="10" t="s">
        <v>656</v>
      </c>
    </row>
    <row r="6235" spans="1:5">
      <c r="A6235" s="11">
        <v>42782</v>
      </c>
      <c r="B6235" s="10" t="s">
        <v>12828</v>
      </c>
      <c r="C6235" s="10" t="s">
        <v>12829</v>
      </c>
      <c r="D6235" s="11">
        <v>42782.669618055559</v>
      </c>
      <c r="E6235" s="10" t="s">
        <v>215</v>
      </c>
    </row>
    <row r="6236" spans="1:5">
      <c r="A6236" s="11">
        <v>42782</v>
      </c>
      <c r="B6236" s="10" t="s">
        <v>12830</v>
      </c>
      <c r="C6236" s="10" t="s">
        <v>12831</v>
      </c>
      <c r="D6236" s="11">
        <v>42782.701111111113</v>
      </c>
      <c r="E6236" s="10" t="s">
        <v>433</v>
      </c>
    </row>
    <row r="6237" spans="1:5">
      <c r="A6237" s="11">
        <v>42419</v>
      </c>
      <c r="B6237" s="10" t="s">
        <v>12832</v>
      </c>
      <c r="C6237" s="10" t="s">
        <v>12833</v>
      </c>
      <c r="D6237" s="11">
        <v>42437.580752314818</v>
      </c>
      <c r="E6237" s="10" t="s">
        <v>320</v>
      </c>
    </row>
    <row r="6238" spans="1:5">
      <c r="A6238" s="11">
        <v>42426</v>
      </c>
      <c r="B6238" s="10" t="s">
        <v>12834</v>
      </c>
      <c r="C6238" s="10" t="s">
        <v>12835</v>
      </c>
      <c r="D6238" s="11">
        <v>42431.449803240743</v>
      </c>
      <c r="E6238" s="10" t="s">
        <v>122</v>
      </c>
    </row>
    <row r="6239" spans="1:5" ht="21.6">
      <c r="A6239" s="11">
        <v>42438</v>
      </c>
      <c r="B6239" s="10" t="s">
        <v>12836</v>
      </c>
      <c r="C6239" s="10" t="s">
        <v>12837</v>
      </c>
      <c r="D6239" s="11">
        <v>42440.495115740741</v>
      </c>
      <c r="E6239" s="10" t="s">
        <v>499</v>
      </c>
    </row>
    <row r="6240" spans="1:5" ht="21.6">
      <c r="A6240" s="11">
        <v>42439</v>
      </c>
      <c r="B6240" s="10" t="s">
        <v>12838</v>
      </c>
      <c r="C6240" s="10" t="s">
        <v>12839</v>
      </c>
      <c r="D6240" s="11">
        <v>42443.444537037038</v>
      </c>
      <c r="E6240" s="10" t="s">
        <v>966</v>
      </c>
    </row>
    <row r="6241" spans="1:5" ht="21.6">
      <c r="A6241" s="11">
        <v>42442</v>
      </c>
      <c r="B6241" s="10" t="s">
        <v>12840</v>
      </c>
      <c r="C6241" s="10" t="s">
        <v>12841</v>
      </c>
      <c r="D6241" s="11">
        <v>42442.811921296299</v>
      </c>
      <c r="E6241" s="10" t="s">
        <v>1155</v>
      </c>
    </row>
    <row r="6242" spans="1:5">
      <c r="A6242" s="11">
        <v>42753</v>
      </c>
      <c r="B6242" s="10" t="s">
        <v>12842</v>
      </c>
      <c r="C6242" s="10" t="s">
        <v>12843</v>
      </c>
      <c r="D6242" s="11">
        <v>42771.424629629626</v>
      </c>
      <c r="E6242" s="10" t="s">
        <v>2284</v>
      </c>
    </row>
    <row r="6243" spans="1:5">
      <c r="A6243" s="11">
        <v>42770</v>
      </c>
      <c r="B6243" s="10" t="s">
        <v>12844</v>
      </c>
      <c r="C6243" s="10" t="s">
        <v>12845</v>
      </c>
      <c r="D6243" s="11">
        <v>42782.384780092594</v>
      </c>
      <c r="E6243" s="10" t="s">
        <v>212</v>
      </c>
    </row>
    <row r="6244" spans="1:5">
      <c r="A6244" s="11">
        <v>42772</v>
      </c>
      <c r="B6244" s="10" t="s">
        <v>12846</v>
      </c>
      <c r="C6244" s="10" t="s">
        <v>12847</v>
      </c>
      <c r="D6244" s="11">
        <v>42772.426134259258</v>
      </c>
      <c r="E6244" s="10" t="s">
        <v>3997</v>
      </c>
    </row>
    <row r="6245" spans="1:5">
      <c r="A6245" s="11">
        <v>42780</v>
      </c>
      <c r="B6245" s="10" t="s">
        <v>12848</v>
      </c>
      <c r="C6245" s="10" t="s">
        <v>12849</v>
      </c>
      <c r="D6245" s="11">
        <v>42780.690127314818</v>
      </c>
      <c r="E6245" s="10" t="s">
        <v>902</v>
      </c>
    </row>
    <row r="6246" spans="1:5">
      <c r="A6246" s="11">
        <v>42781</v>
      </c>
      <c r="B6246" s="10" t="s">
        <v>12850</v>
      </c>
      <c r="C6246" s="10" t="s">
        <v>12851</v>
      </c>
      <c r="D6246" s="11">
        <v>42781.400972222225</v>
      </c>
      <c r="E6246" s="10" t="s">
        <v>212</v>
      </c>
    </row>
    <row r="6247" spans="1:5">
      <c r="A6247" s="11">
        <v>42782</v>
      </c>
      <c r="B6247" s="10" t="s">
        <v>12852</v>
      </c>
      <c r="C6247" s="10" t="s">
        <v>12853</v>
      </c>
      <c r="D6247" s="11">
        <v>42782.605393518519</v>
      </c>
      <c r="E6247" s="10" t="s">
        <v>380</v>
      </c>
    </row>
    <row r="6248" spans="1:5">
      <c r="A6248" s="11">
        <v>42782</v>
      </c>
      <c r="B6248" s="10" t="s">
        <v>12854</v>
      </c>
      <c r="C6248" s="10" t="s">
        <v>12855</v>
      </c>
      <c r="D6248" s="11">
        <v>42782.613738425927</v>
      </c>
      <c r="E6248" s="10" t="s">
        <v>6178</v>
      </c>
    </row>
    <row r="6249" spans="1:5">
      <c r="A6249" s="11">
        <v>42363</v>
      </c>
      <c r="B6249" s="10" t="s">
        <v>12856</v>
      </c>
      <c r="C6249" s="10" t="s">
        <v>12857</v>
      </c>
      <c r="D6249" s="11">
        <v>42440.789375</v>
      </c>
      <c r="E6249" s="10" t="s">
        <v>240</v>
      </c>
    </row>
    <row r="6250" spans="1:5" ht="21.6">
      <c r="A6250" s="11">
        <v>42426</v>
      </c>
      <c r="B6250" s="10" t="s">
        <v>12858</v>
      </c>
      <c r="C6250" s="10" t="s">
        <v>12859</v>
      </c>
      <c r="D6250" s="11">
        <v>42437.423043981478</v>
      </c>
      <c r="E6250" s="10" t="s">
        <v>165</v>
      </c>
    </row>
    <row r="6251" spans="1:5">
      <c r="A6251" s="11">
        <v>42428</v>
      </c>
      <c r="B6251" s="10" t="s">
        <v>12860</v>
      </c>
      <c r="C6251" s="10" t="s">
        <v>12861</v>
      </c>
      <c r="D6251" s="11">
        <v>42429.558148148149</v>
      </c>
      <c r="E6251" s="10" t="s">
        <v>178</v>
      </c>
    </row>
    <row r="6252" spans="1:5">
      <c r="A6252" s="11">
        <v>42429</v>
      </c>
      <c r="B6252" s="10" t="s">
        <v>12862</v>
      </c>
      <c r="C6252" s="10" t="s">
        <v>12863</v>
      </c>
      <c r="D6252" s="11">
        <v>42439.679224537038</v>
      </c>
      <c r="E6252" s="10" t="s">
        <v>209</v>
      </c>
    </row>
    <row r="6253" spans="1:5">
      <c r="A6253" s="11">
        <v>42433</v>
      </c>
      <c r="B6253" s="10" t="s">
        <v>12864</v>
      </c>
      <c r="C6253" s="10" t="s">
        <v>12865</v>
      </c>
      <c r="D6253" s="11">
        <v>42433.676562499997</v>
      </c>
      <c r="E6253" s="10" t="s">
        <v>414</v>
      </c>
    </row>
    <row r="6254" spans="1:5">
      <c r="A6254" s="11">
        <v>42433</v>
      </c>
      <c r="B6254" s="10" t="s">
        <v>12866</v>
      </c>
      <c r="C6254" s="10" t="s">
        <v>12867</v>
      </c>
      <c r="D6254" s="11">
        <v>42436.515497685185</v>
      </c>
      <c r="E6254" s="10" t="s">
        <v>209</v>
      </c>
    </row>
    <row r="6255" spans="1:5">
      <c r="A6255" s="11">
        <v>42434</v>
      </c>
      <c r="B6255" s="10" t="s">
        <v>12868</v>
      </c>
      <c r="C6255" s="10" t="s">
        <v>12869</v>
      </c>
      <c r="D6255" s="11">
        <v>42442.411793981482</v>
      </c>
      <c r="E6255" s="10" t="s">
        <v>365</v>
      </c>
    </row>
    <row r="6256" spans="1:5">
      <c r="A6256" s="11">
        <v>42434</v>
      </c>
      <c r="B6256" s="10" t="s">
        <v>12870</v>
      </c>
      <c r="C6256" s="10" t="s">
        <v>12871</v>
      </c>
      <c r="D6256" s="11">
        <v>42434.900891203702</v>
      </c>
      <c r="E6256" s="10" t="s">
        <v>414</v>
      </c>
    </row>
    <row r="6257" spans="1:5" ht="21.6">
      <c r="A6257" s="11">
        <v>42435</v>
      </c>
      <c r="B6257" s="10" t="s">
        <v>12872</v>
      </c>
      <c r="C6257" s="10" t="s">
        <v>12873</v>
      </c>
      <c r="D6257" s="11">
        <v>42435.40483796296</v>
      </c>
      <c r="E6257" s="10" t="s">
        <v>149</v>
      </c>
    </row>
    <row r="6258" spans="1:5">
      <c r="A6258" s="11">
        <v>42436</v>
      </c>
      <c r="B6258" s="10" t="s">
        <v>12874</v>
      </c>
      <c r="C6258" s="10" t="s">
        <v>12875</v>
      </c>
      <c r="D6258" s="11">
        <v>42436.44258101852</v>
      </c>
      <c r="E6258" s="10" t="s">
        <v>353</v>
      </c>
    </row>
    <row r="6259" spans="1:5">
      <c r="A6259" s="11">
        <v>42436</v>
      </c>
      <c r="B6259" s="10" t="s">
        <v>12876</v>
      </c>
      <c r="C6259" s="10" t="s">
        <v>12877</v>
      </c>
      <c r="D6259" s="11">
        <v>42438.604074074072</v>
      </c>
      <c r="E6259" s="10" t="s">
        <v>292</v>
      </c>
    </row>
    <row r="6260" spans="1:5">
      <c r="A6260" s="11">
        <v>42437</v>
      </c>
      <c r="B6260" s="10" t="s">
        <v>12878</v>
      </c>
      <c r="C6260" s="10" t="s">
        <v>12879</v>
      </c>
      <c r="D6260" s="11">
        <v>42437.124895833331</v>
      </c>
      <c r="E6260" s="10" t="s">
        <v>414</v>
      </c>
    </row>
    <row r="6261" spans="1:5">
      <c r="A6261" s="11">
        <v>42437</v>
      </c>
      <c r="B6261" s="10" t="s">
        <v>12880</v>
      </c>
      <c r="C6261" s="10" t="s">
        <v>12881</v>
      </c>
      <c r="D6261" s="11">
        <v>42437.37091435185</v>
      </c>
      <c r="E6261" s="10" t="s">
        <v>292</v>
      </c>
    </row>
    <row r="6262" spans="1:5">
      <c r="A6262" s="11">
        <v>42437</v>
      </c>
      <c r="B6262" s="10" t="s">
        <v>12882</v>
      </c>
      <c r="C6262" s="10" t="s">
        <v>12883</v>
      </c>
      <c r="D6262" s="11">
        <v>42437.390046296299</v>
      </c>
      <c r="E6262" s="10" t="s">
        <v>335</v>
      </c>
    </row>
    <row r="6263" spans="1:5">
      <c r="A6263" s="11">
        <v>42437</v>
      </c>
      <c r="B6263" s="10" t="s">
        <v>12884</v>
      </c>
      <c r="C6263" s="10" t="s">
        <v>12885</v>
      </c>
      <c r="D6263" s="11">
        <v>42437.605347222219</v>
      </c>
      <c r="E6263" s="10" t="s">
        <v>373</v>
      </c>
    </row>
    <row r="6264" spans="1:5">
      <c r="A6264" s="11">
        <v>42437</v>
      </c>
      <c r="B6264" s="10" t="s">
        <v>12886</v>
      </c>
      <c r="C6264" s="10" t="s">
        <v>12887</v>
      </c>
      <c r="D6264" s="11">
        <v>42437.792974537035</v>
      </c>
      <c r="E6264" s="10" t="s">
        <v>292</v>
      </c>
    </row>
    <row r="6265" spans="1:5">
      <c r="A6265" s="11">
        <v>42438</v>
      </c>
      <c r="B6265" s="10" t="s">
        <v>12888</v>
      </c>
      <c r="C6265" s="10" t="s">
        <v>12889</v>
      </c>
      <c r="D6265" s="11">
        <v>42438.443645833337</v>
      </c>
      <c r="E6265" s="10" t="s">
        <v>414</v>
      </c>
    </row>
    <row r="6266" spans="1:5">
      <c r="A6266" s="11">
        <v>42438</v>
      </c>
      <c r="B6266" s="10" t="s">
        <v>12890</v>
      </c>
      <c r="C6266" s="10" t="s">
        <v>12891</v>
      </c>
      <c r="D6266" s="11">
        <v>42438.511261574073</v>
      </c>
      <c r="E6266" s="10" t="s">
        <v>373</v>
      </c>
    </row>
    <row r="6267" spans="1:5">
      <c r="A6267" s="11">
        <v>42438</v>
      </c>
      <c r="B6267" s="10" t="s">
        <v>12892</v>
      </c>
      <c r="C6267" s="10" t="s">
        <v>12893</v>
      </c>
      <c r="D6267" s="11">
        <v>42441.523043981484</v>
      </c>
      <c r="E6267" s="10" t="s">
        <v>365</v>
      </c>
    </row>
    <row r="6268" spans="1:5">
      <c r="A6268" s="11">
        <v>42438</v>
      </c>
      <c r="B6268" s="10" t="s">
        <v>12894</v>
      </c>
      <c r="C6268" s="10" t="s">
        <v>12895</v>
      </c>
      <c r="D6268" s="11">
        <v>42440.486562500002</v>
      </c>
      <c r="E6268" s="10" t="s">
        <v>373</v>
      </c>
    </row>
    <row r="6269" spans="1:5">
      <c r="A6269" s="11">
        <v>42438</v>
      </c>
      <c r="B6269" s="10" t="s">
        <v>12896</v>
      </c>
      <c r="C6269" s="10" t="s">
        <v>12897</v>
      </c>
      <c r="D6269" s="11">
        <v>42438.730115740742</v>
      </c>
      <c r="E6269" s="10" t="s">
        <v>414</v>
      </c>
    </row>
    <row r="6270" spans="1:5">
      <c r="A6270" s="11">
        <v>42438</v>
      </c>
      <c r="B6270" s="10" t="s">
        <v>12898</v>
      </c>
      <c r="C6270" s="10" t="s">
        <v>12899</v>
      </c>
      <c r="D6270" s="11">
        <v>42438.936608796299</v>
      </c>
      <c r="E6270" s="10" t="s">
        <v>433</v>
      </c>
    </row>
    <row r="6271" spans="1:5">
      <c r="A6271" s="11">
        <v>42438</v>
      </c>
      <c r="B6271" s="10" t="s">
        <v>12900</v>
      </c>
      <c r="C6271" s="10" t="s">
        <v>12901</v>
      </c>
      <c r="D6271" s="11">
        <v>42440.47184027778</v>
      </c>
      <c r="E6271" s="10" t="s">
        <v>292</v>
      </c>
    </row>
    <row r="6272" spans="1:5">
      <c r="A6272" s="11">
        <v>42439</v>
      </c>
      <c r="B6272" s="10" t="s">
        <v>12902</v>
      </c>
      <c r="C6272" s="10" t="s">
        <v>12903</v>
      </c>
      <c r="D6272" s="11">
        <v>42439.42628472222</v>
      </c>
      <c r="E6272" s="10" t="s">
        <v>292</v>
      </c>
    </row>
    <row r="6273" spans="1:5">
      <c r="A6273" s="11">
        <v>42439</v>
      </c>
      <c r="B6273" s="10" t="s">
        <v>12904</v>
      </c>
      <c r="C6273" s="10" t="s">
        <v>12905</v>
      </c>
      <c r="D6273" s="11">
        <v>42439.448784722219</v>
      </c>
      <c r="E6273" s="10" t="s">
        <v>414</v>
      </c>
    </row>
    <row r="6274" spans="1:5">
      <c r="A6274" s="11">
        <v>42439</v>
      </c>
      <c r="B6274" s="10" t="s">
        <v>12906</v>
      </c>
      <c r="C6274" s="10" t="s">
        <v>12907</v>
      </c>
      <c r="D6274" s="11">
        <v>42442.612581018519</v>
      </c>
      <c r="E6274" s="10" t="s">
        <v>414</v>
      </c>
    </row>
    <row r="6275" spans="1:5">
      <c r="A6275" s="11">
        <v>42439</v>
      </c>
      <c r="B6275" s="10" t="s">
        <v>12908</v>
      </c>
      <c r="C6275" s="10" t="s">
        <v>12909</v>
      </c>
      <c r="D6275" s="11">
        <v>42439.832025462965</v>
      </c>
      <c r="E6275" s="10" t="s">
        <v>373</v>
      </c>
    </row>
    <row r="6276" spans="1:5">
      <c r="A6276" s="11">
        <v>42440</v>
      </c>
      <c r="B6276" s="10" t="s">
        <v>12910</v>
      </c>
      <c r="C6276" s="10" t="s">
        <v>12911</v>
      </c>
      <c r="D6276" s="11">
        <v>42440.355393518519</v>
      </c>
      <c r="E6276" s="10" t="s">
        <v>414</v>
      </c>
    </row>
    <row r="6277" spans="1:5">
      <c r="A6277" s="11">
        <v>42440</v>
      </c>
      <c r="B6277" s="10" t="s">
        <v>12912</v>
      </c>
      <c r="C6277" s="10" t="s">
        <v>12913</v>
      </c>
      <c r="D6277" s="11">
        <v>42440.406990740739</v>
      </c>
      <c r="E6277" s="10" t="s">
        <v>292</v>
      </c>
    </row>
    <row r="6278" spans="1:5">
      <c r="A6278" s="11">
        <v>42440</v>
      </c>
      <c r="B6278" s="10" t="s">
        <v>12914</v>
      </c>
      <c r="C6278" s="10" t="s">
        <v>12915</v>
      </c>
      <c r="D6278" s="11">
        <v>42440.492083333331</v>
      </c>
      <c r="E6278" s="10" t="s">
        <v>414</v>
      </c>
    </row>
    <row r="6279" spans="1:5">
      <c r="A6279" s="11">
        <v>42440</v>
      </c>
      <c r="B6279" s="10" t="s">
        <v>12916</v>
      </c>
      <c r="C6279" s="10" t="s">
        <v>12917</v>
      </c>
      <c r="D6279" s="11">
        <v>42440.534814814811</v>
      </c>
      <c r="E6279" s="10" t="s">
        <v>373</v>
      </c>
    </row>
    <row r="6280" spans="1:5">
      <c r="A6280" s="11">
        <v>42440</v>
      </c>
      <c r="B6280" s="10" t="s">
        <v>12918</v>
      </c>
      <c r="C6280" s="10" t="s">
        <v>12919</v>
      </c>
      <c r="D6280" s="11">
        <v>42440.599918981483</v>
      </c>
      <c r="E6280" s="10" t="s">
        <v>218</v>
      </c>
    </row>
    <row r="6281" spans="1:5">
      <c r="A6281" s="11">
        <v>42440</v>
      </c>
      <c r="B6281" s="10" t="s">
        <v>12920</v>
      </c>
      <c r="C6281" s="10" t="s">
        <v>12921</v>
      </c>
      <c r="D6281" s="11">
        <v>42440.600844907407</v>
      </c>
      <c r="E6281" s="10" t="s">
        <v>292</v>
      </c>
    </row>
    <row r="6282" spans="1:5">
      <c r="A6282" s="11">
        <v>42440</v>
      </c>
      <c r="B6282" s="10" t="s">
        <v>12922</v>
      </c>
      <c r="C6282" s="10" t="s">
        <v>12923</v>
      </c>
      <c r="D6282" s="11">
        <v>42440.648402777777</v>
      </c>
      <c r="E6282" s="10" t="s">
        <v>373</v>
      </c>
    </row>
    <row r="6283" spans="1:5">
      <c r="A6283" s="11">
        <v>42440</v>
      </c>
      <c r="B6283" s="10" t="s">
        <v>12924</v>
      </c>
      <c r="C6283" s="10" t="s">
        <v>12925</v>
      </c>
      <c r="D6283" s="11">
        <v>42440.684710648151</v>
      </c>
      <c r="E6283" s="10" t="s">
        <v>414</v>
      </c>
    </row>
    <row r="6284" spans="1:5">
      <c r="A6284" s="11">
        <v>42440</v>
      </c>
      <c r="B6284" s="10" t="s">
        <v>12926</v>
      </c>
      <c r="C6284" s="10" t="s">
        <v>12927</v>
      </c>
      <c r="D6284" s="11">
        <v>42440.734398148146</v>
      </c>
      <c r="E6284" s="10" t="s">
        <v>292</v>
      </c>
    </row>
    <row r="6285" spans="1:5">
      <c r="A6285" s="11">
        <v>42440</v>
      </c>
      <c r="B6285" s="10" t="s">
        <v>12928</v>
      </c>
      <c r="C6285" s="10" t="s">
        <v>12929</v>
      </c>
      <c r="D6285" s="11">
        <v>42440.864884259259</v>
      </c>
      <c r="E6285" s="10" t="s">
        <v>414</v>
      </c>
    </row>
    <row r="6286" spans="1:5" ht="21.6">
      <c r="A6286" s="11">
        <v>42440</v>
      </c>
      <c r="B6286" s="10" t="s">
        <v>12930</v>
      </c>
      <c r="C6286" s="10" t="s">
        <v>12931</v>
      </c>
      <c r="D6286" s="11">
        <v>42441.830613425926</v>
      </c>
      <c r="E6286" s="10" t="s">
        <v>133</v>
      </c>
    </row>
    <row r="6287" spans="1:5">
      <c r="A6287" s="11">
        <v>42440</v>
      </c>
      <c r="B6287" s="10" t="s">
        <v>12932</v>
      </c>
      <c r="C6287" s="10" t="s">
        <v>12933</v>
      </c>
      <c r="D6287" s="11">
        <v>42440.88722222222</v>
      </c>
      <c r="E6287" s="10" t="s">
        <v>414</v>
      </c>
    </row>
    <row r="6288" spans="1:5">
      <c r="A6288" s="11">
        <v>42440</v>
      </c>
      <c r="B6288" s="10" t="s">
        <v>12934</v>
      </c>
      <c r="C6288" s="10" t="s">
        <v>12935</v>
      </c>
      <c r="D6288" s="11">
        <v>42440.927083333336</v>
      </c>
      <c r="E6288" s="10" t="s">
        <v>414</v>
      </c>
    </row>
    <row r="6289" spans="1:5">
      <c r="A6289" s="11">
        <v>42441</v>
      </c>
      <c r="B6289" s="10" t="s">
        <v>12936</v>
      </c>
      <c r="C6289" s="10" t="s">
        <v>12937</v>
      </c>
      <c r="D6289" s="11">
        <v>42441.406273148146</v>
      </c>
      <c r="E6289" s="10" t="s">
        <v>414</v>
      </c>
    </row>
    <row r="6290" spans="1:5">
      <c r="A6290" s="11">
        <v>42441</v>
      </c>
      <c r="B6290" s="10" t="s">
        <v>12938</v>
      </c>
      <c r="C6290" s="10" t="s">
        <v>12939</v>
      </c>
      <c r="D6290" s="11">
        <v>42441.489004629628</v>
      </c>
      <c r="E6290" s="10" t="s">
        <v>414</v>
      </c>
    </row>
    <row r="6291" spans="1:5">
      <c r="A6291" s="11">
        <v>42441</v>
      </c>
      <c r="B6291" s="10" t="s">
        <v>12940</v>
      </c>
      <c r="C6291" s="10" t="s">
        <v>12941</v>
      </c>
      <c r="D6291" s="11">
        <v>42441.516689814816</v>
      </c>
      <c r="E6291" s="10" t="s">
        <v>414</v>
      </c>
    </row>
    <row r="6292" spans="1:5">
      <c r="A6292" s="11">
        <v>42441</v>
      </c>
      <c r="B6292" s="10" t="s">
        <v>12942</v>
      </c>
      <c r="C6292" s="10" t="s">
        <v>12943</v>
      </c>
      <c r="D6292" s="11">
        <v>42441.604791666665</v>
      </c>
      <c r="E6292" s="10" t="s">
        <v>414</v>
      </c>
    </row>
    <row r="6293" spans="1:5">
      <c r="A6293" s="11">
        <v>42441</v>
      </c>
      <c r="B6293" s="10" t="s">
        <v>12944</v>
      </c>
      <c r="C6293" s="10" t="s">
        <v>12945</v>
      </c>
      <c r="D6293" s="11">
        <v>42441.637986111113</v>
      </c>
      <c r="E6293" s="10" t="s">
        <v>218</v>
      </c>
    </row>
    <row r="6294" spans="1:5" ht="21.6">
      <c r="A6294" s="11">
        <v>42441</v>
      </c>
      <c r="B6294" s="10" t="s">
        <v>12946</v>
      </c>
      <c r="C6294" s="10" t="s">
        <v>12947</v>
      </c>
      <c r="D6294" s="11">
        <v>42441.795057870368</v>
      </c>
      <c r="E6294" s="10" t="s">
        <v>661</v>
      </c>
    </row>
    <row r="6295" spans="1:5">
      <c r="A6295" s="11">
        <v>42441</v>
      </c>
      <c r="B6295" s="10" t="s">
        <v>12948</v>
      </c>
      <c r="C6295" s="10" t="s">
        <v>12949</v>
      </c>
      <c r="D6295" s="11">
        <v>42441.900613425925</v>
      </c>
      <c r="E6295" s="10" t="s">
        <v>218</v>
      </c>
    </row>
    <row r="6296" spans="1:5" ht="21.6">
      <c r="A6296" s="11">
        <v>42441</v>
      </c>
      <c r="B6296" s="10" t="s">
        <v>12950</v>
      </c>
      <c r="C6296" s="10" t="s">
        <v>12951</v>
      </c>
      <c r="D6296" s="11">
        <v>42441.914513888885</v>
      </c>
      <c r="E6296" s="10" t="s">
        <v>910</v>
      </c>
    </row>
    <row r="6297" spans="1:5">
      <c r="A6297" s="11">
        <v>42442</v>
      </c>
      <c r="B6297" s="10" t="s">
        <v>12952</v>
      </c>
      <c r="C6297" s="10" t="s">
        <v>12953</v>
      </c>
      <c r="D6297" s="11">
        <v>42442.361527777779</v>
      </c>
      <c r="E6297" s="10" t="s">
        <v>414</v>
      </c>
    </row>
    <row r="6298" spans="1:5" ht="21.6">
      <c r="A6298" s="11">
        <v>42442</v>
      </c>
      <c r="B6298" s="10" t="s">
        <v>12954</v>
      </c>
      <c r="C6298" s="10" t="s">
        <v>12955</v>
      </c>
      <c r="D6298" s="11">
        <v>42442.401724537034</v>
      </c>
      <c r="E6298" s="10" t="s">
        <v>661</v>
      </c>
    </row>
    <row r="6299" spans="1:5">
      <c r="A6299" s="11">
        <v>42442</v>
      </c>
      <c r="B6299" s="10" t="s">
        <v>12956</v>
      </c>
      <c r="C6299" s="10" t="s">
        <v>12957</v>
      </c>
      <c r="D6299" s="11">
        <v>42442.850486111114</v>
      </c>
      <c r="E6299" s="10" t="s">
        <v>292</v>
      </c>
    </row>
    <row r="6300" spans="1:5">
      <c r="A6300" s="11">
        <v>42442</v>
      </c>
      <c r="B6300" s="10" t="s">
        <v>12958</v>
      </c>
      <c r="C6300" s="10" t="s">
        <v>12959</v>
      </c>
      <c r="D6300" s="11">
        <v>42442.512349537035</v>
      </c>
      <c r="E6300" s="10" t="s">
        <v>472</v>
      </c>
    </row>
    <row r="6301" spans="1:5" ht="21.6">
      <c r="A6301" s="11">
        <v>42442</v>
      </c>
      <c r="B6301" s="10" t="s">
        <v>12960</v>
      </c>
      <c r="C6301" s="10" t="s">
        <v>12961</v>
      </c>
      <c r="D6301" s="11">
        <v>42442.526331018518</v>
      </c>
      <c r="E6301" s="10" t="s">
        <v>910</v>
      </c>
    </row>
    <row r="6302" spans="1:5">
      <c r="A6302" s="11">
        <v>42442</v>
      </c>
      <c r="B6302" s="10" t="s">
        <v>12962</v>
      </c>
      <c r="C6302" s="10" t="s">
        <v>12963</v>
      </c>
      <c r="D6302" s="11">
        <v>42442.590624999997</v>
      </c>
      <c r="E6302" s="10" t="s">
        <v>414</v>
      </c>
    </row>
    <row r="6303" spans="1:5">
      <c r="A6303" s="11">
        <v>42442</v>
      </c>
      <c r="B6303" s="10" t="s">
        <v>12964</v>
      </c>
      <c r="C6303" s="10" t="s">
        <v>12965</v>
      </c>
      <c r="D6303" s="11">
        <v>42442.711331018516</v>
      </c>
      <c r="E6303" s="10" t="s">
        <v>414</v>
      </c>
    </row>
    <row r="6304" spans="1:5">
      <c r="A6304" s="11">
        <v>42442</v>
      </c>
      <c r="B6304" s="10" t="s">
        <v>12966</v>
      </c>
      <c r="C6304" s="10" t="s">
        <v>12967</v>
      </c>
      <c r="D6304" s="11">
        <v>42442.780462962961</v>
      </c>
      <c r="E6304" s="10" t="s">
        <v>292</v>
      </c>
    </row>
    <row r="6305" spans="1:5" ht="21.6">
      <c r="A6305" s="11">
        <v>42442</v>
      </c>
      <c r="B6305" s="10" t="s">
        <v>12968</v>
      </c>
      <c r="C6305" s="10" t="s">
        <v>12969</v>
      </c>
      <c r="D6305" s="11">
        <v>42442.786307870374</v>
      </c>
      <c r="E6305" s="10" t="s">
        <v>910</v>
      </c>
    </row>
    <row r="6306" spans="1:5">
      <c r="A6306" s="11">
        <v>42442</v>
      </c>
      <c r="B6306" s="10" t="s">
        <v>12970</v>
      </c>
      <c r="C6306" s="10" t="s">
        <v>12971</v>
      </c>
      <c r="D6306" s="11">
        <v>42442.794224537036</v>
      </c>
      <c r="E6306" s="10" t="s">
        <v>414</v>
      </c>
    </row>
    <row r="6307" spans="1:5">
      <c r="A6307" s="11">
        <v>42442</v>
      </c>
      <c r="B6307" s="10" t="s">
        <v>12972</v>
      </c>
      <c r="C6307" s="10" t="s">
        <v>12973</v>
      </c>
      <c r="D6307" s="11">
        <v>42442.828217592592</v>
      </c>
      <c r="E6307" s="10" t="s">
        <v>108</v>
      </c>
    </row>
    <row r="6308" spans="1:5">
      <c r="A6308" s="11">
        <v>42442</v>
      </c>
      <c r="B6308" s="10" t="s">
        <v>12974</v>
      </c>
      <c r="C6308" s="10" t="s">
        <v>12975</v>
      </c>
      <c r="D6308" s="11">
        <v>42442.828402777777</v>
      </c>
      <c r="E6308" s="10" t="s">
        <v>414</v>
      </c>
    </row>
    <row r="6309" spans="1:5">
      <c r="A6309" s="11">
        <v>42442</v>
      </c>
      <c r="B6309" s="10" t="s">
        <v>12976</v>
      </c>
      <c r="C6309" s="10" t="s">
        <v>12977</v>
      </c>
      <c r="D6309" s="11">
        <v>42442.879305555558</v>
      </c>
      <c r="E6309" s="10" t="s">
        <v>292</v>
      </c>
    </row>
    <row r="6310" spans="1:5">
      <c r="A6310" s="11">
        <v>42442</v>
      </c>
      <c r="B6310" s="10" t="s">
        <v>12978</v>
      </c>
      <c r="C6310" s="10" t="s">
        <v>12979</v>
      </c>
      <c r="D6310" s="11">
        <v>42442.91605324074</v>
      </c>
      <c r="E6310" s="10" t="s">
        <v>108</v>
      </c>
    </row>
    <row r="6311" spans="1:5">
      <c r="A6311" s="11">
        <v>42442</v>
      </c>
      <c r="B6311" s="10" t="s">
        <v>12980</v>
      </c>
      <c r="C6311" s="10" t="s">
        <v>12981</v>
      </c>
      <c r="D6311" s="11">
        <v>42442.924814814818</v>
      </c>
      <c r="E6311" s="10" t="s">
        <v>414</v>
      </c>
    </row>
    <row r="6312" spans="1:5">
      <c r="A6312" s="11">
        <v>42442</v>
      </c>
      <c r="B6312" s="10" t="s">
        <v>12982</v>
      </c>
      <c r="C6312" s="10" t="s">
        <v>12983</v>
      </c>
      <c r="D6312" s="11">
        <v>42442.928530092591</v>
      </c>
      <c r="E6312" s="10" t="s">
        <v>414</v>
      </c>
    </row>
    <row r="6313" spans="1:5">
      <c r="A6313" s="11">
        <v>42442</v>
      </c>
      <c r="B6313" s="10" t="s">
        <v>12984</v>
      </c>
      <c r="C6313" s="10" t="s">
        <v>12985</v>
      </c>
      <c r="D6313" s="11">
        <v>42442.932187500002</v>
      </c>
      <c r="E6313" s="10" t="s">
        <v>292</v>
      </c>
    </row>
    <row r="6314" spans="1:5">
      <c r="A6314" s="11">
        <v>42442</v>
      </c>
      <c r="B6314" s="10" t="s">
        <v>12986</v>
      </c>
      <c r="C6314" s="10" t="s">
        <v>12987</v>
      </c>
      <c r="D6314" s="11">
        <v>42442.946157407408</v>
      </c>
      <c r="E6314" s="10" t="s">
        <v>414</v>
      </c>
    </row>
    <row r="6315" spans="1:5">
      <c r="A6315" s="11">
        <v>42739</v>
      </c>
      <c r="B6315" s="10" t="s">
        <v>12988</v>
      </c>
      <c r="C6315" s="10" t="s">
        <v>12989</v>
      </c>
      <c r="D6315" s="11">
        <v>42782.664826388886</v>
      </c>
      <c r="E6315" s="10" t="s">
        <v>472</v>
      </c>
    </row>
    <row r="6316" spans="1:5">
      <c r="A6316" s="11">
        <v>42754</v>
      </c>
      <c r="B6316" s="10" t="s">
        <v>12990</v>
      </c>
      <c r="C6316" s="10" t="s">
        <v>12991</v>
      </c>
      <c r="D6316" s="11">
        <v>42779.459675925929</v>
      </c>
      <c r="E6316" s="10" t="s">
        <v>902</v>
      </c>
    </row>
    <row r="6317" spans="1:5">
      <c r="A6317" s="11">
        <v>42778</v>
      </c>
      <c r="B6317" s="10" t="s">
        <v>12992</v>
      </c>
      <c r="C6317" s="10" t="s">
        <v>12993</v>
      </c>
      <c r="D6317" s="11">
        <v>42782.588414351849</v>
      </c>
      <c r="E6317" s="10" t="s">
        <v>4865</v>
      </c>
    </row>
    <row r="6318" spans="1:5">
      <c r="A6318" s="11">
        <v>42782</v>
      </c>
      <c r="B6318" s="10" t="s">
        <v>12994</v>
      </c>
      <c r="C6318" s="10" t="s">
        <v>12995</v>
      </c>
      <c r="D6318" s="11">
        <v>42782.008425925924</v>
      </c>
      <c r="E6318" s="10" t="s">
        <v>380</v>
      </c>
    </row>
    <row r="6319" spans="1:5">
      <c r="A6319" s="11">
        <v>42782</v>
      </c>
      <c r="B6319" s="10" t="s">
        <v>12996</v>
      </c>
      <c r="C6319" s="10" t="s">
        <v>12997</v>
      </c>
      <c r="D6319" s="11">
        <v>42782.624236111114</v>
      </c>
      <c r="E6319" s="10" t="s">
        <v>422</v>
      </c>
    </row>
    <row r="6320" spans="1:5">
      <c r="A6320" s="11">
        <v>42440</v>
      </c>
      <c r="B6320" s="10" t="s">
        <v>12998</v>
      </c>
      <c r="C6320" s="10" t="s">
        <v>12999</v>
      </c>
      <c r="D6320" s="11">
        <v>42440.721412037034</v>
      </c>
      <c r="E6320" s="10" t="s">
        <v>440</v>
      </c>
    </row>
    <row r="6321" spans="1:5">
      <c r="A6321" s="11">
        <v>42442</v>
      </c>
      <c r="B6321" s="10" t="s">
        <v>13000</v>
      </c>
      <c r="C6321" s="10" t="s">
        <v>13001</v>
      </c>
      <c r="D6321" s="11">
        <v>42443.335162037038</v>
      </c>
      <c r="E6321" s="10" t="s">
        <v>977</v>
      </c>
    </row>
    <row r="6322" spans="1:5">
      <c r="A6322" s="11">
        <v>42442</v>
      </c>
      <c r="B6322" s="10" t="s">
        <v>13002</v>
      </c>
      <c r="C6322" s="10" t="s">
        <v>13003</v>
      </c>
      <c r="D6322" s="11">
        <v>42442.888599537036</v>
      </c>
      <c r="E6322" s="10" t="s">
        <v>440</v>
      </c>
    </row>
    <row r="6323" spans="1:5">
      <c r="A6323" s="11">
        <v>42564</v>
      </c>
      <c r="B6323" s="10" t="s">
        <v>13004</v>
      </c>
      <c r="C6323" s="10" t="s">
        <v>13005</v>
      </c>
      <c r="D6323" s="11">
        <v>42782.351423611108</v>
      </c>
      <c r="E6323" s="10" t="s">
        <v>13006</v>
      </c>
    </row>
    <row r="6324" spans="1:5">
      <c r="A6324" s="11">
        <v>42710</v>
      </c>
      <c r="B6324" s="10" t="s">
        <v>13007</v>
      </c>
      <c r="C6324" s="10" t="s">
        <v>13008</v>
      </c>
      <c r="D6324" s="11">
        <v>42776.729328703703</v>
      </c>
      <c r="E6324" s="10" t="s">
        <v>320</v>
      </c>
    </row>
    <row r="6325" spans="1:5">
      <c r="A6325" s="11">
        <v>42749</v>
      </c>
      <c r="B6325" s="10" t="s">
        <v>13009</v>
      </c>
      <c r="C6325" s="10" t="s">
        <v>13010</v>
      </c>
      <c r="D6325" s="11">
        <v>42775.778182870374</v>
      </c>
      <c r="E6325" s="10" t="s">
        <v>209</v>
      </c>
    </row>
    <row r="6326" spans="1:5" ht="21.6">
      <c r="A6326" s="11">
        <v>42758</v>
      </c>
      <c r="B6326" s="10" t="s">
        <v>13011</v>
      </c>
      <c r="C6326" s="10" t="s">
        <v>13012</v>
      </c>
      <c r="D6326" s="11">
        <v>42770.899097222224</v>
      </c>
      <c r="E6326" s="10" t="s">
        <v>13013</v>
      </c>
    </row>
    <row r="6327" spans="1:5">
      <c r="A6327" s="11">
        <v>42772</v>
      </c>
      <c r="B6327" s="10" t="s">
        <v>13014</v>
      </c>
      <c r="C6327" s="10" t="s">
        <v>13015</v>
      </c>
      <c r="D6327" s="11">
        <v>42772.362256944441</v>
      </c>
      <c r="E6327" s="10" t="s">
        <v>13016</v>
      </c>
    </row>
    <row r="6328" spans="1:5">
      <c r="A6328" s="11">
        <v>42777</v>
      </c>
      <c r="B6328" s="10" t="s">
        <v>13017</v>
      </c>
      <c r="C6328" s="10" t="s">
        <v>13018</v>
      </c>
      <c r="D6328" s="11">
        <v>42777.871365740742</v>
      </c>
      <c r="E6328" s="10" t="s">
        <v>13016</v>
      </c>
    </row>
    <row r="6329" spans="1:5">
      <c r="A6329" s="11">
        <v>42779</v>
      </c>
      <c r="B6329" s="10" t="s">
        <v>13019</v>
      </c>
      <c r="C6329" s="10" t="s">
        <v>13020</v>
      </c>
      <c r="D6329" s="11">
        <v>42782.672256944446</v>
      </c>
      <c r="E6329" s="10" t="s">
        <v>6727</v>
      </c>
    </row>
    <row r="6330" spans="1:5">
      <c r="A6330" s="11">
        <v>42779</v>
      </c>
      <c r="B6330" s="10" t="s">
        <v>13021</v>
      </c>
      <c r="C6330" s="10" t="s">
        <v>13022</v>
      </c>
      <c r="D6330" s="11">
        <v>42779.893067129633</v>
      </c>
      <c r="E6330" s="10" t="s">
        <v>6727</v>
      </c>
    </row>
    <row r="6331" spans="1:5">
      <c r="A6331" s="11">
        <v>42780</v>
      </c>
      <c r="B6331" s="10" t="s">
        <v>13023</v>
      </c>
      <c r="C6331" s="10" t="s">
        <v>13024</v>
      </c>
      <c r="D6331" s="11">
        <v>42780.54954861111</v>
      </c>
      <c r="E6331" s="10" t="s">
        <v>977</v>
      </c>
    </row>
    <row r="6332" spans="1:5" ht="21.6">
      <c r="A6332" s="11">
        <v>42780</v>
      </c>
      <c r="B6332" s="10" t="s">
        <v>13025</v>
      </c>
      <c r="C6332" s="10" t="s">
        <v>13026</v>
      </c>
      <c r="D6332" s="11">
        <v>42780.748368055552</v>
      </c>
      <c r="E6332" s="10" t="s">
        <v>226</v>
      </c>
    </row>
    <row r="6333" spans="1:5">
      <c r="A6333" s="11">
        <v>42780</v>
      </c>
      <c r="B6333" s="10" t="s">
        <v>13027</v>
      </c>
      <c r="C6333" s="10" t="s">
        <v>13028</v>
      </c>
      <c r="D6333" s="11">
        <v>42780.806967592594</v>
      </c>
      <c r="E6333" s="10" t="s">
        <v>6727</v>
      </c>
    </row>
    <row r="6334" spans="1:5">
      <c r="A6334" s="11">
        <v>42781</v>
      </c>
      <c r="B6334" s="10" t="s">
        <v>13029</v>
      </c>
      <c r="C6334" s="10" t="s">
        <v>13030</v>
      </c>
      <c r="D6334" s="11">
        <v>42781.016689814816</v>
      </c>
      <c r="E6334" s="10" t="s">
        <v>6727</v>
      </c>
    </row>
    <row r="6335" spans="1:5">
      <c r="A6335" s="11">
        <v>42781</v>
      </c>
      <c r="B6335" s="10" t="s">
        <v>13031</v>
      </c>
      <c r="C6335" s="10" t="s">
        <v>13032</v>
      </c>
      <c r="D6335" s="11">
        <v>42781.229212962964</v>
      </c>
      <c r="E6335" s="10" t="s">
        <v>13016</v>
      </c>
    </row>
    <row r="6336" spans="1:5">
      <c r="A6336" s="11">
        <v>42781</v>
      </c>
      <c r="B6336" s="10" t="s">
        <v>13033</v>
      </c>
      <c r="C6336" s="10" t="s">
        <v>13034</v>
      </c>
      <c r="D6336" s="11">
        <v>42781.345868055556</v>
      </c>
      <c r="E6336" s="10" t="s">
        <v>6727</v>
      </c>
    </row>
    <row r="6337" spans="1:5">
      <c r="A6337" s="11">
        <v>42781</v>
      </c>
      <c r="B6337" s="10" t="s">
        <v>13035</v>
      </c>
      <c r="C6337" s="10" t="s">
        <v>13036</v>
      </c>
      <c r="D6337" s="11">
        <v>42781.412534722222</v>
      </c>
      <c r="E6337" s="10" t="s">
        <v>6727</v>
      </c>
    </row>
    <row r="6338" spans="1:5">
      <c r="A6338" s="11">
        <v>42781</v>
      </c>
      <c r="B6338" s="10" t="s">
        <v>13037</v>
      </c>
      <c r="C6338" s="10" t="s">
        <v>13038</v>
      </c>
      <c r="D6338" s="11">
        <v>42781.45003472222</v>
      </c>
      <c r="E6338" s="10" t="s">
        <v>6727</v>
      </c>
    </row>
    <row r="6339" spans="1:5">
      <c r="A6339" s="11">
        <v>42782</v>
      </c>
      <c r="B6339" s="10" t="s">
        <v>13039</v>
      </c>
      <c r="C6339" s="10" t="s">
        <v>13040</v>
      </c>
      <c r="D6339" s="11">
        <v>42782.34447916667</v>
      </c>
      <c r="E6339" s="10" t="s">
        <v>6727</v>
      </c>
    </row>
    <row r="6340" spans="1:5">
      <c r="A6340" s="11">
        <v>42782</v>
      </c>
      <c r="B6340" s="10" t="s">
        <v>13041</v>
      </c>
      <c r="C6340" s="10" t="s">
        <v>13042</v>
      </c>
      <c r="D6340" s="11">
        <v>42782.451319444444</v>
      </c>
      <c r="E6340" s="10" t="s">
        <v>105</v>
      </c>
    </row>
    <row r="6341" spans="1:5">
      <c r="A6341" s="11">
        <v>42782</v>
      </c>
      <c r="B6341" s="10" t="s">
        <v>13043</v>
      </c>
      <c r="C6341" s="10" t="s">
        <v>13044</v>
      </c>
      <c r="D6341" s="11">
        <v>42782.465312499997</v>
      </c>
      <c r="E6341" s="10" t="s">
        <v>946</v>
      </c>
    </row>
    <row r="6342" spans="1:5">
      <c r="A6342" s="11">
        <v>42782</v>
      </c>
      <c r="B6342" s="10" t="s">
        <v>13045</v>
      </c>
      <c r="C6342" s="10" t="s">
        <v>13046</v>
      </c>
      <c r="D6342" s="11">
        <v>42782.488912037035</v>
      </c>
      <c r="E6342" s="10" t="s">
        <v>6727</v>
      </c>
    </row>
    <row r="6343" spans="1:5">
      <c r="A6343" s="11">
        <v>42782</v>
      </c>
      <c r="B6343" s="10" t="s">
        <v>13047</v>
      </c>
      <c r="C6343" s="10" t="s">
        <v>13048</v>
      </c>
      <c r="D6343" s="11">
        <v>42782.618078703701</v>
      </c>
      <c r="E6343" s="10" t="s">
        <v>670</v>
      </c>
    </row>
    <row r="6344" spans="1:5">
      <c r="A6344" s="11">
        <v>42782</v>
      </c>
      <c r="B6344" s="10" t="s">
        <v>13049</v>
      </c>
      <c r="C6344" s="10" t="s">
        <v>13050</v>
      </c>
      <c r="D6344" s="11">
        <v>42782.581979166665</v>
      </c>
      <c r="E6344" s="10" t="s">
        <v>6727</v>
      </c>
    </row>
    <row r="6345" spans="1:5">
      <c r="A6345" s="11">
        <v>42782</v>
      </c>
      <c r="B6345" s="10" t="s">
        <v>13051</v>
      </c>
      <c r="C6345" s="10" t="s">
        <v>13052</v>
      </c>
      <c r="D6345" s="11">
        <v>42782.570856481485</v>
      </c>
      <c r="E6345" s="10" t="s">
        <v>6727</v>
      </c>
    </row>
    <row r="6346" spans="1:5">
      <c r="A6346" s="11">
        <v>42782</v>
      </c>
      <c r="B6346" s="10" t="s">
        <v>13053</v>
      </c>
      <c r="C6346" s="10" t="s">
        <v>13054</v>
      </c>
      <c r="D6346" s="11">
        <v>42782.617581018516</v>
      </c>
      <c r="E6346" s="10" t="s">
        <v>3708</v>
      </c>
    </row>
    <row r="6347" spans="1:5">
      <c r="A6347" s="11">
        <v>42782</v>
      </c>
      <c r="B6347" s="10" t="s">
        <v>13055</v>
      </c>
      <c r="C6347" s="10" t="s">
        <v>13056</v>
      </c>
      <c r="D6347" s="11">
        <v>42782.616979166669</v>
      </c>
      <c r="E6347" s="10" t="s">
        <v>1319</v>
      </c>
    </row>
    <row r="6348" spans="1:5">
      <c r="A6348" s="11">
        <v>42782</v>
      </c>
      <c r="B6348" s="10" t="s">
        <v>13057</v>
      </c>
      <c r="C6348" s="10" t="s">
        <v>13058</v>
      </c>
      <c r="D6348" s="11">
        <v>42782.622233796297</v>
      </c>
      <c r="E6348" s="10" t="s">
        <v>6727</v>
      </c>
    </row>
    <row r="6349" spans="1:5">
      <c r="A6349" s="11">
        <v>42782</v>
      </c>
      <c r="B6349" s="10" t="s">
        <v>13059</v>
      </c>
      <c r="C6349" s="10" t="s">
        <v>13060</v>
      </c>
      <c r="D6349" s="11">
        <v>42782.622245370374</v>
      </c>
      <c r="E6349" s="10" t="s">
        <v>6727</v>
      </c>
    </row>
    <row r="6350" spans="1:5">
      <c r="A6350" s="11">
        <v>42782</v>
      </c>
      <c r="B6350" s="10" t="s">
        <v>13061</v>
      </c>
      <c r="C6350" s="10" t="s">
        <v>13062</v>
      </c>
      <c r="D6350" s="11">
        <v>42782.60696759259</v>
      </c>
      <c r="E6350" s="10" t="s">
        <v>6727</v>
      </c>
    </row>
    <row r="6351" spans="1:5">
      <c r="A6351" s="11">
        <v>42782</v>
      </c>
      <c r="B6351" s="10" t="s">
        <v>13063</v>
      </c>
      <c r="C6351" s="10" t="s">
        <v>13064</v>
      </c>
      <c r="D6351" s="11">
        <v>42782.659780092596</v>
      </c>
      <c r="E6351" s="10" t="s">
        <v>946</v>
      </c>
    </row>
    <row r="6352" spans="1:5">
      <c r="A6352" s="11">
        <v>42782</v>
      </c>
      <c r="B6352" s="10" t="s">
        <v>13065</v>
      </c>
      <c r="C6352" s="10" t="s">
        <v>13066</v>
      </c>
      <c r="D6352" s="11">
        <v>42782.663912037038</v>
      </c>
      <c r="E6352" s="10" t="s">
        <v>6727</v>
      </c>
    </row>
    <row r="6353" spans="1:5">
      <c r="A6353" s="11">
        <v>42782</v>
      </c>
      <c r="B6353" s="10" t="s">
        <v>13067</v>
      </c>
      <c r="C6353" s="10" t="s">
        <v>13068</v>
      </c>
      <c r="D6353" s="11">
        <v>42782.666724537034</v>
      </c>
      <c r="E6353" s="10" t="s">
        <v>6727</v>
      </c>
    </row>
    <row r="6354" spans="1:5">
      <c r="A6354" s="11">
        <v>42782</v>
      </c>
      <c r="B6354" s="10" t="s">
        <v>13069</v>
      </c>
      <c r="C6354" s="10" t="s">
        <v>13070</v>
      </c>
      <c r="D6354" s="11">
        <v>42782.652858796297</v>
      </c>
      <c r="E6354" s="10" t="s">
        <v>13016</v>
      </c>
    </row>
    <row r="6355" spans="1:5">
      <c r="A6355" s="11">
        <v>42782</v>
      </c>
      <c r="B6355" s="10" t="s">
        <v>13071</v>
      </c>
      <c r="C6355" s="10" t="s">
        <v>13072</v>
      </c>
      <c r="D6355" s="11">
        <v>42782.645868055559</v>
      </c>
      <c r="E6355" s="10" t="s">
        <v>946</v>
      </c>
    </row>
    <row r="6356" spans="1:5">
      <c r="A6356" s="11">
        <v>42782</v>
      </c>
      <c r="B6356" s="10" t="s">
        <v>13073</v>
      </c>
      <c r="C6356" s="10" t="s">
        <v>13074</v>
      </c>
      <c r="D6356" s="11">
        <v>42782.670011574075</v>
      </c>
      <c r="E6356" s="10" t="s">
        <v>13016</v>
      </c>
    </row>
    <row r="6357" spans="1:5">
      <c r="A6357" s="11">
        <v>42782</v>
      </c>
      <c r="B6357" s="10" t="s">
        <v>13075</v>
      </c>
      <c r="C6357" s="10" t="s">
        <v>13076</v>
      </c>
      <c r="D6357" s="11">
        <v>42782.692233796297</v>
      </c>
      <c r="E6357" s="10" t="s">
        <v>13077</v>
      </c>
    </row>
    <row r="6358" spans="1:5">
      <c r="A6358" s="11">
        <v>42782</v>
      </c>
      <c r="B6358" s="10" t="s">
        <v>13078</v>
      </c>
      <c r="C6358" s="10" t="s">
        <v>13079</v>
      </c>
      <c r="D6358" s="11">
        <v>42782.695856481485</v>
      </c>
      <c r="E6358" s="10" t="s">
        <v>6727</v>
      </c>
    </row>
    <row r="6359" spans="1:5">
      <c r="A6359" s="11">
        <v>42782</v>
      </c>
      <c r="B6359" s="10" t="s">
        <v>13080</v>
      </c>
      <c r="C6359" s="10" t="s">
        <v>13081</v>
      </c>
      <c r="D6359" s="11">
        <v>42782.691018518519</v>
      </c>
      <c r="E6359" s="10" t="s">
        <v>1319</v>
      </c>
    </row>
    <row r="6360" spans="1:5">
      <c r="A6360" s="11">
        <v>42782</v>
      </c>
      <c r="B6360" s="10" t="s">
        <v>13082</v>
      </c>
      <c r="C6360" s="10" t="s">
        <v>13083</v>
      </c>
      <c r="D6360" s="11">
        <v>42782.704027777778</v>
      </c>
      <c r="E6360" s="10" t="s">
        <v>13077</v>
      </c>
    </row>
    <row r="6361" spans="1:5">
      <c r="A6361" s="11">
        <v>42782</v>
      </c>
      <c r="B6361" s="10" t="s">
        <v>13084</v>
      </c>
      <c r="C6361" s="10" t="s">
        <v>13085</v>
      </c>
      <c r="D6361" s="11">
        <v>42782.703460648147</v>
      </c>
      <c r="E6361" s="10" t="s">
        <v>1319</v>
      </c>
    </row>
    <row r="6362" spans="1:5">
      <c r="A6362" s="11">
        <v>42782</v>
      </c>
      <c r="B6362" s="10" t="s">
        <v>13086</v>
      </c>
      <c r="C6362" s="10" t="s">
        <v>13087</v>
      </c>
      <c r="D6362" s="11">
        <v>42782.702465277776</v>
      </c>
      <c r="E6362" s="10" t="s">
        <v>414</v>
      </c>
    </row>
    <row r="6363" spans="1:5">
      <c r="A6363" s="11">
        <v>42201</v>
      </c>
      <c r="B6363" s="10" t="s">
        <v>13088</v>
      </c>
      <c r="C6363" s="10" t="s">
        <v>13089</v>
      </c>
      <c r="D6363" s="11">
        <v>42441.461087962962</v>
      </c>
      <c r="E6363" s="10" t="s">
        <v>411</v>
      </c>
    </row>
    <row r="6364" spans="1:5">
      <c r="A6364" s="11">
        <v>42269</v>
      </c>
      <c r="B6364" s="10" t="s">
        <v>13090</v>
      </c>
      <c r="C6364" s="10" t="s">
        <v>13091</v>
      </c>
      <c r="D6364" s="11">
        <v>42443.404606481483</v>
      </c>
      <c r="E6364" s="10" t="s">
        <v>96</v>
      </c>
    </row>
    <row r="6365" spans="1:5">
      <c r="A6365" s="11">
        <v>42421</v>
      </c>
      <c r="B6365" s="10" t="s">
        <v>13092</v>
      </c>
      <c r="C6365" s="10" t="s">
        <v>13093</v>
      </c>
      <c r="D6365" s="11">
        <v>42443.500393518516</v>
      </c>
      <c r="E6365" s="10" t="s">
        <v>96</v>
      </c>
    </row>
    <row r="6366" spans="1:5">
      <c r="A6366" s="11">
        <v>42440</v>
      </c>
      <c r="B6366" s="10" t="s">
        <v>13094</v>
      </c>
      <c r="C6366" s="10" t="s">
        <v>13095</v>
      </c>
      <c r="D6366" s="11">
        <v>42443.476631944446</v>
      </c>
      <c r="E6366" s="10" t="s">
        <v>411</v>
      </c>
    </row>
    <row r="6367" spans="1:5">
      <c r="A6367" s="11">
        <v>42442</v>
      </c>
      <c r="B6367" s="10" t="s">
        <v>13096</v>
      </c>
      <c r="C6367" s="10" t="s">
        <v>13097</v>
      </c>
      <c r="D6367" s="11">
        <v>42443.411261574074</v>
      </c>
      <c r="E6367" s="10" t="s">
        <v>2995</v>
      </c>
    </row>
    <row r="6368" spans="1:5" ht="21.6">
      <c r="A6368" s="11">
        <v>42442</v>
      </c>
      <c r="B6368" s="10" t="s">
        <v>13098</v>
      </c>
      <c r="C6368" s="10" t="s">
        <v>13099</v>
      </c>
      <c r="D6368" s="11">
        <v>42443.383240740739</v>
      </c>
      <c r="E6368" s="10" t="s">
        <v>13100</v>
      </c>
    </row>
    <row r="6369" spans="1:5">
      <c r="A6369" s="11">
        <v>42442</v>
      </c>
      <c r="B6369" s="10" t="s">
        <v>13101</v>
      </c>
      <c r="C6369" s="10" t="s">
        <v>13102</v>
      </c>
      <c r="D6369" s="11">
        <v>42443.396134259259</v>
      </c>
      <c r="E6369" s="10" t="s">
        <v>193</v>
      </c>
    </row>
    <row r="6370" spans="1:5">
      <c r="A6370" s="11">
        <v>42690</v>
      </c>
      <c r="B6370" s="10" t="s">
        <v>13103</v>
      </c>
      <c r="C6370" s="10" t="s">
        <v>13104</v>
      </c>
      <c r="D6370" s="11">
        <v>42782.683530092596</v>
      </c>
      <c r="E6370" s="10" t="s">
        <v>209</v>
      </c>
    </row>
    <row r="6371" spans="1:5">
      <c r="A6371" s="11">
        <v>42782</v>
      </c>
      <c r="B6371" s="10" t="s">
        <v>13105</v>
      </c>
      <c r="C6371" s="10" t="s">
        <v>13106</v>
      </c>
      <c r="D6371" s="11">
        <v>42782.687060185184</v>
      </c>
      <c r="E6371" s="10" t="s">
        <v>1361</v>
      </c>
    </row>
    <row r="6372" spans="1:5">
      <c r="A6372" s="11">
        <v>42772</v>
      </c>
      <c r="B6372" s="10" t="s">
        <v>13107</v>
      </c>
      <c r="C6372" s="10" t="s">
        <v>13108</v>
      </c>
      <c r="D6372" s="11">
        <v>42782.400960648149</v>
      </c>
      <c r="E6372" s="10" t="s">
        <v>320</v>
      </c>
    </row>
    <row r="6373" spans="1:5">
      <c r="A6373" s="11">
        <v>42780</v>
      </c>
      <c r="B6373" s="10" t="s">
        <v>13109</v>
      </c>
      <c r="C6373" s="10" t="s">
        <v>13110</v>
      </c>
      <c r="D6373" s="11">
        <v>42780.565752314818</v>
      </c>
      <c r="E6373" s="10" t="s">
        <v>683</v>
      </c>
    </row>
    <row r="6374" spans="1:5" ht="21.6">
      <c r="A6374" s="11">
        <v>42438</v>
      </c>
      <c r="B6374" s="10" t="s">
        <v>13111</v>
      </c>
      <c r="C6374" s="10" t="s">
        <v>13112</v>
      </c>
      <c r="D6374" s="11">
        <v>42438.970173611109</v>
      </c>
      <c r="E6374" s="10" t="s">
        <v>13113</v>
      </c>
    </row>
    <row r="6375" spans="1:5" ht="21.6">
      <c r="A6375" s="11">
        <v>42442</v>
      </c>
      <c r="B6375" s="10" t="s">
        <v>13114</v>
      </c>
      <c r="C6375" s="10" t="s">
        <v>13115</v>
      </c>
      <c r="D6375" s="11">
        <v>42442.446840277778</v>
      </c>
      <c r="E6375" s="10" t="s">
        <v>13113</v>
      </c>
    </row>
    <row r="6376" spans="1:5">
      <c r="A6376" s="11">
        <v>42780</v>
      </c>
      <c r="B6376" s="10" t="s">
        <v>13116</v>
      </c>
      <c r="C6376" s="10" t="s">
        <v>13117</v>
      </c>
      <c r="D6376" s="11">
        <v>42782.689074074071</v>
      </c>
      <c r="E6376" s="10" t="s">
        <v>902</v>
      </c>
    </row>
    <row r="6377" spans="1:5">
      <c r="A6377" s="11">
        <v>42782</v>
      </c>
      <c r="B6377" s="10" t="s">
        <v>13118</v>
      </c>
      <c r="C6377" s="10" t="s">
        <v>13119</v>
      </c>
      <c r="D6377" s="11">
        <v>42782.589259259257</v>
      </c>
      <c r="E6377" s="10" t="s">
        <v>122</v>
      </c>
    </row>
    <row r="6378" spans="1:5">
      <c r="A6378" s="11">
        <v>42782</v>
      </c>
      <c r="B6378" s="10" t="s">
        <v>13120</v>
      </c>
      <c r="C6378" s="10" t="s">
        <v>13121</v>
      </c>
      <c r="D6378" s="11">
        <v>42782.711041666669</v>
      </c>
      <c r="E6378" s="10" t="s">
        <v>2865</v>
      </c>
    </row>
    <row r="6379" spans="1:5">
      <c r="A6379" s="11">
        <v>42758</v>
      </c>
      <c r="B6379" s="10" t="s">
        <v>13122</v>
      </c>
      <c r="C6379" s="10" t="s">
        <v>13123</v>
      </c>
      <c r="D6379" s="11">
        <v>42779.445173611108</v>
      </c>
      <c r="E6379" s="10" t="s">
        <v>2547</v>
      </c>
    </row>
    <row r="6380" spans="1:5">
      <c r="A6380" s="11">
        <v>42769</v>
      </c>
      <c r="B6380" s="10" t="s">
        <v>13124</v>
      </c>
      <c r="C6380" s="10" t="s">
        <v>13125</v>
      </c>
      <c r="D6380" s="11">
        <v>42769.477152777778</v>
      </c>
      <c r="E6380" s="10" t="s">
        <v>125</v>
      </c>
    </row>
    <row r="6381" spans="1:5">
      <c r="A6381" s="11">
        <v>42778</v>
      </c>
      <c r="B6381" s="10" t="s">
        <v>13126</v>
      </c>
      <c r="C6381" s="10" t="s">
        <v>13127</v>
      </c>
      <c r="D6381" s="11">
        <v>42782.594317129631</v>
      </c>
      <c r="E6381" s="10" t="s">
        <v>2547</v>
      </c>
    </row>
    <row r="6382" spans="1:5">
      <c r="A6382" s="11">
        <v>42780</v>
      </c>
      <c r="B6382" s="10" t="s">
        <v>13128</v>
      </c>
      <c r="C6382" s="10" t="s">
        <v>13129</v>
      </c>
      <c r="D6382" s="11">
        <v>42781.753217592595</v>
      </c>
      <c r="E6382" s="10" t="s">
        <v>152</v>
      </c>
    </row>
    <row r="6383" spans="1:5">
      <c r="A6383" s="11">
        <v>42782</v>
      </c>
      <c r="B6383" s="10" t="s">
        <v>13130</v>
      </c>
      <c r="C6383" s="10" t="s">
        <v>13131</v>
      </c>
      <c r="D6383" s="11">
        <v>42782.691736111112</v>
      </c>
      <c r="E6383" s="10" t="s">
        <v>2742</v>
      </c>
    </row>
    <row r="6384" spans="1:5">
      <c r="A6384" s="11">
        <v>42782</v>
      </c>
      <c r="B6384" s="10" t="s">
        <v>13132</v>
      </c>
      <c r="C6384" s="10" t="s">
        <v>13133</v>
      </c>
      <c r="D6384" s="11">
        <v>42782.705682870372</v>
      </c>
      <c r="E6384" s="10" t="s">
        <v>3550</v>
      </c>
    </row>
    <row r="6385" spans="1:5" ht="21.6">
      <c r="A6385" s="11">
        <v>42560</v>
      </c>
      <c r="B6385" s="10" t="s">
        <v>13134</v>
      </c>
      <c r="C6385" s="10" t="s">
        <v>13135</v>
      </c>
      <c r="D6385" s="11">
        <v>42782.643969907411</v>
      </c>
      <c r="E6385" s="10" t="s">
        <v>559</v>
      </c>
    </row>
    <row r="6386" spans="1:5">
      <c r="A6386" s="11">
        <v>42693</v>
      </c>
      <c r="B6386" s="10" t="s">
        <v>13136</v>
      </c>
      <c r="C6386" s="10" t="s">
        <v>13137</v>
      </c>
      <c r="D6386" s="11">
        <v>42776.851886574077</v>
      </c>
      <c r="E6386" s="10" t="s">
        <v>2234</v>
      </c>
    </row>
    <row r="6387" spans="1:5">
      <c r="A6387" s="11">
        <v>42709</v>
      </c>
      <c r="B6387" s="10" t="s">
        <v>13138</v>
      </c>
      <c r="C6387" s="10" t="s">
        <v>13139</v>
      </c>
      <c r="D6387" s="11">
        <v>42782.566504629627</v>
      </c>
      <c r="E6387" s="10" t="s">
        <v>203</v>
      </c>
    </row>
    <row r="6388" spans="1:5" ht="21.6">
      <c r="A6388" s="11">
        <v>42727</v>
      </c>
      <c r="B6388" s="10" t="s">
        <v>13140</v>
      </c>
      <c r="C6388" s="10" t="s">
        <v>13141</v>
      </c>
      <c r="D6388" s="11">
        <v>42782.640543981484</v>
      </c>
      <c r="E6388" s="10" t="s">
        <v>559</v>
      </c>
    </row>
    <row r="6389" spans="1:5" ht="21.6">
      <c r="A6389" s="11">
        <v>42773</v>
      </c>
      <c r="B6389" s="10" t="s">
        <v>13142</v>
      </c>
      <c r="C6389" s="10" t="s">
        <v>13143</v>
      </c>
      <c r="D6389" s="11">
        <v>42774.600034722222</v>
      </c>
      <c r="E6389" s="10" t="s">
        <v>1758</v>
      </c>
    </row>
    <row r="6390" spans="1:5">
      <c r="A6390" s="11">
        <v>42780</v>
      </c>
      <c r="B6390" s="10" t="s">
        <v>13144</v>
      </c>
      <c r="C6390" s="10" t="s">
        <v>13145</v>
      </c>
      <c r="D6390" s="11">
        <v>42782.438356481478</v>
      </c>
      <c r="E6390" s="10" t="s">
        <v>707</v>
      </c>
    </row>
    <row r="6391" spans="1:5">
      <c r="A6391" s="11">
        <v>42781</v>
      </c>
      <c r="B6391" s="10" t="s">
        <v>13146</v>
      </c>
      <c r="C6391" s="10" t="s">
        <v>13147</v>
      </c>
      <c r="D6391" s="11">
        <v>42781.348194444443</v>
      </c>
      <c r="E6391" s="10" t="s">
        <v>707</v>
      </c>
    </row>
    <row r="6392" spans="1:5">
      <c r="A6392" s="11">
        <v>42781</v>
      </c>
      <c r="B6392" s="10" t="s">
        <v>13148</v>
      </c>
      <c r="C6392" s="10" t="s">
        <v>13149</v>
      </c>
      <c r="D6392" s="11">
        <v>42781.701261574075</v>
      </c>
      <c r="E6392" s="10" t="s">
        <v>122</v>
      </c>
    </row>
    <row r="6393" spans="1:5" ht="21.6">
      <c r="A6393" s="11">
        <v>42782</v>
      </c>
      <c r="B6393" s="10" t="s">
        <v>13150</v>
      </c>
      <c r="C6393" s="10" t="s">
        <v>13151</v>
      </c>
      <c r="D6393" s="11">
        <v>42782.654398148145</v>
      </c>
      <c r="E6393" s="10" t="s">
        <v>966</v>
      </c>
    </row>
    <row r="6394" spans="1:5" ht="21.6">
      <c r="A6394" s="11">
        <v>42782</v>
      </c>
      <c r="B6394" s="10" t="s">
        <v>13152</v>
      </c>
      <c r="C6394" s="10" t="s">
        <v>13153</v>
      </c>
      <c r="D6394" s="11">
        <v>42782.667268518519</v>
      </c>
      <c r="E6394" s="10" t="s">
        <v>2299</v>
      </c>
    </row>
    <row r="6395" spans="1:5" ht="21.6">
      <c r="A6395" s="11">
        <v>42782</v>
      </c>
      <c r="B6395" s="10" t="s">
        <v>13154</v>
      </c>
      <c r="C6395" s="10" t="s">
        <v>13155</v>
      </c>
      <c r="D6395" s="11">
        <v>42782.686122685183</v>
      </c>
      <c r="E6395" s="10" t="s">
        <v>2299</v>
      </c>
    </row>
    <row r="6396" spans="1:5">
      <c r="A6396" s="11">
        <v>42782</v>
      </c>
      <c r="B6396" s="10" t="s">
        <v>13156</v>
      </c>
      <c r="C6396" s="10" t="s">
        <v>13157</v>
      </c>
      <c r="D6396" s="11">
        <v>42782.674108796295</v>
      </c>
      <c r="E6396" s="10" t="s">
        <v>229</v>
      </c>
    </row>
    <row r="6397" spans="1:5">
      <c r="A6397" s="11">
        <v>42781</v>
      </c>
      <c r="B6397" s="10" t="s">
        <v>13158</v>
      </c>
      <c r="C6397" s="10" t="s">
        <v>13159</v>
      </c>
      <c r="D6397" s="11">
        <v>42781.797824074078</v>
      </c>
      <c r="E6397" s="10" t="s">
        <v>122</v>
      </c>
    </row>
    <row r="6398" spans="1:5">
      <c r="A6398" s="11">
        <v>42782</v>
      </c>
      <c r="B6398" s="10" t="s">
        <v>13160</v>
      </c>
      <c r="C6398" s="10" t="s">
        <v>13161</v>
      </c>
      <c r="D6398" s="11">
        <v>42782.623530092591</v>
      </c>
      <c r="E6398" s="10" t="s">
        <v>237</v>
      </c>
    </row>
    <row r="6399" spans="1:5">
      <c r="A6399" s="11">
        <v>42782</v>
      </c>
      <c r="B6399" s="10" t="s">
        <v>13162</v>
      </c>
      <c r="C6399" s="10" t="s">
        <v>13163</v>
      </c>
      <c r="D6399" s="11">
        <v>42782.655555555553</v>
      </c>
      <c r="E6399" s="10" t="s">
        <v>2183</v>
      </c>
    </row>
    <row r="6400" spans="1:5">
      <c r="A6400" s="11">
        <v>42782</v>
      </c>
      <c r="B6400" s="10" t="s">
        <v>13164</v>
      </c>
      <c r="C6400" s="10" t="s">
        <v>13165</v>
      </c>
      <c r="D6400" s="11">
        <v>42782.694606481484</v>
      </c>
      <c r="E6400" s="10" t="s">
        <v>237</v>
      </c>
    </row>
    <row r="6401" spans="1:5">
      <c r="A6401" s="11">
        <v>42782</v>
      </c>
      <c r="B6401" s="10" t="s">
        <v>13166</v>
      </c>
      <c r="C6401" s="10" t="s">
        <v>13167</v>
      </c>
      <c r="D6401" s="11">
        <v>42782.707719907405</v>
      </c>
      <c r="E6401" s="10" t="s">
        <v>237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C6C5-EEB7-4279-B9FF-7E931BDA3689}">
  <sheetPr codeName="Sheet6"/>
  <dimension ref="A1:O34"/>
  <sheetViews>
    <sheetView workbookViewId="0">
      <selection activeCell="E2" sqref="E2"/>
    </sheetView>
  </sheetViews>
  <sheetFormatPr defaultRowHeight="13.8"/>
  <cols>
    <col min="1" max="1" width="14" style="3" customWidth="1"/>
    <col min="2" max="2" width="10.6640625" style="3" customWidth="1"/>
    <col min="3" max="4" width="8.33203125" style="16" customWidth="1"/>
    <col min="5" max="5" width="16.109375" style="21" customWidth="1"/>
    <col min="6" max="6" width="18.77734375" style="22" customWidth="1"/>
    <col min="7" max="7" width="21.21875" style="23" customWidth="1"/>
    <col min="8" max="10" width="8.88671875" style="3"/>
    <col min="11" max="11" width="10.44140625" style="3" bestFit="1" customWidth="1"/>
    <col min="12" max="12" width="8.88671875" style="3"/>
    <col min="13" max="13" width="14" style="3" customWidth="1"/>
    <col min="14" max="16384" width="8.88671875" style="3"/>
  </cols>
  <sheetData>
    <row r="1" spans="1:15">
      <c r="A1" s="14" t="s">
        <v>13170</v>
      </c>
      <c r="B1" s="14" t="s">
        <v>13171</v>
      </c>
      <c r="C1" s="15" t="s">
        <v>13172</v>
      </c>
      <c r="D1" s="15" t="s">
        <v>13173</v>
      </c>
      <c r="E1" s="21" t="s">
        <v>13255</v>
      </c>
      <c r="F1" s="22" t="s">
        <v>13256</v>
      </c>
      <c r="G1" s="23" t="s">
        <v>13257</v>
      </c>
      <c r="K1" s="3" t="s">
        <v>13223</v>
      </c>
      <c r="M1" s="14" t="s">
        <v>13170</v>
      </c>
    </row>
    <row r="2" spans="1:15">
      <c r="A2" t="s">
        <v>13174</v>
      </c>
      <c r="B2" s="3" t="s">
        <v>13175</v>
      </c>
      <c r="C2" s="16">
        <v>100</v>
      </c>
      <c r="D2" s="16">
        <v>80</v>
      </c>
      <c r="E2" s="21" t="str">
        <f>IF(C2&gt;90,"绝世高手",IF(C2&gt;80,"一流高手",IF(C2&gt;70,"二流高手",IF(C2&gt;60,"三流高手","不入流"))))</f>
        <v>绝世高手</v>
      </c>
      <c r="F2" s="22" t="str">
        <f>LOOKUP(C2,{0,60,70,80,90},{"不入流","三流高手","二流高手","一流高手","绝世高手"})</f>
        <v>绝世高手</v>
      </c>
      <c r="G2" s="23" t="str">
        <f>VLOOKUP(C2,J:K,2,1)</f>
        <v>绝世高手</v>
      </c>
      <c r="H2" s="3" t="str">
        <f>VLOOKUP(C2,N:O,2,1)</f>
        <v>不入流</v>
      </c>
      <c r="J2" s="3" t="s">
        <v>13176</v>
      </c>
      <c r="K2" s="3" t="s">
        <v>13177</v>
      </c>
      <c r="M2" t="s">
        <v>13174</v>
      </c>
      <c r="N2" s="3">
        <v>90</v>
      </c>
      <c r="O2" s="3" t="s">
        <v>13177</v>
      </c>
    </row>
    <row r="3" spans="1:15">
      <c r="A3" t="str">
        <f t="shared" ref="A3:A10" si="0">A2</f>
        <v>全真教</v>
      </c>
      <c r="B3" s="3" t="s">
        <v>13178</v>
      </c>
      <c r="C3" s="16">
        <v>82</v>
      </c>
      <c r="D3" s="16">
        <v>75</v>
      </c>
      <c r="E3" s="21" t="str">
        <f t="shared" ref="E3:E34" si="1">IF(C3&gt;90,"绝世高手",IF(C3&gt;80,"一流高手",IF(C3&gt;70,"二流高手",IF(C3&gt;60,"三流高手","不入流"))))</f>
        <v>一流高手</v>
      </c>
      <c r="F3" s="22" t="str">
        <f>LOOKUP(C3,{0,60,70,80,90},{"不入流","三流高手","二流高手","一流高手","绝世高手"})</f>
        <v>一流高手</v>
      </c>
      <c r="G3" s="23" t="str">
        <f t="shared" ref="G3:G34" si="2">VLOOKUP(C3,J:K,2,1)</f>
        <v>一流高手</v>
      </c>
      <c r="J3" s="3" t="s">
        <v>13179</v>
      </c>
      <c r="K3" s="3" t="s">
        <v>13180</v>
      </c>
      <c r="M3" t="s">
        <v>13181</v>
      </c>
      <c r="N3" s="3">
        <v>80</v>
      </c>
      <c r="O3" s="3" t="s">
        <v>13180</v>
      </c>
    </row>
    <row r="4" spans="1:15">
      <c r="A4" t="str">
        <f t="shared" si="0"/>
        <v>全真教</v>
      </c>
      <c r="B4" s="3" t="s">
        <v>13182</v>
      </c>
      <c r="C4" s="16">
        <v>78</v>
      </c>
      <c r="D4" s="16">
        <v>80</v>
      </c>
      <c r="E4" s="21" t="str">
        <f t="shared" si="1"/>
        <v>二流高手</v>
      </c>
      <c r="F4" s="22" t="str">
        <f>LOOKUP(C4,{0,60,70,80,90},{"不入流","三流高手","二流高手","一流高手","绝世高手"})</f>
        <v>二流高手</v>
      </c>
      <c r="G4" s="23" t="str">
        <f t="shared" si="2"/>
        <v>二流高手</v>
      </c>
      <c r="J4" s="3" t="s">
        <v>13183</v>
      </c>
      <c r="K4" s="3" t="s">
        <v>13184</v>
      </c>
      <c r="M4" s="3" t="s">
        <v>13185</v>
      </c>
      <c r="N4" s="3">
        <v>70</v>
      </c>
      <c r="O4" s="3" t="s">
        <v>13184</v>
      </c>
    </row>
    <row r="5" spans="1:15">
      <c r="A5" t="str">
        <f t="shared" si="0"/>
        <v>全真教</v>
      </c>
      <c r="B5" s="3" t="s">
        <v>13186</v>
      </c>
      <c r="C5" s="16">
        <v>76</v>
      </c>
      <c r="D5" s="16">
        <v>75</v>
      </c>
      <c r="E5" s="21" t="str">
        <f t="shared" si="1"/>
        <v>二流高手</v>
      </c>
      <c r="F5" s="22" t="str">
        <f>LOOKUP(C5,{0,60,70,80,90},{"不入流","三流高手","二流高手","一流高手","绝世高手"})</f>
        <v>二流高手</v>
      </c>
      <c r="G5" s="23" t="str">
        <f t="shared" si="2"/>
        <v>二流高手</v>
      </c>
      <c r="J5" s="3" t="s">
        <v>13187</v>
      </c>
      <c r="K5" s="3" t="s">
        <v>13188</v>
      </c>
      <c r="M5" s="3" t="s">
        <v>13189</v>
      </c>
      <c r="N5" s="3">
        <v>60</v>
      </c>
      <c r="O5" s="3" t="s">
        <v>13188</v>
      </c>
    </row>
    <row r="6" spans="1:15">
      <c r="A6" t="str">
        <f t="shared" si="0"/>
        <v>全真教</v>
      </c>
      <c r="B6" s="3" t="s">
        <v>13190</v>
      </c>
      <c r="C6" s="16">
        <v>74</v>
      </c>
      <c r="D6" s="16">
        <v>60</v>
      </c>
      <c r="E6" s="21" t="str">
        <f t="shared" si="1"/>
        <v>二流高手</v>
      </c>
      <c r="F6" s="22" t="str">
        <f>LOOKUP(C6,{0,60,70,80,90},{"不入流","三流高手","二流高手","一流高手","绝世高手"})</f>
        <v>二流高手</v>
      </c>
      <c r="G6" s="23" t="str">
        <f t="shared" si="2"/>
        <v>二流高手</v>
      </c>
      <c r="J6" s="3" t="s">
        <v>13191</v>
      </c>
      <c r="K6" s="3" t="s">
        <v>13192</v>
      </c>
      <c r="M6" s="3" t="s">
        <v>13193</v>
      </c>
      <c r="N6" s="3">
        <v>0</v>
      </c>
      <c r="O6" s="3" t="s">
        <v>13192</v>
      </c>
    </row>
    <row r="7" spans="1:15">
      <c r="A7" t="str">
        <f t="shared" si="0"/>
        <v>全真教</v>
      </c>
      <c r="B7" s="3" t="s">
        <v>13194</v>
      </c>
      <c r="C7" s="16">
        <v>69</v>
      </c>
      <c r="D7" s="16">
        <v>60</v>
      </c>
      <c r="E7" s="21" t="str">
        <f t="shared" si="1"/>
        <v>三流高手</v>
      </c>
      <c r="F7" s="22" t="str">
        <f>LOOKUP(C7,{0,60,70,80,90},{"不入流","三流高手","二流高手","一流高手","绝世高手"})</f>
        <v>三流高手</v>
      </c>
      <c r="G7" s="23" t="str">
        <f t="shared" si="2"/>
        <v>三流高手</v>
      </c>
      <c r="M7" s="3" t="s">
        <v>13195</v>
      </c>
    </row>
    <row r="8" spans="1:15">
      <c r="A8" t="str">
        <f t="shared" si="0"/>
        <v>全真教</v>
      </c>
      <c r="B8" s="3" t="s">
        <v>13196</v>
      </c>
      <c r="C8" s="16">
        <v>74</v>
      </c>
      <c r="D8" s="16">
        <v>60</v>
      </c>
      <c r="E8" s="21" t="str">
        <f t="shared" si="1"/>
        <v>二流高手</v>
      </c>
      <c r="F8" s="22" t="str">
        <f>LOOKUP(C8,{0,60,70,80,90},{"不入流","三流高手","二流高手","一流高手","绝世高手"})</f>
        <v>二流高手</v>
      </c>
      <c r="G8" s="23" t="str">
        <f t="shared" si="2"/>
        <v>二流高手</v>
      </c>
      <c r="J8" s="3">
        <v>0</v>
      </c>
      <c r="K8" s="3" t="s">
        <v>13192</v>
      </c>
    </row>
    <row r="9" spans="1:15">
      <c r="A9" t="str">
        <f t="shared" si="0"/>
        <v>全真教</v>
      </c>
      <c r="B9" s="3" t="s">
        <v>13197</v>
      </c>
      <c r="C9" s="16">
        <v>74</v>
      </c>
      <c r="D9" s="16">
        <v>60</v>
      </c>
      <c r="E9" s="21" t="str">
        <f t="shared" si="1"/>
        <v>二流高手</v>
      </c>
      <c r="F9" s="22" t="str">
        <f>LOOKUP(C9,{0,60,70,80,90},{"不入流","三流高手","二流高手","一流高手","绝世高手"})</f>
        <v>二流高手</v>
      </c>
      <c r="G9" s="23" t="str">
        <f t="shared" si="2"/>
        <v>二流高手</v>
      </c>
      <c r="J9" s="3">
        <v>60</v>
      </c>
      <c r="K9" s="3" t="s">
        <v>13188</v>
      </c>
    </row>
    <row r="10" spans="1:15">
      <c r="A10" t="str">
        <f t="shared" si="0"/>
        <v>全真教</v>
      </c>
      <c r="B10" s="3" t="s">
        <v>13198</v>
      </c>
      <c r="C10" s="16">
        <v>93</v>
      </c>
      <c r="D10" s="16">
        <v>30</v>
      </c>
      <c r="E10" s="21" t="str">
        <f t="shared" si="1"/>
        <v>绝世高手</v>
      </c>
      <c r="F10" s="22" t="str">
        <f>LOOKUP(C10,{0,60,70,80,90},{"不入流","三流高手","二流高手","一流高手","绝世高手"})</f>
        <v>绝世高手</v>
      </c>
      <c r="G10" s="23" t="str">
        <f t="shared" si="2"/>
        <v>绝世高手</v>
      </c>
      <c r="J10" s="3">
        <v>70</v>
      </c>
      <c r="K10" s="3" t="s">
        <v>13184</v>
      </c>
    </row>
    <row r="11" spans="1:15">
      <c r="A11" t="s">
        <v>13181</v>
      </c>
      <c r="B11" s="3" t="s">
        <v>13199</v>
      </c>
      <c r="C11" s="16">
        <v>98</v>
      </c>
      <c r="D11" s="16">
        <v>80</v>
      </c>
      <c r="E11" s="21" t="str">
        <f t="shared" si="1"/>
        <v>绝世高手</v>
      </c>
      <c r="F11" s="22" t="str">
        <f>LOOKUP(C11,{0,60,70,80,90},{"不入流","三流高手","二流高手","一流高手","绝世高手"})</f>
        <v>绝世高手</v>
      </c>
      <c r="G11" s="23" t="str">
        <f t="shared" si="2"/>
        <v>绝世高手</v>
      </c>
      <c r="J11" s="3">
        <v>80</v>
      </c>
      <c r="K11" s="3" t="s">
        <v>13180</v>
      </c>
    </row>
    <row r="12" spans="1:15">
      <c r="A12" t="str">
        <f t="shared" ref="A12:A14" si="3">A11</f>
        <v>丐帮</v>
      </c>
      <c r="B12" s="3" t="s">
        <v>13200</v>
      </c>
      <c r="C12" s="16">
        <v>76</v>
      </c>
      <c r="D12" s="16">
        <v>30</v>
      </c>
      <c r="E12" s="21" t="str">
        <f t="shared" si="1"/>
        <v>二流高手</v>
      </c>
      <c r="F12" s="22" t="str">
        <f>LOOKUP(C12,{0,60,70,80,90},{"不入流","三流高手","二流高手","一流高手","绝世高手"})</f>
        <v>二流高手</v>
      </c>
      <c r="G12" s="23" t="str">
        <f t="shared" si="2"/>
        <v>二流高手</v>
      </c>
      <c r="J12" s="3">
        <v>90</v>
      </c>
      <c r="K12" s="3" t="s">
        <v>13177</v>
      </c>
    </row>
    <row r="13" spans="1:15">
      <c r="A13" t="str">
        <f t="shared" si="3"/>
        <v>丐帮</v>
      </c>
      <c r="B13" s="3" t="s">
        <v>13201</v>
      </c>
      <c r="C13" s="16">
        <v>80</v>
      </c>
      <c r="D13" s="16">
        <v>99</v>
      </c>
      <c r="E13" s="21" t="str">
        <f t="shared" si="1"/>
        <v>二流高手</v>
      </c>
      <c r="F13" s="22" t="str">
        <f>LOOKUP(C13,{0,60,70,80,90},{"不入流","三流高手","二流高手","一流高手","绝世高手"})</f>
        <v>一流高手</v>
      </c>
      <c r="G13" s="23" t="str">
        <f t="shared" si="2"/>
        <v>一流高手</v>
      </c>
    </row>
    <row r="14" spans="1:15">
      <c r="A14" t="str">
        <f t="shared" si="3"/>
        <v>丐帮</v>
      </c>
      <c r="B14" s="3" t="s">
        <v>13202</v>
      </c>
      <c r="C14" s="16">
        <v>70</v>
      </c>
      <c r="D14" s="16">
        <v>70</v>
      </c>
      <c r="E14" s="21" t="str">
        <f t="shared" si="1"/>
        <v>三流高手</v>
      </c>
      <c r="F14" s="22" t="str">
        <f>LOOKUP(C14,{0,60,70,80,90},{"不入流","三流高手","二流高手","一流高手","绝世高手"})</f>
        <v>二流高手</v>
      </c>
      <c r="G14" s="23" t="str">
        <f t="shared" si="2"/>
        <v>二流高手</v>
      </c>
    </row>
    <row r="15" spans="1:15">
      <c r="A15" s="3" t="s">
        <v>13185</v>
      </c>
      <c r="B15" s="3" t="s">
        <v>13203</v>
      </c>
      <c r="C15" s="16">
        <v>98</v>
      </c>
      <c r="D15" s="16">
        <v>80</v>
      </c>
      <c r="E15" s="21" t="str">
        <f t="shared" si="1"/>
        <v>绝世高手</v>
      </c>
      <c r="F15" s="22" t="str">
        <f>LOOKUP(C15,{0,60,70,80,90},{"不入流","三流高手","二流高手","一流高手","绝世高手"})</f>
        <v>绝世高手</v>
      </c>
      <c r="G15" s="23" t="str">
        <f t="shared" si="2"/>
        <v>绝世高手</v>
      </c>
    </row>
    <row r="16" spans="1:15">
      <c r="A16" s="3" t="str">
        <f>A15</f>
        <v>白驼山</v>
      </c>
      <c r="B16" s="3" t="s">
        <v>13204</v>
      </c>
      <c r="C16" s="16">
        <v>72</v>
      </c>
      <c r="D16" s="16">
        <v>76</v>
      </c>
      <c r="E16" s="21" t="str">
        <f t="shared" si="1"/>
        <v>二流高手</v>
      </c>
      <c r="F16" s="22" t="str">
        <f>LOOKUP(C16,{0,60,70,80,90},{"不入流","三流高手","二流高手","一流高手","绝世高手"})</f>
        <v>二流高手</v>
      </c>
      <c r="G16" s="23" t="str">
        <f t="shared" si="2"/>
        <v>二流高手</v>
      </c>
    </row>
    <row r="17" spans="1:12">
      <c r="A17" s="3" t="s">
        <v>13189</v>
      </c>
      <c r="B17" s="3" t="s">
        <v>13205</v>
      </c>
      <c r="C17" s="16">
        <v>97</v>
      </c>
      <c r="D17" s="16">
        <v>95</v>
      </c>
      <c r="E17" s="21" t="str">
        <f t="shared" si="1"/>
        <v>绝世高手</v>
      </c>
      <c r="F17" s="22" t="str">
        <f>LOOKUP(C17,{0,60,70,80,90},{"不入流","三流高手","二流高手","一流高手","绝世高手"})</f>
        <v>绝世高手</v>
      </c>
      <c r="G17" s="23" t="str">
        <f t="shared" si="2"/>
        <v>绝世高手</v>
      </c>
    </row>
    <row r="18" spans="1:12">
      <c r="A18" s="3" t="str">
        <f t="shared" ref="A18:A21" si="4">A17</f>
        <v>桃花岛</v>
      </c>
      <c r="B18" s="3" t="s">
        <v>13206</v>
      </c>
      <c r="C18" s="16">
        <v>75</v>
      </c>
      <c r="D18" s="16">
        <v>70</v>
      </c>
      <c r="E18" s="21" t="str">
        <f t="shared" si="1"/>
        <v>二流高手</v>
      </c>
      <c r="F18" s="22" t="str">
        <f>LOOKUP(C18,{0,60,70,80,90},{"不入流","三流高手","二流高手","一流高手","绝世高手"})</f>
        <v>二流高手</v>
      </c>
      <c r="G18" s="23" t="str">
        <f t="shared" si="2"/>
        <v>二流高手</v>
      </c>
    </row>
    <row r="19" spans="1:12">
      <c r="A19" s="3" t="str">
        <f t="shared" si="4"/>
        <v>桃花岛</v>
      </c>
      <c r="B19" s="3" t="s">
        <v>13207</v>
      </c>
      <c r="C19" s="16">
        <v>77</v>
      </c>
      <c r="D19" s="16">
        <v>70</v>
      </c>
      <c r="E19" s="21" t="str">
        <f t="shared" si="1"/>
        <v>二流高手</v>
      </c>
      <c r="F19" s="22" t="str">
        <f>LOOKUP(C19,{0,60,70,80,90},{"不入流","三流高手","二流高手","一流高手","绝世高手"})</f>
        <v>二流高手</v>
      </c>
      <c r="G19" s="23" t="str">
        <f t="shared" si="2"/>
        <v>二流高手</v>
      </c>
    </row>
    <row r="20" spans="1:12">
      <c r="A20" s="3" t="str">
        <f t="shared" si="4"/>
        <v>桃花岛</v>
      </c>
      <c r="B20" s="3" t="s">
        <v>13208</v>
      </c>
      <c r="C20" s="16">
        <v>80</v>
      </c>
      <c r="D20" s="16">
        <v>70</v>
      </c>
      <c r="E20" s="21" t="str">
        <f t="shared" si="1"/>
        <v>二流高手</v>
      </c>
      <c r="F20" s="22" t="str">
        <f>LOOKUP(C20,{0,60,70,80,90},{"不入流","三流高手","二流高手","一流高手","绝世高手"})</f>
        <v>一流高手</v>
      </c>
      <c r="G20" s="23" t="str">
        <f t="shared" si="2"/>
        <v>一流高手</v>
      </c>
    </row>
    <row r="21" spans="1:12">
      <c r="A21" s="3" t="str">
        <f t="shared" si="4"/>
        <v>桃花岛</v>
      </c>
      <c r="B21" s="3" t="s">
        <v>13209</v>
      </c>
      <c r="C21" s="16">
        <v>70</v>
      </c>
      <c r="D21" s="16">
        <v>70</v>
      </c>
      <c r="E21" s="21" t="str">
        <f t="shared" si="1"/>
        <v>三流高手</v>
      </c>
      <c r="F21" s="22" t="str">
        <f>LOOKUP(C21,{0,60,70,80,90},{"不入流","三流高手","二流高手","一流高手","绝世高手"})</f>
        <v>二流高手</v>
      </c>
      <c r="G21" s="23" t="str">
        <f t="shared" si="2"/>
        <v>二流高手</v>
      </c>
    </row>
    <row r="22" spans="1:12">
      <c r="A22" s="3" t="s">
        <v>13193</v>
      </c>
      <c r="B22" s="3" t="s">
        <v>13210</v>
      </c>
      <c r="C22" s="16">
        <v>97</v>
      </c>
      <c r="D22" s="16">
        <v>80</v>
      </c>
      <c r="E22" s="21" t="str">
        <f t="shared" si="1"/>
        <v>绝世高手</v>
      </c>
      <c r="F22" s="22" t="str">
        <f>LOOKUP(C22,{0,60,70,80,90},{"不入流","三流高手","二流高手","一流高手","绝世高手"})</f>
        <v>绝世高手</v>
      </c>
      <c r="G22" s="23" t="str">
        <f t="shared" si="2"/>
        <v>绝世高手</v>
      </c>
    </row>
    <row r="23" spans="1:12">
      <c r="A23" s="3" t="str">
        <f t="shared" ref="A23:A27" si="5">A22</f>
        <v>大理段氏</v>
      </c>
      <c r="B23" s="3" t="s">
        <v>13211</v>
      </c>
      <c r="C23" s="16">
        <v>100</v>
      </c>
      <c r="D23" s="16">
        <v>85</v>
      </c>
      <c r="E23" s="21" t="str">
        <f t="shared" si="1"/>
        <v>绝世高手</v>
      </c>
      <c r="F23" s="22" t="str">
        <f>LOOKUP(C23,{0,60,70,80,90},{"不入流","三流高手","二流高手","一流高手","绝世高手"})</f>
        <v>绝世高手</v>
      </c>
      <c r="G23" s="23" t="str">
        <f t="shared" si="2"/>
        <v>绝世高手</v>
      </c>
      <c r="L23" s="17"/>
    </row>
    <row r="24" spans="1:12">
      <c r="A24" s="3" t="str">
        <f t="shared" si="5"/>
        <v>大理段氏</v>
      </c>
      <c r="B24" s="3" t="s">
        <v>13212</v>
      </c>
      <c r="C24" s="16">
        <v>76</v>
      </c>
      <c r="D24" s="16">
        <v>50</v>
      </c>
      <c r="E24" s="21" t="str">
        <f t="shared" si="1"/>
        <v>二流高手</v>
      </c>
      <c r="F24" s="22" t="str">
        <f>LOOKUP(C24,{0,60,70,80,90},{"不入流","三流高手","二流高手","一流高手","绝世高手"})</f>
        <v>二流高手</v>
      </c>
      <c r="G24" s="23" t="str">
        <f t="shared" si="2"/>
        <v>二流高手</v>
      </c>
    </row>
    <row r="25" spans="1:12">
      <c r="A25" s="3" t="str">
        <f t="shared" si="5"/>
        <v>大理段氏</v>
      </c>
      <c r="B25" s="3" t="s">
        <v>13213</v>
      </c>
      <c r="C25" s="16">
        <v>78</v>
      </c>
      <c r="D25" s="16">
        <v>50</v>
      </c>
      <c r="E25" s="21" t="str">
        <f t="shared" si="1"/>
        <v>二流高手</v>
      </c>
      <c r="F25" s="22" t="str">
        <f>LOOKUP(C25,{0,60,70,80,90},{"不入流","三流高手","二流高手","一流高手","绝世高手"})</f>
        <v>二流高手</v>
      </c>
      <c r="G25" s="23" t="str">
        <f t="shared" si="2"/>
        <v>二流高手</v>
      </c>
    </row>
    <row r="26" spans="1:12">
      <c r="A26" s="3" t="str">
        <f t="shared" si="5"/>
        <v>大理段氏</v>
      </c>
      <c r="B26" s="3" t="s">
        <v>13214</v>
      </c>
      <c r="C26" s="16">
        <v>80</v>
      </c>
      <c r="D26" s="16">
        <v>90</v>
      </c>
      <c r="E26" s="21" t="str">
        <f t="shared" si="1"/>
        <v>二流高手</v>
      </c>
      <c r="F26" s="22" t="str">
        <f>LOOKUP(C26,{0,60,70,80,90},{"不入流","三流高手","二流高手","一流高手","绝世高手"})</f>
        <v>一流高手</v>
      </c>
      <c r="G26" s="23" t="str">
        <f t="shared" si="2"/>
        <v>一流高手</v>
      </c>
    </row>
    <row r="27" spans="1:12">
      <c r="A27" s="3" t="str">
        <f t="shared" si="5"/>
        <v>大理段氏</v>
      </c>
      <c r="B27" s="3" t="s">
        <v>13215</v>
      </c>
      <c r="C27" s="16">
        <v>76</v>
      </c>
      <c r="D27" s="16">
        <v>60</v>
      </c>
      <c r="E27" s="21" t="str">
        <f t="shared" si="1"/>
        <v>二流高手</v>
      </c>
      <c r="F27" s="22" t="str">
        <f>LOOKUP(C27,{0,60,70,80,90},{"不入流","三流高手","二流高手","一流高手","绝世高手"})</f>
        <v>二流高手</v>
      </c>
      <c r="G27" s="23" t="str">
        <f t="shared" si="2"/>
        <v>二流高手</v>
      </c>
    </row>
    <row r="28" spans="1:12">
      <c r="A28" s="3" t="s">
        <v>13195</v>
      </c>
      <c r="B28" s="3" t="s">
        <v>13216</v>
      </c>
      <c r="C28" s="16">
        <v>90</v>
      </c>
      <c r="D28" s="16">
        <v>40</v>
      </c>
      <c r="E28" s="21" t="str">
        <f t="shared" si="1"/>
        <v>一流高手</v>
      </c>
      <c r="F28" s="22" t="str">
        <f>LOOKUP(C28,{0,60,70,80,90},{"不入流","三流高手","二流高手","一流高手","绝世高手"})</f>
        <v>绝世高手</v>
      </c>
      <c r="G28" s="23" t="str">
        <f t="shared" si="2"/>
        <v>绝世高手</v>
      </c>
    </row>
    <row r="29" spans="1:12">
      <c r="A29" s="3" t="str">
        <f t="shared" ref="A29:A34" si="6">A28</f>
        <v>其他</v>
      </c>
      <c r="B29" s="3" t="s">
        <v>13217</v>
      </c>
      <c r="C29" s="16">
        <v>91</v>
      </c>
      <c r="D29" s="16">
        <v>70</v>
      </c>
      <c r="E29" s="21" t="str">
        <f t="shared" si="1"/>
        <v>绝世高手</v>
      </c>
      <c r="F29" s="22" t="str">
        <f>LOOKUP(C29,{0,60,70,80,90},{"不入流","三流高手","二流高手","一流高手","绝世高手"})</f>
        <v>绝世高手</v>
      </c>
      <c r="G29" s="23" t="str">
        <f t="shared" si="2"/>
        <v>绝世高手</v>
      </c>
    </row>
    <row r="30" spans="1:12">
      <c r="A30" s="3" t="str">
        <f t="shared" si="6"/>
        <v>其他</v>
      </c>
      <c r="B30" s="3" t="s">
        <v>13218</v>
      </c>
      <c r="C30" s="16">
        <v>70</v>
      </c>
      <c r="D30" s="16">
        <v>50</v>
      </c>
      <c r="E30" s="21" t="str">
        <f t="shared" si="1"/>
        <v>三流高手</v>
      </c>
      <c r="F30" s="22" t="str">
        <f>LOOKUP(C30,{0,60,70,80,90},{"不入流","三流高手","二流高手","一流高手","绝世高手"})</f>
        <v>二流高手</v>
      </c>
      <c r="G30" s="23" t="str">
        <f t="shared" si="2"/>
        <v>二流高手</v>
      </c>
    </row>
    <row r="31" spans="1:12">
      <c r="A31" s="3" t="str">
        <f t="shared" si="6"/>
        <v>其他</v>
      </c>
      <c r="B31" s="3" t="s">
        <v>13219</v>
      </c>
      <c r="C31" s="16">
        <v>68</v>
      </c>
      <c r="D31" s="16">
        <v>80</v>
      </c>
      <c r="E31" s="21" t="str">
        <f t="shared" si="1"/>
        <v>三流高手</v>
      </c>
      <c r="F31" s="22" t="str">
        <f>LOOKUP(C31,{0,60,70,80,90},{"不入流","三流高手","二流高手","一流高手","绝世高手"})</f>
        <v>三流高手</v>
      </c>
      <c r="G31" s="23" t="str">
        <f t="shared" si="2"/>
        <v>三流高手</v>
      </c>
    </row>
    <row r="32" spans="1:12">
      <c r="A32" s="3" t="str">
        <f t="shared" si="6"/>
        <v>其他</v>
      </c>
      <c r="B32" s="3" t="s">
        <v>13220</v>
      </c>
      <c r="C32" s="16">
        <v>59</v>
      </c>
      <c r="D32" s="16">
        <v>70</v>
      </c>
      <c r="E32" s="21" t="str">
        <f t="shared" si="1"/>
        <v>不入流</v>
      </c>
      <c r="F32" s="22" t="str">
        <f>LOOKUP(C32,{0,60,70,80,90},{"不入流","三流高手","二流高手","一流高手","绝世高手"})</f>
        <v>不入流</v>
      </c>
      <c r="G32" s="23" t="str">
        <f t="shared" si="2"/>
        <v>不入流</v>
      </c>
    </row>
    <row r="33" spans="1:7">
      <c r="A33" s="3" t="str">
        <f t="shared" si="6"/>
        <v>其他</v>
      </c>
      <c r="B33" s="3" t="s">
        <v>13221</v>
      </c>
      <c r="C33" s="16">
        <v>62</v>
      </c>
      <c r="D33" s="16">
        <v>90</v>
      </c>
      <c r="E33" s="21" t="str">
        <f t="shared" si="1"/>
        <v>三流高手</v>
      </c>
      <c r="F33" s="22" t="str">
        <f>LOOKUP(C33,{0,60,70,80,90},{"不入流","三流高手","二流高手","一流高手","绝世高手"})</f>
        <v>三流高手</v>
      </c>
      <c r="G33" s="23" t="str">
        <f t="shared" si="2"/>
        <v>三流高手</v>
      </c>
    </row>
    <row r="34" spans="1:7">
      <c r="A34" s="3" t="str">
        <f t="shared" si="6"/>
        <v>其他</v>
      </c>
      <c r="B34" s="3" t="s">
        <v>13222</v>
      </c>
      <c r="C34" s="16">
        <v>60</v>
      </c>
      <c r="D34" s="16">
        <v>70</v>
      </c>
      <c r="E34" s="21" t="str">
        <f t="shared" si="1"/>
        <v>不入流</v>
      </c>
      <c r="F34" s="22" t="str">
        <f>LOOKUP(C34,{0,60,70,80,90},{"不入流","三流高手","二流高手","一流高手","绝世高手"})</f>
        <v>三流高手</v>
      </c>
      <c r="G34" s="23" t="str">
        <f t="shared" si="2"/>
        <v>三流高手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6E876-A0DF-4DEC-82A4-B695D942D29E}">
  <sheetPr codeName="Sheet7"/>
  <dimension ref="A1:K77"/>
  <sheetViews>
    <sheetView topLeftCell="A64" workbookViewId="0">
      <selection activeCell="M87" sqref="M87"/>
    </sheetView>
  </sheetViews>
  <sheetFormatPr defaultRowHeight="13.8"/>
  <cols>
    <col min="1" max="1" width="10.109375" style="3" customWidth="1"/>
    <col min="2" max="2" width="8.88671875" style="3"/>
    <col min="3" max="3" width="10.44140625" style="18" bestFit="1" customWidth="1"/>
    <col min="4" max="16384" width="8.88671875" style="3"/>
  </cols>
  <sheetData>
    <row r="1" spans="1:3">
      <c r="A1" s="3" t="s">
        <v>13224</v>
      </c>
      <c r="B1" s="3" t="s">
        <v>13225</v>
      </c>
      <c r="C1" s="18" t="s">
        <v>13226</v>
      </c>
    </row>
    <row r="2" spans="1:3">
      <c r="A2" s="19">
        <v>42767</v>
      </c>
      <c r="B2" s="3">
        <v>20760</v>
      </c>
    </row>
    <row r="3" spans="1:3">
      <c r="A3" s="19">
        <v>42768</v>
      </c>
      <c r="B3" s="3">
        <v>22858</v>
      </c>
      <c r="C3" s="18">
        <f>(B3-B2)/B2</f>
        <v>0.10105973025048169</v>
      </c>
    </row>
    <row r="4" spans="1:3">
      <c r="A4" s="19">
        <v>42769</v>
      </c>
      <c r="B4" s="3">
        <v>20805</v>
      </c>
      <c r="C4" s="18">
        <f t="shared" ref="C4:C21" si="0">(B4-B3)/B3</f>
        <v>-8.9815381923177881E-2</v>
      </c>
    </row>
    <row r="5" spans="1:3">
      <c r="A5" s="19">
        <v>42770</v>
      </c>
      <c r="B5" s="3">
        <v>22233</v>
      </c>
      <c r="C5" s="18">
        <f t="shared" si="0"/>
        <v>6.8637346791636619E-2</v>
      </c>
    </row>
    <row r="6" spans="1:3">
      <c r="A6" s="19">
        <v>42771</v>
      </c>
      <c r="B6" s="3">
        <v>21198</v>
      </c>
      <c r="C6" s="18">
        <f t="shared" si="0"/>
        <v>-4.6552422075293483E-2</v>
      </c>
    </row>
    <row r="7" spans="1:3">
      <c r="A7" s="19">
        <v>42772</v>
      </c>
      <c r="B7" s="3">
        <v>23120</v>
      </c>
      <c r="C7" s="18">
        <f t="shared" si="0"/>
        <v>9.0668931031229361E-2</v>
      </c>
    </row>
    <row r="8" spans="1:3">
      <c r="A8" s="19">
        <v>42773</v>
      </c>
      <c r="B8" s="3">
        <v>20333</v>
      </c>
      <c r="C8" s="18">
        <f t="shared" si="0"/>
        <v>-0.12054498269896194</v>
      </c>
    </row>
    <row r="9" spans="1:3">
      <c r="A9" s="19">
        <v>42774</v>
      </c>
      <c r="B9" s="3">
        <v>21516</v>
      </c>
      <c r="C9" s="18">
        <f t="shared" si="0"/>
        <v>5.8181281660355084E-2</v>
      </c>
    </row>
    <row r="10" spans="1:3">
      <c r="A10" s="19">
        <v>42775</v>
      </c>
      <c r="B10" s="3">
        <v>23353</v>
      </c>
      <c r="C10" s="18">
        <f t="shared" si="0"/>
        <v>8.537832310838446E-2</v>
      </c>
    </row>
    <row r="11" spans="1:3">
      <c r="A11" s="19">
        <v>42776</v>
      </c>
      <c r="B11" s="3">
        <v>24512</v>
      </c>
      <c r="C11" s="18">
        <f t="shared" si="0"/>
        <v>4.9629597910332716E-2</v>
      </c>
    </row>
    <row r="12" spans="1:3">
      <c r="A12" s="19">
        <v>42777</v>
      </c>
      <c r="B12" s="3">
        <v>20154</v>
      </c>
      <c r="C12" s="18">
        <f t="shared" si="0"/>
        <v>-0.17779046997389034</v>
      </c>
    </row>
    <row r="13" spans="1:3">
      <c r="A13" s="19">
        <v>42778</v>
      </c>
      <c r="B13" s="3">
        <v>20767</v>
      </c>
      <c r="C13" s="18">
        <f t="shared" si="0"/>
        <v>3.041579835268433E-2</v>
      </c>
    </row>
    <row r="14" spans="1:3">
      <c r="A14" s="19">
        <v>42779</v>
      </c>
      <c r="B14" s="3">
        <v>20401</v>
      </c>
      <c r="C14" s="18">
        <f t="shared" si="0"/>
        <v>-1.7624115182741849E-2</v>
      </c>
    </row>
    <row r="15" spans="1:3">
      <c r="A15" s="19">
        <v>42780</v>
      </c>
      <c r="B15" s="3">
        <v>22686</v>
      </c>
      <c r="C15" s="18">
        <f t="shared" si="0"/>
        <v>0.11200431351404343</v>
      </c>
    </row>
    <row r="16" spans="1:3">
      <c r="A16" s="19">
        <v>42781</v>
      </c>
      <c r="B16" s="3">
        <v>20973</v>
      </c>
      <c r="C16" s="18">
        <f t="shared" si="0"/>
        <v>-7.5509124570219521E-2</v>
      </c>
    </row>
    <row r="17" spans="1:3">
      <c r="A17" s="19">
        <v>42782</v>
      </c>
      <c r="B17" s="3">
        <v>24794</v>
      </c>
      <c r="C17" s="18">
        <f t="shared" si="0"/>
        <v>0.18218662089352977</v>
      </c>
    </row>
    <row r="18" spans="1:3">
      <c r="A18" s="19">
        <v>42783</v>
      </c>
      <c r="B18" s="3">
        <v>21010</v>
      </c>
      <c r="C18" s="18">
        <f t="shared" si="0"/>
        <v>-0.1526175687666371</v>
      </c>
    </row>
    <row r="19" spans="1:3">
      <c r="A19" s="19">
        <v>42784</v>
      </c>
      <c r="B19" s="3">
        <v>24206</v>
      </c>
      <c r="C19" s="18">
        <f t="shared" si="0"/>
        <v>0.15211803902903379</v>
      </c>
    </row>
    <row r="20" spans="1:3">
      <c r="A20" s="19">
        <v>42785</v>
      </c>
      <c r="B20" s="3">
        <v>23309</v>
      </c>
      <c r="C20" s="18">
        <f t="shared" si="0"/>
        <v>-3.705692803437164E-2</v>
      </c>
    </row>
    <row r="21" spans="1:3">
      <c r="A21" s="19">
        <v>42786</v>
      </c>
      <c r="B21" s="3">
        <v>23262</v>
      </c>
      <c r="C21" s="18">
        <f t="shared" si="0"/>
        <v>-2.0163885194560043E-3</v>
      </c>
    </row>
    <row r="26" spans="1:3">
      <c r="A26" s="3" t="s">
        <v>13227</v>
      </c>
    </row>
    <row r="27" spans="1:3">
      <c r="A27" s="3" t="s">
        <v>13228</v>
      </c>
      <c r="B27" s="3">
        <v>83223</v>
      </c>
    </row>
    <row r="28" spans="1:3">
      <c r="A28" s="3" t="s">
        <v>13229</v>
      </c>
      <c r="B28" s="3">
        <f>SUM(B29:B32)</f>
        <v>36477</v>
      </c>
    </row>
    <row r="29" spans="1:3">
      <c r="A29" s="3" t="s">
        <v>13230</v>
      </c>
      <c r="B29" s="3">
        <v>15668</v>
      </c>
    </row>
    <row r="30" spans="1:3">
      <c r="A30" s="3" t="s">
        <v>13231</v>
      </c>
      <c r="B30" s="3">
        <v>9889</v>
      </c>
    </row>
    <row r="31" spans="1:3">
      <c r="A31" s="3" t="s">
        <v>13232</v>
      </c>
      <c r="B31" s="3">
        <v>7688</v>
      </c>
    </row>
    <row r="32" spans="1:3">
      <c r="A32" s="3" t="s">
        <v>13233</v>
      </c>
      <c r="B32" s="3">
        <v>3232</v>
      </c>
    </row>
    <row r="35" spans="1:3">
      <c r="A35" s="3" t="s">
        <v>13234</v>
      </c>
    </row>
    <row r="36" spans="1:3">
      <c r="A36" s="3" t="s">
        <v>13235</v>
      </c>
      <c r="B36" s="3">
        <v>0</v>
      </c>
      <c r="C36" s="3">
        <v>12980</v>
      </c>
    </row>
    <row r="37" spans="1:3">
      <c r="A37" s="3" t="s">
        <v>13236</v>
      </c>
      <c r="B37" s="3">
        <f>C36-C37</f>
        <v>9780</v>
      </c>
      <c r="C37" s="3">
        <v>3200</v>
      </c>
    </row>
    <row r="38" spans="1:3">
      <c r="A38" s="3" t="s">
        <v>13237</v>
      </c>
      <c r="B38" s="3">
        <f>B37-C38</f>
        <v>4460</v>
      </c>
      <c r="C38" s="3">
        <v>5320</v>
      </c>
    </row>
    <row r="39" spans="1:3">
      <c r="A39" s="3" t="s">
        <v>13238</v>
      </c>
      <c r="B39" s="3">
        <f>B38-C39</f>
        <v>0</v>
      </c>
      <c r="C39" s="3">
        <f>C36-C37-C38</f>
        <v>4460</v>
      </c>
    </row>
    <row r="53" spans="1:4">
      <c r="A53" s="3" t="s">
        <v>13239</v>
      </c>
    </row>
    <row r="54" spans="1:4">
      <c r="A54" s="3" t="s">
        <v>13240</v>
      </c>
      <c r="B54" s="3" t="s">
        <v>13241</v>
      </c>
      <c r="C54" s="3" t="s">
        <v>13242</v>
      </c>
      <c r="D54" s="3" t="s">
        <v>13241</v>
      </c>
    </row>
    <row r="55" spans="1:4">
      <c r="A55" s="3" t="s">
        <v>13243</v>
      </c>
      <c r="B55" s="3">
        <v>0</v>
      </c>
      <c r="C55" s="20">
        <v>28889</v>
      </c>
      <c r="D55" s="3">
        <v>0</v>
      </c>
    </row>
    <row r="56" spans="1:4">
      <c r="A56" s="3" t="s">
        <v>13244</v>
      </c>
      <c r="B56" s="3">
        <f>($C$55-C56)/2</f>
        <v>4943.5</v>
      </c>
      <c r="C56" s="20">
        <v>19002</v>
      </c>
      <c r="D56" s="3">
        <f>($C$55-C56)/2</f>
        <v>4943.5</v>
      </c>
    </row>
    <row r="57" spans="1:4">
      <c r="A57" s="3" t="s">
        <v>13245</v>
      </c>
      <c r="B57" s="3">
        <f t="shared" ref="B57:B59" si="1">($C$55-C57)/2</f>
        <v>6442</v>
      </c>
      <c r="C57" s="20">
        <v>16005</v>
      </c>
      <c r="D57" s="3">
        <f t="shared" ref="D57:D59" si="2">($C$55-C57)/2</f>
        <v>6442</v>
      </c>
    </row>
    <row r="58" spans="1:4">
      <c r="A58" s="3" t="s">
        <v>13246</v>
      </c>
      <c r="B58" s="3">
        <f t="shared" si="1"/>
        <v>7838.5</v>
      </c>
      <c r="C58" s="20">
        <v>13212</v>
      </c>
      <c r="D58" s="3">
        <f t="shared" si="2"/>
        <v>7838.5</v>
      </c>
    </row>
    <row r="59" spans="1:4">
      <c r="A59" s="3" t="s">
        <v>13247</v>
      </c>
      <c r="B59" s="3">
        <f t="shared" si="1"/>
        <v>9994.5</v>
      </c>
      <c r="C59" s="20">
        <v>8900</v>
      </c>
      <c r="D59" s="3">
        <f t="shared" si="2"/>
        <v>9994.5</v>
      </c>
    </row>
    <row r="65" spans="1:11">
      <c r="A65" s="3" t="s">
        <v>13248</v>
      </c>
      <c r="B65" s="3" t="s">
        <v>13249</v>
      </c>
    </row>
    <row r="66" spans="1:11">
      <c r="A66" s="3" t="s">
        <v>13250</v>
      </c>
      <c r="B66" s="3">
        <v>2801</v>
      </c>
    </row>
    <row r="67" spans="1:11">
      <c r="A67" s="3" t="s">
        <v>13251</v>
      </c>
      <c r="B67" s="3">
        <v>3242</v>
      </c>
    </row>
    <row r="68" spans="1:11">
      <c r="A68" s="3" t="s">
        <v>13252</v>
      </c>
      <c r="B68" s="3">
        <v>6313</v>
      </c>
    </row>
    <row r="69" spans="1:11">
      <c r="A69" s="3" t="s">
        <v>13253</v>
      </c>
      <c r="B69" s="3">
        <v>2123</v>
      </c>
    </row>
    <row r="70" spans="1:11">
      <c r="A70" s="3" t="s">
        <v>13254</v>
      </c>
      <c r="B70" s="3">
        <v>1231</v>
      </c>
    </row>
    <row r="77" spans="1:11">
      <c r="K77" s="3" t="e">
        <f>t</f>
        <v>#NAME?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地址引用</vt:lpstr>
      <vt:lpstr>SUBTOTAL</vt:lpstr>
      <vt:lpstr>查找与引用函数</vt:lpstr>
      <vt:lpstr>数据描述与周末与否</vt:lpstr>
      <vt:lpstr>文本函数</vt:lpstr>
      <vt:lpstr>逻辑函数</vt:lpstr>
      <vt:lpstr>图表的设计与美化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晓婧 黄</dc:creator>
  <cp:lastModifiedBy>晴 萧</cp:lastModifiedBy>
  <dcterms:created xsi:type="dcterms:W3CDTF">2023-10-05T01:33:29Z</dcterms:created>
  <dcterms:modified xsi:type="dcterms:W3CDTF">2023-10-09T11:21:00Z</dcterms:modified>
</cp:coreProperties>
</file>