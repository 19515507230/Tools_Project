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rkdown\data_analysis\.assets\"/>
    </mc:Choice>
  </mc:AlternateContent>
  <xr:revisionPtr revIDLastSave="0" documentId="13_ncr:1_{77927FDC-A1CB-475D-8DCA-1E651EE94C0F}" xr6:coauthVersionLast="47" xr6:coauthVersionMax="47" xr10:uidLastSave="{00000000-0000-0000-0000-000000000000}"/>
  <bookViews>
    <workbookView xWindow="-98" yWindow="-98" windowWidth="21795" windowHeight="13695" firstSheet="1" activeTab="3" xr2:uid="{00000000-000D-0000-FFFF-FFFF00000000}"/>
  </bookViews>
  <sheets>
    <sheet name="01_查找与引用函数练习" sheetId="1" r:id="rId1"/>
    <sheet name="02_统计函数练习" sheetId="2" r:id="rId2"/>
    <sheet name="03_机票数据" sheetId="3" r:id="rId3"/>
    <sheet name="04_逻辑函数练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4" l="1" a="1"/>
  <c r="O20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2" i="4"/>
  <c r="A29" i="4"/>
  <c r="A30" i="4" s="1"/>
  <c r="A31" i="4" s="1"/>
  <c r="A32" i="4" s="1"/>
  <c r="A33" i="4" s="1"/>
  <c r="A34" i="4" s="1"/>
  <c r="A23" i="4"/>
  <c r="A24" i="4" s="1"/>
  <c r="A25" i="4" s="1"/>
  <c r="A26" i="4" s="1"/>
  <c r="A27" i="4" s="1"/>
  <c r="A18" i="4"/>
  <c r="A19" i="4" s="1"/>
  <c r="A20" i="4" s="1"/>
  <c r="A21" i="4" s="1"/>
  <c r="A16" i="4"/>
  <c r="A12" i="4"/>
  <c r="A13" i="4" s="1"/>
  <c r="A14" i="4" s="1"/>
  <c r="A3" i="4"/>
  <c r="A4" i="4" s="1"/>
  <c r="A5" i="4" s="1"/>
  <c r="A6" i="4" s="1"/>
  <c r="A7" i="4" s="1"/>
  <c r="A8" i="4" s="1"/>
  <c r="A9" i="4" s="1"/>
  <c r="A10" i="4" s="1"/>
  <c r="C23" i="3"/>
  <c r="F22" i="3"/>
  <c r="D22" i="3"/>
  <c r="F21" i="3"/>
  <c r="D21" i="3"/>
  <c r="C20" i="3"/>
  <c r="C19" i="3"/>
  <c r="C18" i="3"/>
  <c r="B15" i="2"/>
  <c r="B14" i="2"/>
  <c r="B13" i="2"/>
  <c r="L4" i="1"/>
  <c r="L5" i="1"/>
  <c r="L7" i="1"/>
  <c r="L6" i="1"/>
  <c r="F4" i="1"/>
  <c r="L3" i="1"/>
  <c r="F3" i="1"/>
  <c r="L2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<sst xmlns="http://schemas.openxmlformats.org/spreadsheetml/2006/main" count="172" uniqueCount="155">
  <si>
    <t>姓名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</si>
  <si>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</si>
  <si>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</si>
  <si>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</si>
  <si>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</si>
  <si>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总分</t>
    <phoneticPr fontId="1" type="noConversion"/>
  </si>
  <si>
    <t>函数</t>
    <phoneticPr fontId="1" type="noConversion"/>
  </si>
  <si>
    <t>问题</t>
    <phoneticPr fontId="1" type="noConversion"/>
  </si>
  <si>
    <t>查找值</t>
    <phoneticPr fontId="1" type="noConversion"/>
  </si>
  <si>
    <t>结果</t>
    <phoneticPr fontId="1" type="noConversion"/>
  </si>
  <si>
    <t>张三</t>
    <phoneticPr fontId="1" type="noConversion"/>
  </si>
  <si>
    <t>XLOOKUP</t>
    <phoneticPr fontId="1" type="noConversion"/>
  </si>
  <si>
    <t>张三的英语成绩</t>
    <phoneticPr fontId="1" type="noConversion"/>
  </si>
  <si>
    <t>李四</t>
    <phoneticPr fontId="1" type="noConversion"/>
  </si>
  <si>
    <t>VLOOKUP</t>
    <phoneticPr fontId="1" type="noConversion"/>
  </si>
  <si>
    <t>王五</t>
    <phoneticPr fontId="1" type="noConversion"/>
  </si>
  <si>
    <t>HLOOKUP</t>
    <phoneticPr fontId="1" type="noConversion"/>
  </si>
  <si>
    <t>INDEX</t>
    <phoneticPr fontId="1" type="noConversion"/>
  </si>
  <si>
    <t>第三行第二列</t>
    <phoneticPr fontId="1" type="noConversion"/>
  </si>
  <si>
    <t>MATCH</t>
    <phoneticPr fontId="1" type="noConversion"/>
  </si>
  <si>
    <t>总分是329的同学</t>
    <phoneticPr fontId="1" type="noConversion"/>
  </si>
  <si>
    <t>查找94分的学科</t>
    <phoneticPr fontId="1" type="noConversion"/>
  </si>
  <si>
    <t>序号</t>
    <phoneticPr fontId="1" type="noConversion"/>
  </si>
  <si>
    <t>产品</t>
    <phoneticPr fontId="1" type="noConversion"/>
  </si>
  <si>
    <t>销量</t>
    <phoneticPr fontId="1" type="noConversion"/>
  </si>
  <si>
    <t>主机</t>
    <phoneticPr fontId="1" type="noConversion"/>
  </si>
  <si>
    <t>显示器</t>
    <phoneticPr fontId="1" type="noConversion"/>
  </si>
  <si>
    <t>笔记本</t>
    <phoneticPr fontId="1" type="noConversion"/>
  </si>
  <si>
    <t>鼠标</t>
    <phoneticPr fontId="1" type="noConversion"/>
  </si>
  <si>
    <t>键盘</t>
    <phoneticPr fontId="1" type="noConversion"/>
  </si>
  <si>
    <t>音响</t>
    <phoneticPr fontId="1" type="noConversion"/>
  </si>
  <si>
    <t>耳机</t>
    <phoneticPr fontId="1" type="noConversion"/>
  </si>
  <si>
    <t>鼠标垫</t>
    <phoneticPr fontId="1" type="noConversion"/>
  </si>
  <si>
    <t>网线</t>
    <phoneticPr fontId="1" type="noConversion"/>
  </si>
  <si>
    <t>防窥膜</t>
    <phoneticPr fontId="1" type="noConversion"/>
  </si>
  <si>
    <t>sum函数</t>
    <phoneticPr fontId="1" type="noConversion"/>
  </si>
  <si>
    <t>代码9</t>
    <phoneticPr fontId="1" type="noConversion"/>
  </si>
  <si>
    <t>代码109</t>
    <phoneticPr fontId="1" type="noConversion"/>
  </si>
  <si>
    <t>去除了隐藏的三行</t>
    <phoneticPr fontId="1" type="noConversion"/>
  </si>
  <si>
    <t>列1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</si>
  <si>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</si>
  <si>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</si>
  <si>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</si>
  <si>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</si>
  <si>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</si>
  <si>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</si>
  <si>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</si>
  <si>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</si>
  <si>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</si>
  <si>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</si>
  <si>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</si>
  <si>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</si>
  <si>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</si>
  <si>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</si>
  <si>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</si>
  <si>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</si>
  <si>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</si>
  <si>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</si>
  <si>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</si>
  <si>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</si>
  <si>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</si>
  <si>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</si>
  <si>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</si>
  <si>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</si>
  <si>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</si>
  <si>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</si>
  <si>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</si>
  <si>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</si>
  <si>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</si>
  <si>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</si>
  <si>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</si>
  <si>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</si>
  <si>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</si>
  <si>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</si>
  <si>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</si>
  <si>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</si>
  <si>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</si>
  <si>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</si>
  <si>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</si>
  <si>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</si>
  <si>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机票总量</t>
  </si>
  <si>
    <t>国际机票</t>
  </si>
  <si>
    <t>国际机票产品</t>
  </si>
  <si>
    <t>国内机票产品</t>
  </si>
  <si>
    <t>机票DID</t>
  </si>
  <si>
    <t>机票DID紧急</t>
  </si>
  <si>
    <t>机票vip</t>
  </si>
  <si>
    <t>机票操作</t>
  </si>
  <si>
    <t>机票紧急</t>
  </si>
  <si>
    <t>机票特攻</t>
  </si>
  <si>
    <t>机票咨询</t>
  </si>
  <si>
    <t>均值</t>
    <phoneticPr fontId="1" type="noConversion"/>
  </si>
  <si>
    <t>中位数</t>
    <phoneticPr fontId="1" type="noConversion"/>
  </si>
  <si>
    <t>众数</t>
    <phoneticPr fontId="1" type="noConversion"/>
  </si>
  <si>
    <t>方差</t>
    <phoneticPr fontId="1" type="noConversion"/>
  </si>
  <si>
    <t>标准差</t>
    <phoneticPr fontId="1" type="noConversion"/>
  </si>
  <si>
    <t>corr(总量，国内）</t>
    <phoneticPr fontId="1" type="noConversion"/>
  </si>
  <si>
    <t>样本方差</t>
    <phoneticPr fontId="1" type="noConversion"/>
  </si>
  <si>
    <t>总体方差</t>
    <phoneticPr fontId="1" type="noConversion"/>
  </si>
  <si>
    <t>样本标准差</t>
    <phoneticPr fontId="1" type="noConversion"/>
  </si>
  <si>
    <t>总体标准差</t>
    <phoneticPr fontId="1" type="noConversion"/>
  </si>
  <si>
    <t>门派</t>
    <phoneticPr fontId="1" type="noConversion"/>
  </si>
  <si>
    <t>武力值</t>
    <phoneticPr fontId="1" type="noConversion"/>
  </si>
  <si>
    <t>智力值</t>
    <phoneticPr fontId="1" type="noConversion"/>
  </si>
  <si>
    <t>武力评级（IF)</t>
    <phoneticPr fontId="1" type="noConversion"/>
  </si>
  <si>
    <t>评级</t>
    <phoneticPr fontId="4" type="noConversion"/>
  </si>
  <si>
    <t>全真教</t>
    <phoneticPr fontId="1" type="noConversion"/>
  </si>
  <si>
    <t>王重阳</t>
    <phoneticPr fontId="1" type="noConversion"/>
  </si>
  <si>
    <t>90以上</t>
    <phoneticPr fontId="1" type="noConversion"/>
  </si>
  <si>
    <t>绝世高手</t>
    <phoneticPr fontId="1" type="noConversion"/>
  </si>
  <si>
    <t>丘处机</t>
    <phoneticPr fontId="1" type="noConversion"/>
  </si>
  <si>
    <t>80-90</t>
    <phoneticPr fontId="1" type="noConversion"/>
  </si>
  <si>
    <t>一流高手</t>
    <phoneticPr fontId="1" type="noConversion"/>
  </si>
  <si>
    <t>丐帮</t>
    <phoneticPr fontId="1" type="noConversion"/>
  </si>
  <si>
    <t>马钰</t>
    <phoneticPr fontId="1" type="noConversion"/>
  </si>
  <si>
    <t>70-80</t>
    <phoneticPr fontId="1" type="noConversion"/>
  </si>
  <si>
    <t>二流高手</t>
    <phoneticPr fontId="1" type="noConversion"/>
  </si>
  <si>
    <t>白驼山</t>
    <phoneticPr fontId="1" type="noConversion"/>
  </si>
  <si>
    <t>王处一</t>
    <phoneticPr fontId="1" type="noConversion"/>
  </si>
  <si>
    <t>60-70</t>
    <phoneticPr fontId="1" type="noConversion"/>
  </si>
  <si>
    <t>三流高手</t>
    <phoneticPr fontId="1" type="noConversion"/>
  </si>
  <si>
    <t>桃花岛</t>
    <phoneticPr fontId="1" type="noConversion"/>
  </si>
  <si>
    <t>郝大通</t>
    <phoneticPr fontId="1" type="noConversion"/>
  </si>
  <si>
    <t>60以下</t>
    <phoneticPr fontId="1" type="noConversion"/>
  </si>
  <si>
    <t>不入流</t>
    <phoneticPr fontId="1" type="noConversion"/>
  </si>
  <si>
    <t>大理段氏</t>
    <phoneticPr fontId="1" type="noConversion"/>
  </si>
  <si>
    <t>孙不二</t>
    <phoneticPr fontId="1" type="noConversion"/>
  </si>
  <si>
    <t>其他</t>
    <phoneticPr fontId="1" type="noConversion"/>
  </si>
  <si>
    <t>谭处端</t>
    <phoneticPr fontId="1" type="noConversion"/>
  </si>
  <si>
    <t>刘处玄</t>
    <phoneticPr fontId="1" type="noConversion"/>
  </si>
  <si>
    <t>周伯通</t>
    <phoneticPr fontId="1" type="noConversion"/>
  </si>
  <si>
    <t>洪七公</t>
    <phoneticPr fontId="1" type="noConversion"/>
  </si>
  <si>
    <t>鲁有脚</t>
    <phoneticPr fontId="1" type="noConversion"/>
  </si>
  <si>
    <t>黄蓉</t>
    <phoneticPr fontId="1" type="noConversion"/>
  </si>
  <si>
    <t>黎生</t>
    <phoneticPr fontId="1" type="noConversion"/>
  </si>
  <si>
    <t>欧阳锋</t>
    <phoneticPr fontId="1" type="noConversion"/>
  </si>
  <si>
    <t>欧阳克</t>
    <phoneticPr fontId="1" type="noConversion"/>
  </si>
  <si>
    <t>黄药师</t>
    <phoneticPr fontId="1" type="noConversion"/>
  </si>
  <si>
    <t>梅超风</t>
    <phoneticPr fontId="1" type="noConversion"/>
  </si>
  <si>
    <t>陈玄风</t>
    <phoneticPr fontId="1" type="noConversion"/>
  </si>
  <si>
    <t>曲灵风</t>
    <phoneticPr fontId="1" type="noConversion"/>
  </si>
  <si>
    <t>陆乘风</t>
    <phoneticPr fontId="1" type="noConversion"/>
  </si>
  <si>
    <t>一灯</t>
    <phoneticPr fontId="1" type="noConversion"/>
  </si>
  <si>
    <t>段誉</t>
    <phoneticPr fontId="1" type="noConversion"/>
  </si>
  <si>
    <t>武三通</t>
    <phoneticPr fontId="1" type="noConversion"/>
  </si>
  <si>
    <t>泗水鱼隐</t>
    <phoneticPr fontId="1" type="noConversion"/>
  </si>
  <si>
    <t>朱子柳</t>
    <phoneticPr fontId="1" type="noConversion"/>
  </si>
  <si>
    <t>樵夫</t>
    <phoneticPr fontId="1" type="noConversion"/>
  </si>
  <si>
    <t>郭靖</t>
    <phoneticPr fontId="1" type="noConversion"/>
  </si>
  <si>
    <t>裘千仞</t>
    <phoneticPr fontId="1" type="noConversion"/>
  </si>
  <si>
    <t>柯镇恶</t>
    <phoneticPr fontId="1" type="noConversion"/>
  </si>
  <si>
    <t>朱聪</t>
    <phoneticPr fontId="1" type="noConversion"/>
  </si>
  <si>
    <t>韩小莹</t>
    <phoneticPr fontId="1" type="noConversion"/>
  </si>
  <si>
    <t>张阿生</t>
    <phoneticPr fontId="1" type="noConversion"/>
  </si>
  <si>
    <t>南希仁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</si>
</sst>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14">
    <xf numFmtId="0" fontId="0" fillId="0" borderId="0" xfId="0"/>
    <xf numFmtId="176" fontId="2" fillId="0" borderId="1" xfId="1" applyBorder="1">
      <alignment vertical="center"/>
    </xf>
    <xf numFmtId="176" fontId="2" fillId="0" borderId="2" xfId="1" applyBorder="1">
      <alignment vertical="center"/>
    </xf>
    <xf numFmtId="176" fontId="2" fillId="0" borderId="3" xfId="1" applyBorder="1">
      <alignment vertical="center"/>
    </xf>
    <xf numFmtId="176" fontId="2" fillId="0" borderId="4" xfId="1" applyBorder="1">
      <alignment vertical="center"/>
    </xf>
    <xf numFmtId="176" fontId="3" fillId="0" borderId="0" xfId="1" applyFont="1">
      <alignment vertical="center"/>
    </xf>
    <xf numFmtId="176" fontId="3" fillId="0" borderId="5" xfId="1" applyFont="1" applyBorder="1">
      <alignment vertical="center"/>
    </xf>
    <xf numFmtId="14" fontId="2" fillId="0" borderId="4" xfId="1" applyNumberFormat="1" applyBorder="1">
      <alignment vertical="center"/>
    </xf>
    <xf numFmtId="176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5" fillId="0" borderId="0" xfId="0" applyNumberFormat="1" applyFont="1"/>
    <xf numFmtId="20" fontId="0" fillId="0" borderId="0" xfId="0" applyNumberFormat="1"/>
  </cellXfs>
  <cellStyles count="2">
    <cellStyle name="常规" xfId="0" builtinId="0"/>
    <cellStyle name="常规 2" xfId="1" xr:uid="{D955FBB2-AAF6-4C69-B2A0-C717B2894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D32" sqref="D32"/>
    </sheetView>
  </sheetViews>
  <sheetFormatPr defaultRowHeight="13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6</v>
      </c>
    </row>
    <row r="2" spans="1:12" x14ac:dyDescent="0.3">
      <c r="A2" t="s">
        <v>10</v>
      </c>
      <c r="B2">
        <v>90</v>
      </c>
      <c r="C2">
        <v>70</v>
      </c>
      <c r="D2">
        <v>83</v>
      </c>
      <c r="E2">
        <v>93</v>
      </c>
      <c r="F2">
        <f>SUM(B2:E2)</f>
        <v>336</v>
      </c>
      <c r="H2" t="s">
        <v>11</v>
      </c>
      <c r="I2" t="s">
        <v>12</v>
      </c>
      <c r="J2" t="s">
        <v>10</v>
      </c>
      <c r="K2">
        <v>83</v>
      </c>
      <c r="L2">
        <f>_xlfn.XLOOKUP(J2, A:A, D:D)</f>
        <v>83</v>
      </c>
    </row>
    <row r="3" spans="1:12" x14ac:dyDescent="0.3">
      <c r="A3" t="s">
        <v>13</v>
      </c>
      <c r="B3">
        <v>80</v>
      </c>
      <c r="C3">
        <v>82</v>
      </c>
      <c r="D3">
        <v>86</v>
      </c>
      <c r="E3">
        <v>85</v>
      </c>
      <c r="F3">
        <f t="shared" ref="F3:F4" si="0">SUM(B3:E3)</f>
        <v>333</v>
      </c>
      <c r="H3" t="s">
        <v>14</v>
      </c>
      <c r="I3" t="s">
        <v>12</v>
      </c>
      <c r="J3" t="s">
        <v>10</v>
      </c>
      <c r="K3">
        <v>83</v>
      </c>
      <c r="L3">
        <f>VLOOKUP(J3, A:F, 4, 0)</f>
        <v>83</v>
      </c>
    </row>
    <row r="4" spans="1:12" x14ac:dyDescent="0.3">
      <c r="A4" t="s">
        <v>15</v>
      </c>
      <c r="B4">
        <v>70</v>
      </c>
      <c r="C4">
        <v>94</v>
      </c>
      <c r="D4">
        <v>90</v>
      </c>
      <c r="E4">
        <v>75</v>
      </c>
      <c r="F4">
        <f t="shared" si="0"/>
        <v>329</v>
      </c>
      <c r="H4" t="s">
        <v>16</v>
      </c>
      <c r="I4" t="s">
        <v>12</v>
      </c>
      <c r="J4" t="s">
        <v>3</v>
      </c>
      <c r="K4">
        <v>83</v>
      </c>
      <c r="L4">
        <f>HLOOKUP(J4, 1:4, 2, 0)</f>
        <v>83</v>
      </c>
    </row>
    <row r="5" spans="1:12" x14ac:dyDescent="0.3">
      <c r="H5" t="s">
        <v>17</v>
      </c>
      <c r="I5" t="s">
        <v>18</v>
      </c>
      <c r="K5">
        <v>80</v>
      </c>
      <c r="L5">
        <f>INDEX(A:F, 3, 2)</f>
        <v>80</v>
      </c>
    </row>
    <row r="6" spans="1:12" x14ac:dyDescent="0.3">
      <c r="H6" t="s">
        <v>19</v>
      </c>
      <c r="I6" t="s">
        <v>20</v>
      </c>
      <c r="J6">
        <v>329</v>
      </c>
      <c r="K6" t="s">
        <v>15</v>
      </c>
      <c r="L6" t="str">
        <f>INDEX(A:F, MATCH(J6,F:F), 1)</f>
        <v>王五</v>
      </c>
    </row>
    <row r="7" spans="1:12" x14ac:dyDescent="0.3">
      <c r="H7" t="s">
        <v>19</v>
      </c>
      <c r="I7" t="s">
        <v>21</v>
      </c>
      <c r="J7">
        <v>94</v>
      </c>
      <c r="K7" t="s">
        <v>2</v>
      </c>
      <c r="L7" t="str">
        <f>INDEX(A:F, 1, MATCH(J7,4:4, 0))</f>
        <v>数学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859E-2FC5-447D-BF31-1B9872B9C066}">
  <dimension ref="A1:C15"/>
  <sheetViews>
    <sheetView workbookViewId="0">
      <selection activeCell="I13" sqref="I13"/>
    </sheetView>
  </sheetViews>
  <sheetFormatPr defaultRowHeight="13.5" x14ac:dyDescent="0.3"/>
  <cols>
    <col min="3" max="3" width="18.1328125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>
        <v>1</v>
      </c>
      <c r="B2" t="s">
        <v>25</v>
      </c>
      <c r="C2">
        <v>10</v>
      </c>
    </row>
    <row r="3" spans="1:3" x14ac:dyDescent="0.3">
      <c r="A3">
        <v>2</v>
      </c>
      <c r="B3" t="s">
        <v>26</v>
      </c>
      <c r="C3">
        <v>10</v>
      </c>
    </row>
    <row r="4" spans="1:3" hidden="1" x14ac:dyDescent="0.3">
      <c r="A4">
        <v>3</v>
      </c>
      <c r="B4" t="s">
        <v>27</v>
      </c>
      <c r="C4">
        <v>10</v>
      </c>
    </row>
    <row r="5" spans="1:3" hidden="1" x14ac:dyDescent="0.3">
      <c r="A5">
        <v>4</v>
      </c>
      <c r="B5" t="s">
        <v>28</v>
      </c>
      <c r="C5">
        <v>10</v>
      </c>
    </row>
    <row r="6" spans="1:3" hidden="1" x14ac:dyDescent="0.3">
      <c r="A6">
        <v>5</v>
      </c>
      <c r="B6" t="s">
        <v>29</v>
      </c>
      <c r="C6">
        <v>10</v>
      </c>
    </row>
    <row r="7" spans="1:3" x14ac:dyDescent="0.3">
      <c r="A7">
        <v>6</v>
      </c>
      <c r="B7" t="s">
        <v>30</v>
      </c>
      <c r="C7">
        <v>10</v>
      </c>
    </row>
    <row r="8" spans="1:3" x14ac:dyDescent="0.3">
      <c r="A8">
        <v>7</v>
      </c>
      <c r="B8" t="s">
        <v>31</v>
      </c>
      <c r="C8">
        <v>10</v>
      </c>
    </row>
    <row r="9" spans="1:3" x14ac:dyDescent="0.3">
      <c r="A9">
        <v>8</v>
      </c>
      <c r="B9" t="s">
        <v>32</v>
      </c>
      <c r="C9">
        <v>10</v>
      </c>
    </row>
    <row r="10" spans="1:3" x14ac:dyDescent="0.3">
      <c r="A10">
        <v>9</v>
      </c>
      <c r="B10" t="s">
        <v>33</v>
      </c>
      <c r="C10">
        <v>10</v>
      </c>
    </row>
    <row r="11" spans="1:3" x14ac:dyDescent="0.3">
      <c r="A11">
        <v>10</v>
      </c>
      <c r="B11" t="s">
        <v>34</v>
      </c>
      <c r="C11">
        <v>10</v>
      </c>
    </row>
    <row r="13" spans="1:3" x14ac:dyDescent="0.3">
      <c r="A13" t="s">
        <v>35</v>
      </c>
      <c r="B13">
        <f>SUM(C2:C11)</f>
        <v>100</v>
      </c>
    </row>
    <row r="14" spans="1:3" x14ac:dyDescent="0.3">
      <c r="A14" t="s">
        <v>36</v>
      </c>
      <c r="B14">
        <f>SUBTOTAL(9,C2:C11)</f>
        <v>100</v>
      </c>
    </row>
    <row r="15" spans="1:3" x14ac:dyDescent="0.3">
      <c r="A15" t="s">
        <v>37</v>
      </c>
      <c r="B15">
        <f>SUBTOTAL(109,C2:C11)</f>
        <v>70</v>
      </c>
      <c r="C15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F5B7-198E-4C28-94AC-D8569020716A}">
  <dimension ref="A1:AO23"/>
  <sheetViews>
    <sheetView zoomScaleNormal="100" workbookViewId="0">
      <selection activeCell="C23" sqref="C23"/>
    </sheetView>
  </sheetViews>
  <sheetFormatPr defaultRowHeight="13.5" x14ac:dyDescent="0.3"/>
  <cols>
    <col min="1" max="1" width="15.59765625" bestFit="1" customWidth="1"/>
    <col min="2" max="2" width="18.1328125" bestFit="1" customWidth="1"/>
    <col min="3" max="41" width="14.06640625" bestFit="1" customWidth="1"/>
  </cols>
  <sheetData>
    <row r="1" spans="1:41" ht="15.75" x14ac:dyDescent="0.3">
      <c r="A1" s="1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  <c r="Q1" s="2" t="s">
        <v>55</v>
      </c>
      <c r="R1" s="2" t="s">
        <v>56</v>
      </c>
      <c r="S1" s="2" t="s">
        <v>57</v>
      </c>
      <c r="T1" s="2" t="s">
        <v>58</v>
      </c>
      <c r="U1" s="2" t="s">
        <v>59</v>
      </c>
      <c r="V1" s="2" t="s">
        <v>60</v>
      </c>
      <c r="W1" s="2" t="s">
        <v>61</v>
      </c>
      <c r="X1" s="2" t="s">
        <v>62</v>
      </c>
      <c r="Y1" s="2" t="s">
        <v>63</v>
      </c>
      <c r="Z1" s="2" t="s">
        <v>64</v>
      </c>
      <c r="AA1" s="2" t="s">
        <v>65</v>
      </c>
      <c r="AB1" s="2" t="s">
        <v>66</v>
      </c>
      <c r="AC1" s="2" t="s">
        <v>67</v>
      </c>
      <c r="AD1" s="2" t="s">
        <v>68</v>
      </c>
      <c r="AE1" s="2" t="s">
        <v>69</v>
      </c>
      <c r="AF1" s="2" t="s">
        <v>70</v>
      </c>
      <c r="AG1" s="2" t="s">
        <v>71</v>
      </c>
      <c r="AH1" s="2" t="s">
        <v>72</v>
      </c>
      <c r="AI1" s="2" t="s">
        <v>73</v>
      </c>
      <c r="AJ1" s="2" t="s">
        <v>74</v>
      </c>
      <c r="AK1" s="2" t="s">
        <v>75</v>
      </c>
      <c r="AL1" s="2" t="s">
        <v>76</v>
      </c>
      <c r="AM1" s="2" t="s">
        <v>77</v>
      </c>
      <c r="AN1" s="2" t="s">
        <v>78</v>
      </c>
      <c r="AO1" s="3" t="s">
        <v>79</v>
      </c>
    </row>
    <row r="2" spans="1:41" ht="15.75" x14ac:dyDescent="0.3">
      <c r="A2" s="4" t="s">
        <v>80</v>
      </c>
      <c r="B2" s="5">
        <v>23824</v>
      </c>
      <c r="C2" s="5">
        <v>25195</v>
      </c>
      <c r="D2" s="5">
        <v>27478</v>
      </c>
      <c r="E2" s="5">
        <v>12391</v>
      </c>
      <c r="F2" s="5">
        <v>12491</v>
      </c>
      <c r="G2" s="5">
        <v>14589</v>
      </c>
      <c r="H2" s="5">
        <v>19273</v>
      </c>
      <c r="I2" s="5">
        <v>19864</v>
      </c>
      <c r="J2" s="5">
        <v>18955</v>
      </c>
      <c r="K2" s="5">
        <v>18256</v>
      </c>
      <c r="L2" s="5">
        <v>14216</v>
      </c>
      <c r="M2" s="5">
        <v>14124</v>
      </c>
      <c r="N2" s="5">
        <v>18151</v>
      </c>
      <c r="O2" s="5">
        <v>17179</v>
      </c>
      <c r="P2" s="5">
        <v>18313</v>
      </c>
      <c r="Q2" s="5">
        <v>18270</v>
      </c>
      <c r="R2" s="5">
        <v>18548</v>
      </c>
      <c r="S2" s="5">
        <v>13646</v>
      </c>
      <c r="T2" s="5">
        <v>13140</v>
      </c>
      <c r="U2" s="5">
        <v>22102</v>
      </c>
      <c r="V2" s="5">
        <v>22777</v>
      </c>
      <c r="W2" s="5">
        <v>21159</v>
      </c>
      <c r="X2" s="5">
        <v>18931</v>
      </c>
      <c r="Y2" s="5">
        <v>18908</v>
      </c>
      <c r="Z2" s="5">
        <v>14529</v>
      </c>
      <c r="AA2" s="5">
        <v>13541</v>
      </c>
      <c r="AB2" s="5">
        <v>21222</v>
      </c>
      <c r="AC2" s="5">
        <v>21631</v>
      </c>
      <c r="AD2" s="5">
        <v>22692</v>
      </c>
      <c r="AE2" s="5">
        <v>20567</v>
      </c>
      <c r="AF2" s="5">
        <v>13617</v>
      </c>
      <c r="AG2" s="5">
        <v>12505</v>
      </c>
      <c r="AH2" s="5">
        <v>13430</v>
      </c>
      <c r="AI2" s="5">
        <v>19848</v>
      </c>
      <c r="AJ2" s="5">
        <v>20018</v>
      </c>
      <c r="AK2" s="5">
        <v>18718</v>
      </c>
      <c r="AL2" s="5">
        <v>21622</v>
      </c>
      <c r="AM2" s="5">
        <v>22103</v>
      </c>
      <c r="AN2" s="5">
        <v>18471</v>
      </c>
      <c r="AO2" s="6">
        <v>14640</v>
      </c>
    </row>
    <row r="3" spans="1:41" ht="15.75" x14ac:dyDescent="0.3">
      <c r="A3" s="4" t="s">
        <v>81</v>
      </c>
      <c r="B3" s="5">
        <v>1699</v>
      </c>
      <c r="C3" s="5">
        <v>1621</v>
      </c>
      <c r="D3" s="5">
        <v>1817</v>
      </c>
      <c r="E3" s="5">
        <v>1101</v>
      </c>
      <c r="F3" s="5">
        <v>848</v>
      </c>
      <c r="G3" s="5">
        <v>969</v>
      </c>
      <c r="H3" s="5">
        <v>1552</v>
      </c>
      <c r="I3" s="5">
        <v>1645</v>
      </c>
      <c r="J3" s="5">
        <v>1523</v>
      </c>
      <c r="K3" s="5">
        <v>1450</v>
      </c>
      <c r="L3" s="5">
        <v>1168</v>
      </c>
      <c r="M3" s="5">
        <v>997</v>
      </c>
      <c r="N3" s="5">
        <v>1624</v>
      </c>
      <c r="O3" s="5">
        <v>1383</v>
      </c>
      <c r="P3" s="5">
        <v>1460</v>
      </c>
      <c r="Q3" s="5">
        <v>1512</v>
      </c>
      <c r="R3" s="5">
        <v>1550</v>
      </c>
      <c r="S3" s="5">
        <v>1179</v>
      </c>
      <c r="T3" s="5">
        <v>1283</v>
      </c>
      <c r="U3" s="5">
        <v>1842</v>
      </c>
      <c r="V3" s="5">
        <v>1857</v>
      </c>
      <c r="W3" s="5">
        <v>1815</v>
      </c>
      <c r="X3" s="5">
        <v>1692</v>
      </c>
      <c r="Y3" s="5">
        <v>1695</v>
      </c>
      <c r="Z3" s="5">
        <v>1363</v>
      </c>
      <c r="AA3" s="5">
        <v>1282</v>
      </c>
      <c r="AB3" s="5">
        <v>1994</v>
      </c>
      <c r="AC3" s="5">
        <v>2025</v>
      </c>
      <c r="AD3" s="5">
        <v>2064</v>
      </c>
      <c r="AE3" s="5">
        <v>1961</v>
      </c>
      <c r="AF3" s="5">
        <v>1488</v>
      </c>
      <c r="AG3" s="5">
        <v>1100</v>
      </c>
      <c r="AH3" s="5">
        <v>1050</v>
      </c>
      <c r="AI3" s="5">
        <v>1845</v>
      </c>
      <c r="AJ3" s="5">
        <v>1936</v>
      </c>
      <c r="AK3" s="5">
        <v>1876</v>
      </c>
      <c r="AL3" s="5">
        <v>2057</v>
      </c>
      <c r="AM3" s="5">
        <v>2014</v>
      </c>
      <c r="AN3" s="5">
        <v>1558</v>
      </c>
      <c r="AO3" s="6">
        <v>1263</v>
      </c>
    </row>
    <row r="4" spans="1:41" ht="15.75" x14ac:dyDescent="0.3">
      <c r="A4" s="4" t="s">
        <v>82</v>
      </c>
      <c r="B4" s="5">
        <v>771</v>
      </c>
      <c r="C4" s="5">
        <v>769</v>
      </c>
      <c r="D4" s="5">
        <v>922</v>
      </c>
      <c r="E4" s="5">
        <v>399</v>
      </c>
      <c r="F4" s="5">
        <v>343</v>
      </c>
      <c r="G4" s="5">
        <v>399</v>
      </c>
      <c r="H4" s="5">
        <v>691</v>
      </c>
      <c r="I4" s="5">
        <v>734</v>
      </c>
      <c r="J4" s="5">
        <v>668</v>
      </c>
      <c r="K4" s="5">
        <v>710</v>
      </c>
      <c r="L4" s="5">
        <v>418</v>
      </c>
      <c r="M4" s="5">
        <v>358</v>
      </c>
      <c r="N4" s="5">
        <v>691</v>
      </c>
      <c r="O4" s="5">
        <v>615</v>
      </c>
      <c r="P4" s="5">
        <v>686</v>
      </c>
      <c r="Q4" s="5">
        <v>710</v>
      </c>
      <c r="R4" s="5">
        <v>786</v>
      </c>
      <c r="S4" s="5">
        <v>516</v>
      </c>
      <c r="T4" s="5">
        <v>488</v>
      </c>
      <c r="U4" s="5">
        <v>824</v>
      </c>
      <c r="V4" s="5">
        <v>908</v>
      </c>
      <c r="W4" s="5">
        <v>939</v>
      </c>
      <c r="X4" s="5">
        <v>699</v>
      </c>
      <c r="Y4" s="5">
        <v>698</v>
      </c>
      <c r="Z4" s="5">
        <v>523</v>
      </c>
      <c r="AA4" s="5">
        <v>453</v>
      </c>
      <c r="AB4" s="5">
        <v>776</v>
      </c>
      <c r="AC4" s="5">
        <v>737</v>
      </c>
      <c r="AD4" s="5">
        <v>731</v>
      </c>
      <c r="AE4" s="5">
        <v>661</v>
      </c>
      <c r="AF4" s="5">
        <v>389</v>
      </c>
      <c r="AG4" s="5">
        <v>303</v>
      </c>
      <c r="AH4" s="5">
        <v>328</v>
      </c>
      <c r="AI4" s="5">
        <v>656</v>
      </c>
      <c r="AJ4" s="5">
        <v>685</v>
      </c>
      <c r="AK4" s="5">
        <v>637</v>
      </c>
      <c r="AL4" s="5">
        <v>812</v>
      </c>
      <c r="AM4" s="5">
        <v>776</v>
      </c>
      <c r="AN4" s="5">
        <v>510</v>
      </c>
      <c r="AO4" s="6">
        <v>385</v>
      </c>
    </row>
    <row r="5" spans="1:41" ht="15.75" x14ac:dyDescent="0.3">
      <c r="A5" s="4" t="s">
        <v>83</v>
      </c>
      <c r="B5" s="5">
        <v>463</v>
      </c>
      <c r="C5" s="5">
        <v>557</v>
      </c>
      <c r="D5" s="5">
        <v>513</v>
      </c>
      <c r="E5" s="5">
        <v>289</v>
      </c>
      <c r="F5" s="5">
        <v>258</v>
      </c>
      <c r="G5" s="5">
        <v>306</v>
      </c>
      <c r="H5" s="5">
        <v>469</v>
      </c>
      <c r="I5" s="5">
        <v>466</v>
      </c>
      <c r="J5" s="5">
        <v>442</v>
      </c>
      <c r="K5" s="5">
        <v>535</v>
      </c>
      <c r="L5" s="5">
        <v>328</v>
      </c>
      <c r="M5" s="5">
        <v>298</v>
      </c>
      <c r="N5" s="5">
        <v>415</v>
      </c>
      <c r="O5" s="5">
        <v>480</v>
      </c>
      <c r="P5" s="5">
        <v>508</v>
      </c>
      <c r="Q5" s="5">
        <v>519</v>
      </c>
      <c r="R5" s="5">
        <v>479</v>
      </c>
      <c r="S5" s="5">
        <v>322</v>
      </c>
      <c r="T5" s="5">
        <v>297</v>
      </c>
      <c r="U5" s="5">
        <v>479</v>
      </c>
      <c r="V5" s="5">
        <v>472</v>
      </c>
      <c r="W5" s="5">
        <v>411</v>
      </c>
      <c r="X5" s="5">
        <v>421</v>
      </c>
      <c r="Y5" s="5">
        <v>378</v>
      </c>
      <c r="Z5" s="5">
        <v>294</v>
      </c>
      <c r="AA5" s="5">
        <v>226</v>
      </c>
      <c r="AB5" s="5">
        <v>406</v>
      </c>
      <c r="AC5" s="5">
        <v>435</v>
      </c>
      <c r="AD5" s="5">
        <v>423</v>
      </c>
      <c r="AE5" s="5">
        <v>397</v>
      </c>
      <c r="AF5" s="5">
        <v>218</v>
      </c>
      <c r="AG5" s="5">
        <v>224</v>
      </c>
      <c r="AH5" s="5">
        <v>263</v>
      </c>
      <c r="AI5" s="5">
        <v>375</v>
      </c>
      <c r="AJ5" s="5">
        <v>403</v>
      </c>
      <c r="AK5" s="5">
        <v>397</v>
      </c>
      <c r="AL5" s="5">
        <v>412</v>
      </c>
      <c r="AM5" s="5">
        <v>366</v>
      </c>
      <c r="AN5" s="5">
        <v>300</v>
      </c>
      <c r="AO5" s="6">
        <v>266</v>
      </c>
    </row>
    <row r="6" spans="1:41" ht="15.75" x14ac:dyDescent="0.3">
      <c r="A6" s="4" t="s">
        <v>84</v>
      </c>
      <c r="B6" s="5">
        <v>1225</v>
      </c>
      <c r="C6" s="5">
        <v>1232</v>
      </c>
      <c r="D6" s="5">
        <v>1246</v>
      </c>
      <c r="E6" s="5">
        <v>891</v>
      </c>
      <c r="F6" s="5">
        <v>683</v>
      </c>
      <c r="G6" s="5">
        <v>752</v>
      </c>
      <c r="H6" s="5">
        <v>1152</v>
      </c>
      <c r="I6" s="5">
        <v>1136</v>
      </c>
      <c r="J6" s="5">
        <v>1132</v>
      </c>
      <c r="K6" s="5">
        <v>1064</v>
      </c>
      <c r="L6" s="5">
        <v>802</v>
      </c>
      <c r="M6" s="5">
        <v>748</v>
      </c>
      <c r="N6" s="5">
        <v>1122</v>
      </c>
      <c r="O6" s="5">
        <v>1135</v>
      </c>
      <c r="P6" s="5">
        <v>1155</v>
      </c>
      <c r="Q6" s="5">
        <v>1102</v>
      </c>
      <c r="R6" s="5">
        <v>1130</v>
      </c>
      <c r="S6" s="5">
        <v>870</v>
      </c>
      <c r="T6" s="5">
        <v>768</v>
      </c>
      <c r="U6" s="5">
        <v>1275</v>
      </c>
      <c r="V6" s="5">
        <v>1279</v>
      </c>
      <c r="W6" s="5">
        <v>1239</v>
      </c>
      <c r="X6" s="5">
        <v>1099</v>
      </c>
      <c r="Y6" s="5">
        <v>1118</v>
      </c>
      <c r="Z6" s="5">
        <v>817</v>
      </c>
      <c r="AA6" s="5">
        <v>711</v>
      </c>
      <c r="AB6" s="5">
        <v>1159</v>
      </c>
      <c r="AC6" s="5">
        <v>1192</v>
      </c>
      <c r="AD6" s="5">
        <v>1202</v>
      </c>
      <c r="AE6" s="5">
        <v>1040</v>
      </c>
      <c r="AF6" s="5">
        <v>668</v>
      </c>
      <c r="AG6" s="5">
        <v>611</v>
      </c>
      <c r="AH6" s="5">
        <v>640</v>
      </c>
      <c r="AI6" s="5">
        <v>1059</v>
      </c>
      <c r="AJ6" s="5">
        <v>1200</v>
      </c>
      <c r="AK6" s="5">
        <v>1061</v>
      </c>
      <c r="AL6" s="5">
        <v>1128</v>
      </c>
      <c r="AM6" s="5">
        <v>1088</v>
      </c>
      <c r="AN6" s="5">
        <v>953</v>
      </c>
      <c r="AO6" s="6">
        <v>702</v>
      </c>
    </row>
    <row r="7" spans="1:41" ht="15.75" x14ac:dyDescent="0.3">
      <c r="A7" s="7" t="s">
        <v>85</v>
      </c>
      <c r="B7" s="5">
        <v>2773</v>
      </c>
      <c r="C7" s="5">
        <v>3094</v>
      </c>
      <c r="D7" s="5">
        <v>3954</v>
      </c>
      <c r="E7" s="5">
        <v>2510</v>
      </c>
      <c r="F7" s="5">
        <v>1639</v>
      </c>
      <c r="G7" s="5">
        <v>2309</v>
      </c>
      <c r="H7" s="5">
        <v>2005</v>
      </c>
      <c r="I7" s="5">
        <v>2001</v>
      </c>
      <c r="J7" s="5">
        <v>1994</v>
      </c>
      <c r="K7" s="5">
        <v>1958</v>
      </c>
      <c r="L7" s="5">
        <v>1755</v>
      </c>
      <c r="M7" s="5">
        <v>2328</v>
      </c>
      <c r="N7" s="5">
        <v>1818</v>
      </c>
      <c r="O7" s="5">
        <v>1687</v>
      </c>
      <c r="P7" s="5">
        <v>2100</v>
      </c>
      <c r="Q7" s="5">
        <v>2166</v>
      </c>
      <c r="R7" s="5">
        <v>2384</v>
      </c>
      <c r="S7" s="5">
        <v>1681</v>
      </c>
      <c r="T7" s="5">
        <v>1822</v>
      </c>
      <c r="U7" s="5">
        <v>2743</v>
      </c>
      <c r="V7" s="5">
        <v>2599</v>
      </c>
      <c r="W7" s="5">
        <v>2163</v>
      </c>
      <c r="X7" s="5">
        <v>1733</v>
      </c>
      <c r="Y7" s="5">
        <v>2122</v>
      </c>
      <c r="Z7" s="5">
        <v>1731</v>
      </c>
      <c r="AA7" s="5">
        <v>1625</v>
      </c>
      <c r="AB7" s="5">
        <v>2196</v>
      </c>
      <c r="AC7" s="5">
        <v>2214</v>
      </c>
      <c r="AD7" s="5">
        <v>3047</v>
      </c>
      <c r="AE7" s="5">
        <v>2525</v>
      </c>
      <c r="AF7" s="5">
        <v>1873</v>
      </c>
      <c r="AG7" s="5">
        <v>1577</v>
      </c>
      <c r="AH7" s="5">
        <v>2106</v>
      </c>
      <c r="AI7" s="5">
        <v>1895</v>
      </c>
      <c r="AJ7" s="5">
        <v>2119</v>
      </c>
      <c r="AK7" s="5">
        <v>2337</v>
      </c>
      <c r="AL7" s="5">
        <v>2780</v>
      </c>
      <c r="AM7" s="5">
        <v>2805</v>
      </c>
      <c r="AN7" s="5">
        <v>2831</v>
      </c>
      <c r="AO7" s="6">
        <v>2181</v>
      </c>
    </row>
    <row r="8" spans="1:41" ht="15.75" x14ac:dyDescent="0.3">
      <c r="A8" s="7" t="s">
        <v>86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1394</v>
      </c>
      <c r="W8" s="5">
        <v>1480</v>
      </c>
      <c r="X8" s="5">
        <v>1328</v>
      </c>
      <c r="Y8" s="5">
        <v>1340</v>
      </c>
      <c r="Z8" s="5">
        <v>1021</v>
      </c>
      <c r="AA8" s="5">
        <v>1158</v>
      </c>
      <c r="AB8" s="5">
        <v>1538</v>
      </c>
      <c r="AC8" s="5">
        <v>1526</v>
      </c>
      <c r="AD8" s="5">
        <v>1646</v>
      </c>
      <c r="AE8" s="5">
        <v>1524</v>
      </c>
      <c r="AF8" s="5">
        <v>917</v>
      </c>
      <c r="AG8" s="5">
        <v>950</v>
      </c>
      <c r="AH8" s="5">
        <v>909</v>
      </c>
      <c r="AI8" s="5">
        <v>1338</v>
      </c>
      <c r="AJ8" s="5">
        <v>1464</v>
      </c>
      <c r="AK8" s="5">
        <v>1377</v>
      </c>
      <c r="AL8" s="5">
        <v>1687</v>
      </c>
      <c r="AM8" s="5">
        <v>1753</v>
      </c>
      <c r="AN8" s="5">
        <v>1561</v>
      </c>
      <c r="AO8" s="6">
        <v>1193</v>
      </c>
    </row>
    <row r="9" spans="1:41" ht="15.75" x14ac:dyDescent="0.3">
      <c r="A9" s="7" t="s">
        <v>87</v>
      </c>
      <c r="B9" s="5">
        <v>6079</v>
      </c>
      <c r="C9" s="5">
        <v>6822</v>
      </c>
      <c r="D9" s="5">
        <v>7312</v>
      </c>
      <c r="E9" s="5">
        <v>4671</v>
      </c>
      <c r="F9" s="5">
        <v>3551</v>
      </c>
      <c r="G9" s="5">
        <v>3898</v>
      </c>
      <c r="H9" s="5">
        <v>6015</v>
      </c>
      <c r="I9" s="5">
        <v>5957</v>
      </c>
      <c r="J9" s="5">
        <v>5610</v>
      </c>
      <c r="K9" s="5">
        <v>5502</v>
      </c>
      <c r="L9" s="5">
        <v>4160</v>
      </c>
      <c r="M9" s="5">
        <v>3769</v>
      </c>
      <c r="N9" s="5">
        <v>5748</v>
      </c>
      <c r="O9" s="5">
        <v>5149</v>
      </c>
      <c r="P9" s="5">
        <v>5363</v>
      </c>
      <c r="Q9" s="5">
        <v>5267</v>
      </c>
      <c r="R9" s="5">
        <v>5276</v>
      </c>
      <c r="S9" s="5">
        <v>3729</v>
      </c>
      <c r="T9" s="5">
        <v>3494</v>
      </c>
      <c r="U9" s="5">
        <v>6799</v>
      </c>
      <c r="V9" s="5">
        <v>6677</v>
      </c>
      <c r="W9" s="5">
        <v>6342</v>
      </c>
      <c r="X9" s="5">
        <v>5712</v>
      </c>
      <c r="Y9" s="5">
        <v>5644</v>
      </c>
      <c r="Z9" s="5">
        <v>4098</v>
      </c>
      <c r="AA9" s="5">
        <v>3753</v>
      </c>
      <c r="AB9" s="5">
        <v>6607</v>
      </c>
      <c r="AC9" s="5">
        <v>6764</v>
      </c>
      <c r="AD9" s="5">
        <v>6733</v>
      </c>
      <c r="AE9" s="5">
        <v>6070</v>
      </c>
      <c r="AF9" s="5">
        <v>3759</v>
      </c>
      <c r="AG9" s="5">
        <v>3702</v>
      </c>
      <c r="AH9" s="5">
        <v>3835</v>
      </c>
      <c r="AI9" s="5">
        <v>6576</v>
      </c>
      <c r="AJ9" s="5">
        <v>6585</v>
      </c>
      <c r="AK9" s="5">
        <v>6382</v>
      </c>
      <c r="AL9" s="5">
        <v>7157</v>
      </c>
      <c r="AM9" s="5">
        <v>7236</v>
      </c>
      <c r="AN9" s="5">
        <v>5637</v>
      </c>
      <c r="AO9" s="6">
        <v>4393</v>
      </c>
    </row>
    <row r="10" spans="1:41" ht="15.75" x14ac:dyDescent="0.3">
      <c r="A10" s="7" t="s">
        <v>88</v>
      </c>
      <c r="B10" s="5">
        <v>5384</v>
      </c>
      <c r="C10" s="5">
        <v>5958</v>
      </c>
      <c r="D10" s="5">
        <v>6501</v>
      </c>
      <c r="E10" s="5">
        <v>4148</v>
      </c>
      <c r="F10" s="5">
        <v>3201</v>
      </c>
      <c r="G10" s="5">
        <v>3468</v>
      </c>
      <c r="H10" s="5">
        <v>3964</v>
      </c>
      <c r="I10" s="5">
        <v>4399</v>
      </c>
      <c r="J10" s="5">
        <v>4208</v>
      </c>
      <c r="K10" s="5">
        <v>3793</v>
      </c>
      <c r="L10" s="5">
        <v>3241</v>
      </c>
      <c r="M10" s="5">
        <v>3423</v>
      </c>
      <c r="N10" s="5">
        <v>3525</v>
      </c>
      <c r="O10" s="5">
        <v>3623</v>
      </c>
      <c r="P10" s="5">
        <v>3980</v>
      </c>
      <c r="Q10" s="5">
        <v>3790</v>
      </c>
      <c r="R10" s="5">
        <v>3855</v>
      </c>
      <c r="S10" s="5">
        <v>3120</v>
      </c>
      <c r="T10" s="5">
        <v>3034</v>
      </c>
      <c r="U10" s="5">
        <v>4603</v>
      </c>
      <c r="V10" s="5">
        <v>4137</v>
      </c>
      <c r="W10" s="5">
        <v>3463</v>
      </c>
      <c r="X10" s="5">
        <v>3077</v>
      </c>
      <c r="Y10" s="5">
        <v>2788</v>
      </c>
      <c r="Z10" s="5">
        <v>2218</v>
      </c>
      <c r="AA10" s="5">
        <v>2048</v>
      </c>
      <c r="AB10" s="5">
        <v>2957</v>
      </c>
      <c r="AC10" s="5">
        <v>2906</v>
      </c>
      <c r="AD10" s="5">
        <v>3287</v>
      </c>
      <c r="AE10" s="5">
        <v>2934</v>
      </c>
      <c r="AF10" s="5">
        <v>2055</v>
      </c>
      <c r="AG10" s="5">
        <v>1914</v>
      </c>
      <c r="AH10" s="5">
        <v>2125</v>
      </c>
      <c r="AI10" s="5">
        <v>2594</v>
      </c>
      <c r="AJ10" s="5">
        <v>1620</v>
      </c>
      <c r="AK10" s="5">
        <v>1140</v>
      </c>
      <c r="AL10" s="5">
        <v>1831</v>
      </c>
      <c r="AM10" s="5">
        <v>2013</v>
      </c>
      <c r="AN10" s="5">
        <v>2015</v>
      </c>
      <c r="AO10" s="6">
        <v>1584</v>
      </c>
    </row>
    <row r="11" spans="1:41" ht="15.75" x14ac:dyDescent="0.3">
      <c r="A11" s="7" t="s">
        <v>89</v>
      </c>
      <c r="B11" s="5">
        <v>712</v>
      </c>
      <c r="C11" s="5">
        <v>348</v>
      </c>
      <c r="D11" s="5">
        <v>564</v>
      </c>
      <c r="E11" s="5">
        <v>5</v>
      </c>
      <c r="F11" s="5">
        <v>6</v>
      </c>
      <c r="G11" s="5">
        <v>245</v>
      </c>
      <c r="H11" s="5">
        <v>302</v>
      </c>
      <c r="I11" s="5">
        <v>365</v>
      </c>
      <c r="J11" s="5">
        <v>330</v>
      </c>
      <c r="K11" s="5">
        <v>385</v>
      </c>
      <c r="L11" s="5">
        <v>3</v>
      </c>
      <c r="M11" s="5">
        <v>4</v>
      </c>
      <c r="N11" s="5">
        <v>358</v>
      </c>
      <c r="O11" s="5">
        <v>307</v>
      </c>
      <c r="P11" s="5">
        <v>341</v>
      </c>
      <c r="Q11" s="5">
        <v>345</v>
      </c>
      <c r="R11" s="5">
        <v>343</v>
      </c>
      <c r="S11" s="5">
        <v>1</v>
      </c>
      <c r="T11" s="5">
        <v>3</v>
      </c>
      <c r="U11" s="5">
        <v>290</v>
      </c>
      <c r="V11" s="5">
        <v>243</v>
      </c>
      <c r="W11" s="5">
        <v>161</v>
      </c>
      <c r="X11" s="5">
        <v>135</v>
      </c>
      <c r="Y11" s="5">
        <v>102</v>
      </c>
      <c r="Z11" s="5">
        <v>0</v>
      </c>
      <c r="AA11" s="5">
        <v>0</v>
      </c>
      <c r="AB11" s="5">
        <v>135</v>
      </c>
      <c r="AC11" s="5">
        <v>137</v>
      </c>
      <c r="AD11" s="5">
        <v>145</v>
      </c>
      <c r="AE11" s="5">
        <v>140</v>
      </c>
      <c r="AF11" s="5">
        <v>79</v>
      </c>
      <c r="AG11" s="5">
        <v>2</v>
      </c>
      <c r="AH11" s="5">
        <v>0</v>
      </c>
      <c r="AI11" s="5">
        <v>162</v>
      </c>
      <c r="AJ11" s="5">
        <v>115</v>
      </c>
      <c r="AK11" s="5">
        <v>82</v>
      </c>
      <c r="AL11" s="5">
        <v>88</v>
      </c>
      <c r="AM11" s="5">
        <v>321</v>
      </c>
      <c r="AN11" s="5">
        <v>0</v>
      </c>
      <c r="AO11" s="6">
        <v>0</v>
      </c>
    </row>
    <row r="12" spans="1:41" ht="15.75" x14ac:dyDescent="0.3">
      <c r="A12" s="7" t="s">
        <v>90</v>
      </c>
      <c r="B12" s="5">
        <v>4718</v>
      </c>
      <c r="C12" s="5">
        <v>4794</v>
      </c>
      <c r="D12" s="5">
        <v>4649</v>
      </c>
      <c r="E12" s="5">
        <v>2562</v>
      </c>
      <c r="F12" s="5">
        <v>1962</v>
      </c>
      <c r="G12" s="5">
        <v>2243</v>
      </c>
      <c r="H12" s="5">
        <v>3123</v>
      </c>
      <c r="I12" s="5">
        <v>3161</v>
      </c>
      <c r="J12" s="5">
        <v>3048</v>
      </c>
      <c r="K12" s="5">
        <v>2859</v>
      </c>
      <c r="L12" s="5">
        <v>2341</v>
      </c>
      <c r="M12" s="5">
        <v>2199</v>
      </c>
      <c r="N12" s="5">
        <v>2850</v>
      </c>
      <c r="O12" s="5">
        <v>2800</v>
      </c>
      <c r="P12" s="5">
        <v>2720</v>
      </c>
      <c r="Q12" s="5">
        <v>2859</v>
      </c>
      <c r="R12" s="5">
        <v>2745</v>
      </c>
      <c r="S12" s="5">
        <v>2228</v>
      </c>
      <c r="T12" s="5">
        <v>1951</v>
      </c>
      <c r="U12" s="5">
        <v>3247</v>
      </c>
      <c r="V12" s="5">
        <v>3211</v>
      </c>
      <c r="W12" s="5">
        <v>3146</v>
      </c>
      <c r="X12" s="5">
        <v>3035</v>
      </c>
      <c r="Y12" s="5">
        <v>3023</v>
      </c>
      <c r="Z12" s="5">
        <v>2464</v>
      </c>
      <c r="AA12" s="5">
        <v>2285</v>
      </c>
      <c r="AB12" s="5">
        <v>3454</v>
      </c>
      <c r="AC12" s="5">
        <v>3695</v>
      </c>
      <c r="AD12" s="5">
        <v>3414</v>
      </c>
      <c r="AE12" s="5">
        <v>3315</v>
      </c>
      <c r="AF12" s="5">
        <v>2171</v>
      </c>
      <c r="AG12" s="5">
        <v>2122</v>
      </c>
      <c r="AH12" s="5">
        <v>2174</v>
      </c>
      <c r="AI12" s="5">
        <v>3348</v>
      </c>
      <c r="AJ12" s="5">
        <v>3891</v>
      </c>
      <c r="AK12" s="5">
        <v>3429</v>
      </c>
      <c r="AL12" s="5">
        <v>3670</v>
      </c>
      <c r="AM12" s="5">
        <v>3731</v>
      </c>
      <c r="AN12" s="5">
        <v>3106</v>
      </c>
      <c r="AO12" s="6">
        <v>2673</v>
      </c>
    </row>
    <row r="18" spans="2:6" x14ac:dyDescent="0.3">
      <c r="B18" t="s">
        <v>91</v>
      </c>
      <c r="C18" s="8">
        <f>AVERAGE(2:2)</f>
        <v>18273.349999999999</v>
      </c>
    </row>
    <row r="19" spans="2:6" x14ac:dyDescent="0.3">
      <c r="B19" t="s">
        <v>92</v>
      </c>
      <c r="C19" s="8">
        <f>MEDIAN(2:2)</f>
        <v>18633</v>
      </c>
    </row>
    <row r="20" spans="2:6" x14ac:dyDescent="0.3">
      <c r="B20" t="s">
        <v>93</v>
      </c>
      <c r="C20">
        <f>_xlfn.MODE.SNGL(4:4)</f>
        <v>399</v>
      </c>
    </row>
    <row r="21" spans="2:6" x14ac:dyDescent="0.3">
      <c r="B21" t="s">
        <v>94</v>
      </c>
      <c r="C21" t="s">
        <v>97</v>
      </c>
      <c r="D21">
        <f>_xlfn.VAR.S(2:2)</f>
        <v>14879758.13076924</v>
      </c>
      <c r="E21" t="s">
        <v>98</v>
      </c>
      <c r="F21">
        <f>_xlfn.VAR.P(2:2)</f>
        <v>14507764.1775</v>
      </c>
    </row>
    <row r="22" spans="2:6" x14ac:dyDescent="0.3">
      <c r="B22" t="s">
        <v>95</v>
      </c>
      <c r="C22" t="s">
        <v>99</v>
      </c>
      <c r="D22">
        <f>_xlfn.STDEV.S(2:2)</f>
        <v>3857.4289534311893</v>
      </c>
      <c r="E22" t="s">
        <v>100</v>
      </c>
      <c r="F22">
        <f>_xlfn.STDEV.P(2:2)</f>
        <v>3808.9059029464092</v>
      </c>
    </row>
    <row r="23" spans="2:6" x14ac:dyDescent="0.3">
      <c r="B23" t="s">
        <v>96</v>
      </c>
      <c r="C23">
        <f>CORREL(2:2,5:5)</f>
        <v>0.7780846432405194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440C-2514-4EBD-8999-9327C2A6841F}">
  <dimension ref="A1:O34"/>
  <sheetViews>
    <sheetView tabSelected="1" zoomScale="85" zoomScaleNormal="85" workbookViewId="0">
      <selection activeCell="I21" sqref="I21"/>
    </sheetView>
  </sheetViews>
  <sheetFormatPr defaultRowHeight="13.5" x14ac:dyDescent="0.3"/>
  <cols>
    <col min="7" max="7" width="14.3984375" bestFit="1" customWidth="1"/>
    <col min="8" max="8" width="17.73046875" bestFit="1" customWidth="1"/>
  </cols>
  <sheetData>
    <row r="1" spans="1:13" x14ac:dyDescent="0.3">
      <c r="A1" s="9" t="s">
        <v>101</v>
      </c>
      <c r="B1" s="9" t="s">
        <v>0</v>
      </c>
      <c r="C1" s="10" t="s">
        <v>102</v>
      </c>
      <c r="D1" s="10" t="s">
        <v>103</v>
      </c>
      <c r="G1" t="s">
        <v>104</v>
      </c>
      <c r="K1" t="s">
        <v>105</v>
      </c>
      <c r="M1" s="9" t="s">
        <v>101</v>
      </c>
    </row>
    <row r="2" spans="1:13" x14ac:dyDescent="0.3">
      <c r="A2" s="11" t="s">
        <v>106</v>
      </c>
      <c r="B2" t="s">
        <v>107</v>
      </c>
      <c r="C2" s="12">
        <v>100</v>
      </c>
      <c r="D2" s="12">
        <v>80</v>
      </c>
      <c r="G2" t="str">
        <f>IF(C2&lt;60,$K$6,IF(C2&lt;70,$K$5,IF(C2&lt;80,$K$4,IF(C2&lt;90,$K$3,$K$2))))</f>
        <v>绝世高手</v>
      </c>
      <c r="J2" t="s">
        <v>108</v>
      </c>
      <c r="K2" t="s">
        <v>109</v>
      </c>
      <c r="M2" s="11" t="s">
        <v>106</v>
      </c>
    </row>
    <row r="3" spans="1:13" x14ac:dyDescent="0.3">
      <c r="A3" s="11" t="str">
        <f t="shared" ref="A3:A10" si="0">A2</f>
        <v>全真教</v>
      </c>
      <c r="B3" t="s">
        <v>110</v>
      </c>
      <c r="C3" s="12">
        <v>82</v>
      </c>
      <c r="D3" s="12">
        <v>75</v>
      </c>
      <c r="G3" t="str">
        <f t="shared" ref="G3:G34" si="1">IF(C3&lt;60,$K$6,IF(C3&lt;70,$K$5,IF(C3&lt;80,$K$4,IF(C3&lt;90,$K$3,$K$2))))</f>
        <v>一流高手</v>
      </c>
      <c r="J3" t="s">
        <v>111</v>
      </c>
      <c r="K3" t="s">
        <v>112</v>
      </c>
      <c r="M3" s="11" t="s">
        <v>113</v>
      </c>
    </row>
    <row r="4" spans="1:13" x14ac:dyDescent="0.3">
      <c r="A4" s="11" t="str">
        <f t="shared" si="0"/>
        <v>全真教</v>
      </c>
      <c r="B4" t="s">
        <v>114</v>
      </c>
      <c r="C4" s="12">
        <v>78</v>
      </c>
      <c r="D4" s="12">
        <v>80</v>
      </c>
      <c r="G4" t="str">
        <f t="shared" si="1"/>
        <v>二流高手</v>
      </c>
      <c r="J4" t="s">
        <v>115</v>
      </c>
      <c r="K4" t="s">
        <v>116</v>
      </c>
      <c r="M4" t="s">
        <v>117</v>
      </c>
    </row>
    <row r="5" spans="1:13" x14ac:dyDescent="0.3">
      <c r="A5" s="11" t="str">
        <f t="shared" si="0"/>
        <v>全真教</v>
      </c>
      <c r="B5" t="s">
        <v>118</v>
      </c>
      <c r="C5" s="12">
        <v>76</v>
      </c>
      <c r="D5" s="12">
        <v>75</v>
      </c>
      <c r="G5" t="str">
        <f t="shared" si="1"/>
        <v>二流高手</v>
      </c>
      <c r="J5" t="s">
        <v>119</v>
      </c>
      <c r="K5" t="s">
        <v>120</v>
      </c>
      <c r="M5" t="s">
        <v>121</v>
      </c>
    </row>
    <row r="6" spans="1:13" x14ac:dyDescent="0.3">
      <c r="A6" s="11" t="str">
        <f t="shared" si="0"/>
        <v>全真教</v>
      </c>
      <c r="B6" t="s">
        <v>122</v>
      </c>
      <c r="C6" s="12">
        <v>74</v>
      </c>
      <c r="D6" s="12">
        <v>60</v>
      </c>
      <c r="G6" t="str">
        <f t="shared" si="1"/>
        <v>二流高手</v>
      </c>
      <c r="J6" t="s">
        <v>123</v>
      </c>
      <c r="K6" t="s">
        <v>124</v>
      </c>
      <c r="M6" t="s">
        <v>125</v>
      </c>
    </row>
    <row r="7" spans="1:13" x14ac:dyDescent="0.3">
      <c r="A7" s="11" t="str">
        <f t="shared" si="0"/>
        <v>全真教</v>
      </c>
      <c r="B7" t="s">
        <v>126</v>
      </c>
      <c r="C7" s="12">
        <v>69</v>
      </c>
      <c r="D7" s="12">
        <v>60</v>
      </c>
      <c r="G7" t="str">
        <f t="shared" si="1"/>
        <v>三流高手</v>
      </c>
      <c r="M7" t="s">
        <v>127</v>
      </c>
    </row>
    <row r="8" spans="1:13" x14ac:dyDescent="0.3">
      <c r="A8" s="11" t="str">
        <f t="shared" si="0"/>
        <v>全真教</v>
      </c>
      <c r="B8" t="s">
        <v>128</v>
      </c>
      <c r="C8" s="12">
        <v>74</v>
      </c>
      <c r="D8" s="12">
        <v>60</v>
      </c>
      <c r="G8" t="str">
        <f t="shared" si="1"/>
        <v>二流高手</v>
      </c>
    </row>
    <row r="9" spans="1:13" x14ac:dyDescent="0.3">
      <c r="A9" s="11" t="str">
        <f t="shared" si="0"/>
        <v>全真教</v>
      </c>
      <c r="B9" t="s">
        <v>129</v>
      </c>
      <c r="C9" s="12">
        <v>74</v>
      </c>
      <c r="D9" s="12">
        <v>60</v>
      </c>
      <c r="G9" t="str">
        <f t="shared" si="1"/>
        <v>二流高手</v>
      </c>
    </row>
    <row r="10" spans="1:13" x14ac:dyDescent="0.3">
      <c r="A10" s="11" t="str">
        <f t="shared" si="0"/>
        <v>全真教</v>
      </c>
      <c r="B10" t="s">
        <v>130</v>
      </c>
      <c r="C10" s="12">
        <v>93</v>
      </c>
      <c r="D10" s="12">
        <v>30</v>
      </c>
      <c r="G10" t="str">
        <f t="shared" si="1"/>
        <v>绝世高手</v>
      </c>
    </row>
    <row r="11" spans="1:13" x14ac:dyDescent="0.3">
      <c r="A11" s="11" t="s">
        <v>113</v>
      </c>
      <c r="B11" t="s">
        <v>131</v>
      </c>
      <c r="C11" s="12">
        <v>98</v>
      </c>
      <c r="D11" s="12">
        <v>80</v>
      </c>
      <c r="G11" t="str">
        <f t="shared" si="1"/>
        <v>绝世高手</v>
      </c>
    </row>
    <row r="12" spans="1:13" x14ac:dyDescent="0.3">
      <c r="A12" s="11" t="str">
        <f t="shared" ref="A12:A14" si="2">A11</f>
        <v>丐帮</v>
      </c>
      <c r="B12" t="s">
        <v>132</v>
      </c>
      <c r="C12" s="12">
        <v>76</v>
      </c>
      <c r="D12" s="12">
        <v>30</v>
      </c>
      <c r="G12" t="str">
        <f t="shared" si="1"/>
        <v>二流高手</v>
      </c>
    </row>
    <row r="13" spans="1:13" x14ac:dyDescent="0.3">
      <c r="A13" s="11" t="str">
        <f t="shared" si="2"/>
        <v>丐帮</v>
      </c>
      <c r="B13" t="s">
        <v>133</v>
      </c>
      <c r="C13" s="12">
        <v>80</v>
      </c>
      <c r="D13" s="12">
        <v>99</v>
      </c>
      <c r="G13" t="str">
        <f t="shared" si="1"/>
        <v>一流高手</v>
      </c>
    </row>
    <row r="14" spans="1:13" x14ac:dyDescent="0.3">
      <c r="A14" s="11" t="str">
        <f t="shared" si="2"/>
        <v>丐帮</v>
      </c>
      <c r="B14" t="s">
        <v>134</v>
      </c>
      <c r="C14" s="12">
        <v>70</v>
      </c>
      <c r="D14" s="12">
        <v>70</v>
      </c>
      <c r="G14" t="str">
        <f t="shared" si="1"/>
        <v>二流高手</v>
      </c>
    </row>
    <row r="15" spans="1:13" x14ac:dyDescent="0.3">
      <c r="A15" t="s">
        <v>117</v>
      </c>
      <c r="B15" t="s">
        <v>135</v>
      </c>
      <c r="C15" s="12">
        <v>98</v>
      </c>
      <c r="D15" s="12">
        <v>80</v>
      </c>
      <c r="G15" t="str">
        <f t="shared" si="1"/>
        <v>绝世高手</v>
      </c>
    </row>
    <row r="16" spans="1:13" x14ac:dyDescent="0.3">
      <c r="A16" t="str">
        <f>A15</f>
        <v>白驼山</v>
      </c>
      <c r="B16" t="s">
        <v>136</v>
      </c>
      <c r="C16" s="12">
        <v>72</v>
      </c>
      <c r="D16" s="12">
        <v>76</v>
      </c>
      <c r="G16" t="str">
        <f t="shared" si="1"/>
        <v>二流高手</v>
      </c>
    </row>
    <row r="17" spans="1:15" x14ac:dyDescent="0.3">
      <c r="A17" t="s">
        <v>121</v>
      </c>
      <c r="B17" t="s">
        <v>137</v>
      </c>
      <c r="C17" s="12">
        <v>97</v>
      </c>
      <c r="D17" s="12">
        <v>95</v>
      </c>
      <c r="G17" t="str">
        <f t="shared" si="1"/>
        <v>绝世高手</v>
      </c>
    </row>
    <row r="18" spans="1:15" x14ac:dyDescent="0.3">
      <c r="A18" t="str">
        <f t="shared" ref="A18:A21" si="3">A17</f>
        <v>桃花岛</v>
      </c>
      <c r="B18" t="s">
        <v>138</v>
      </c>
      <c r="C18" s="12">
        <v>75</v>
      </c>
      <c r="D18" s="12">
        <v>70</v>
      </c>
      <c r="G18" t="str">
        <f t="shared" si="1"/>
        <v>二流高手</v>
      </c>
    </row>
    <row r="19" spans="1:15" x14ac:dyDescent="0.3">
      <c r="A19" t="str">
        <f t="shared" si="3"/>
        <v>桃花岛</v>
      </c>
      <c r="B19" t="s">
        <v>139</v>
      </c>
      <c r="C19" s="12">
        <v>77</v>
      </c>
      <c r="D19" s="12">
        <v>70</v>
      </c>
      <c r="G19" t="str">
        <f t="shared" si="1"/>
        <v>二流高手</v>
      </c>
    </row>
    <row r="20" spans="1:15" x14ac:dyDescent="0.3">
      <c r="A20" t="str">
        <f t="shared" si="3"/>
        <v>桃花岛</v>
      </c>
      <c r="B20" t="s">
        <v>140</v>
      </c>
      <c r="C20" s="12">
        <v>80</v>
      </c>
      <c r="D20" s="12">
        <v>70</v>
      </c>
      <c r="G20" t="str">
        <f t="shared" si="1"/>
        <v>一流高手</v>
      </c>
      <c r="O20" t="e" cm="1">
        <f t="array" ref="O20">D</f>
        <v>#NAME?</v>
      </c>
    </row>
    <row r="21" spans="1:15" x14ac:dyDescent="0.3">
      <c r="A21" t="str">
        <f t="shared" si="3"/>
        <v>桃花岛</v>
      </c>
      <c r="B21" t="s">
        <v>141</v>
      </c>
      <c r="C21" s="12">
        <v>70</v>
      </c>
      <c r="D21" s="12">
        <v>70</v>
      </c>
      <c r="G21" t="str">
        <f t="shared" si="1"/>
        <v>二流高手</v>
      </c>
    </row>
    <row r="22" spans="1:15" x14ac:dyDescent="0.3">
      <c r="A22" t="s">
        <v>125</v>
      </c>
      <c r="B22" t="s">
        <v>142</v>
      </c>
      <c r="C22" s="12">
        <v>97</v>
      </c>
      <c r="D22" s="12">
        <v>80</v>
      </c>
      <c r="G22" t="str">
        <f t="shared" si="1"/>
        <v>绝世高手</v>
      </c>
    </row>
    <row r="23" spans="1:15" x14ac:dyDescent="0.3">
      <c r="A23" t="str">
        <f t="shared" ref="A23:A27" si="4">A22</f>
        <v>大理段氏</v>
      </c>
      <c r="B23" t="s">
        <v>143</v>
      </c>
      <c r="C23" s="12">
        <v>100</v>
      </c>
      <c r="D23" s="12">
        <v>85</v>
      </c>
      <c r="G23" t="str">
        <f t="shared" si="1"/>
        <v>绝世高手</v>
      </c>
      <c r="L23" s="13"/>
    </row>
    <row r="24" spans="1:15" x14ac:dyDescent="0.3">
      <c r="A24" t="str">
        <f t="shared" si="4"/>
        <v>大理段氏</v>
      </c>
      <c r="B24" t="s">
        <v>144</v>
      </c>
      <c r="C24" s="12">
        <v>76</v>
      </c>
      <c r="D24" s="12">
        <v>50</v>
      </c>
      <c r="G24" t="str">
        <f t="shared" si="1"/>
        <v>二流高手</v>
      </c>
    </row>
    <row r="25" spans="1:15" x14ac:dyDescent="0.3">
      <c r="A25" t="str">
        <f t="shared" si="4"/>
        <v>大理段氏</v>
      </c>
      <c r="B25" t="s">
        <v>145</v>
      </c>
      <c r="C25" s="12">
        <v>78</v>
      </c>
      <c r="D25" s="12">
        <v>50</v>
      </c>
      <c r="G25" t="str">
        <f t="shared" si="1"/>
        <v>二流高手</v>
      </c>
    </row>
    <row r="26" spans="1:15" x14ac:dyDescent="0.3">
      <c r="A26" t="str">
        <f t="shared" si="4"/>
        <v>大理段氏</v>
      </c>
      <c r="B26" t="s">
        <v>146</v>
      </c>
      <c r="C26" s="12">
        <v>80</v>
      </c>
      <c r="D26" s="12">
        <v>90</v>
      </c>
      <c r="G26" t="str">
        <f t="shared" si="1"/>
        <v>一流高手</v>
      </c>
    </row>
    <row r="27" spans="1:15" x14ac:dyDescent="0.3">
      <c r="A27" t="str">
        <f t="shared" si="4"/>
        <v>大理段氏</v>
      </c>
      <c r="B27" t="s">
        <v>147</v>
      </c>
      <c r="C27" s="12">
        <v>76</v>
      </c>
      <c r="D27" s="12">
        <v>60</v>
      </c>
      <c r="G27" t="str">
        <f t="shared" si="1"/>
        <v>二流高手</v>
      </c>
    </row>
    <row r="28" spans="1:15" x14ac:dyDescent="0.3">
      <c r="A28" t="s">
        <v>127</v>
      </c>
      <c r="B28" t="s">
        <v>148</v>
      </c>
      <c r="C28" s="12">
        <v>90</v>
      </c>
      <c r="D28" s="12">
        <v>40</v>
      </c>
      <c r="G28" t="str">
        <f t="shared" si="1"/>
        <v>绝世高手</v>
      </c>
    </row>
    <row r="29" spans="1:15" x14ac:dyDescent="0.3">
      <c r="A29" t="str">
        <f t="shared" ref="A29:A34" si="5">A28</f>
        <v>其他</v>
      </c>
      <c r="B29" t="s">
        <v>149</v>
      </c>
      <c r="C29" s="12">
        <v>91</v>
      </c>
      <c r="D29" s="12">
        <v>70</v>
      </c>
      <c r="G29" t="str">
        <f t="shared" si="1"/>
        <v>绝世高手</v>
      </c>
    </row>
    <row r="30" spans="1:15" x14ac:dyDescent="0.3">
      <c r="A30" t="str">
        <f t="shared" si="5"/>
        <v>其他</v>
      </c>
      <c r="B30" t="s">
        <v>150</v>
      </c>
      <c r="C30" s="12">
        <v>70</v>
      </c>
      <c r="D30" s="12">
        <v>50</v>
      </c>
      <c r="G30" t="str">
        <f t="shared" si="1"/>
        <v>二流高手</v>
      </c>
    </row>
    <row r="31" spans="1:15" x14ac:dyDescent="0.3">
      <c r="A31" t="str">
        <f t="shared" si="5"/>
        <v>其他</v>
      </c>
      <c r="B31" t="s">
        <v>151</v>
      </c>
      <c r="C31" s="12">
        <v>68</v>
      </c>
      <c r="D31" s="12">
        <v>80</v>
      </c>
      <c r="G31" t="str">
        <f t="shared" si="1"/>
        <v>三流高手</v>
      </c>
    </row>
    <row r="32" spans="1:15" x14ac:dyDescent="0.3">
      <c r="A32" t="str">
        <f t="shared" si="5"/>
        <v>其他</v>
      </c>
      <c r="B32" t="s">
        <v>152</v>
      </c>
      <c r="C32" s="12">
        <v>59</v>
      </c>
      <c r="D32" s="12">
        <v>70</v>
      </c>
      <c r="G32" t="str">
        <f t="shared" si="1"/>
        <v>不入流</v>
      </c>
    </row>
    <row r="33" spans="1:7" x14ac:dyDescent="0.3">
      <c r="A33" t="str">
        <f t="shared" si="5"/>
        <v>其他</v>
      </c>
      <c r="B33" t="s">
        <v>153</v>
      </c>
      <c r="C33" s="12">
        <v>62</v>
      </c>
      <c r="D33" s="12">
        <v>90</v>
      </c>
      <c r="G33" t="str">
        <f t="shared" si="1"/>
        <v>三流高手</v>
      </c>
    </row>
    <row r="34" spans="1:7" x14ac:dyDescent="0.3">
      <c r="A34" t="str">
        <f t="shared" si="5"/>
        <v>其他</v>
      </c>
      <c r="B34" t="s">
        <v>154</v>
      </c>
      <c r="C34" s="12">
        <v>60</v>
      </c>
      <c r="D34" s="12">
        <v>70</v>
      </c>
      <c r="G34" t="str">
        <f t="shared" si="1"/>
        <v>三流高手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01_查找与引用函数练习</vt:lpstr>
      <vt:lpstr>02_统计函数练习</vt:lpstr>
      <vt:lpstr>03_机票数据</vt:lpstr>
      <vt:lpstr>04_逻辑函数练习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张Harlan</dc:creator>
  <cp:lastModifiedBy>Harlan 张</cp:lastModifiedBy>
  <dcterms:created xsi:type="dcterms:W3CDTF">2025-07-21T09:59:32Z</dcterms:created>
  <dcterms:modified xsi:type="dcterms:W3CDTF">2026-05-17T07:31:49Z</dcterms:modified>
</cp:coreProperties>
</file>